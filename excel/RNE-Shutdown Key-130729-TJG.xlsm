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0455" yWindow="45" windowWidth="15930" windowHeight="12195" tabRatio="647" activeTab="1"/>
  </bookViews>
  <sheets>
    <sheet name="Settings" sheetId="5" r:id="rId1"/>
    <sheet name="Source" sheetId="1" r:id="rId2"/>
    <sheet name="Title Page" sheetId="2" r:id="rId3"/>
    <sheet name="SD Key Page 1" sheetId="7" r:id="rId4"/>
    <sheet name="SD Key Page 2" sheetId="8" r:id="rId5"/>
    <sheet name="SD Key Page 3" sheetId="9" r:id="rId6"/>
    <sheet name="SD Key Page 4" sheetId="10" r:id="rId7"/>
    <sheet name="SD Key Page 5" sheetId="11" r:id="rId8"/>
    <sheet name="SD Key Page 6" sheetId="12" r:id="rId9"/>
    <sheet name="SD Key Page 7" sheetId="13" r:id="rId10"/>
    <sheet name="SD Key Page 8" sheetId="14" r:id="rId11"/>
    <sheet name="SD Key Page 9" sheetId="15" r:id="rId12"/>
    <sheet name="SD Key Page 10" sheetId="16" r:id="rId13"/>
    <sheet name="SD Key Page 11" sheetId="17" r:id="rId14"/>
    <sheet name="SD Key Page 12" sheetId="18" r:id="rId15"/>
    <sheet name="SD Key Page 13" sheetId="19" r:id="rId16"/>
    <sheet name="SD Key Page 14" sheetId="20" r:id="rId17"/>
    <sheet name="SD Key Page 15" sheetId="21" r:id="rId18"/>
    <sheet name="SD Key Page 16" sheetId="22" r:id="rId19"/>
    <sheet name="SD Key Page 17" sheetId="23" r:id="rId20"/>
  </sheets>
  <functionGroups builtInGroupCount="17"/>
  <definedNames>
    <definedName name="_xlnm._FilterDatabase" localSheetId="1" hidden="1">Source!$A$18:$J$23</definedName>
    <definedName name="A" localSheetId="12">Source!#REF!</definedName>
    <definedName name="A" localSheetId="13">Source!#REF!</definedName>
    <definedName name="A" localSheetId="14">Source!#REF!</definedName>
    <definedName name="A" localSheetId="15">Source!#REF!</definedName>
    <definedName name="A" localSheetId="16">Source!#REF!</definedName>
    <definedName name="A" localSheetId="17">Source!#REF!</definedName>
    <definedName name="A" localSheetId="18">Source!#REF!</definedName>
    <definedName name="A" localSheetId="19">Source!#REF!</definedName>
    <definedName name="A" localSheetId="4">Source!#REF!</definedName>
    <definedName name="A" localSheetId="5">Source!#REF!</definedName>
    <definedName name="A" localSheetId="6">Source!#REF!</definedName>
    <definedName name="A" localSheetId="7">Source!#REF!</definedName>
    <definedName name="A" localSheetId="8">Source!#REF!</definedName>
    <definedName name="A" localSheetId="9">Source!#REF!</definedName>
    <definedName name="A" localSheetId="10">Source!#REF!</definedName>
    <definedName name="A" localSheetId="11">Source!#REF!</definedName>
    <definedName name="A">Source!#REF!</definedName>
    <definedName name="_xlnm.Print_Area" localSheetId="3">'SD Key Page 1'!$A$1:$CM$69</definedName>
    <definedName name="_xlnm.Print_Area" localSheetId="12">'SD Key Page 10'!$A$1:$CM$69</definedName>
    <definedName name="_xlnm.Print_Area" localSheetId="13">'SD Key Page 11'!$A$1:$CM$69</definedName>
    <definedName name="_xlnm.Print_Area" localSheetId="14">'SD Key Page 12'!$A$1:$CM$69</definedName>
    <definedName name="_xlnm.Print_Area" localSheetId="15">'SD Key Page 13'!$A$1:$CM$69</definedName>
    <definedName name="_xlnm.Print_Area" localSheetId="16">'SD Key Page 14'!$A$1:$CM$69</definedName>
    <definedName name="_xlnm.Print_Area" localSheetId="17">'SD Key Page 15'!$A$1:$CM$69</definedName>
    <definedName name="_xlnm.Print_Area" localSheetId="18">'SD Key Page 16'!$A$1:$CM$69</definedName>
    <definedName name="_xlnm.Print_Area" localSheetId="19">'SD Key Page 17'!$A$1:$CM$69</definedName>
    <definedName name="_xlnm.Print_Area" localSheetId="4">'SD Key Page 2'!$A$1:$CM$69</definedName>
    <definedName name="_xlnm.Print_Area" localSheetId="5">'SD Key Page 3'!$A$1:$CM$69</definedName>
    <definedName name="_xlnm.Print_Area" localSheetId="6">'SD Key Page 4'!$A$1:$CM$69</definedName>
    <definedName name="_xlnm.Print_Area" localSheetId="7">'SD Key Page 5'!$A$1:$CM$69</definedName>
    <definedName name="_xlnm.Print_Area" localSheetId="8">'SD Key Page 6'!$A$1:$CM$69</definedName>
    <definedName name="_xlnm.Print_Area" localSheetId="9">'SD Key Page 7'!$A$1:$CM$69</definedName>
    <definedName name="_xlnm.Print_Area" localSheetId="10">'SD Key Page 8'!$A$1:$CM$69</definedName>
    <definedName name="_xlnm.Print_Area" localSheetId="11">'SD Key Page 9'!$A$1:$CM$69</definedName>
    <definedName name="_xlnm.Print_Area" localSheetId="2">'Title Page'!$A$1:$V$26</definedName>
  </definedNames>
  <calcPr calcId="144525"/>
</workbook>
</file>

<file path=xl/calcChain.xml><?xml version="1.0" encoding="utf-8"?>
<calcChain xmlns="http://schemas.openxmlformats.org/spreadsheetml/2006/main">
  <c r="K69" i="23" l="1"/>
  <c r="J69" i="23"/>
  <c r="I69" i="23"/>
  <c r="H69" i="23"/>
  <c r="E69" i="23"/>
  <c r="A69" i="23"/>
  <c r="K68" i="23"/>
  <c r="J68" i="23"/>
  <c r="I68" i="23"/>
  <c r="H68" i="23"/>
  <c r="E68" i="23"/>
  <c r="A68" i="23"/>
  <c r="K67" i="23"/>
  <c r="J67" i="23"/>
  <c r="I67" i="23"/>
  <c r="H67" i="23"/>
  <c r="E67" i="23"/>
  <c r="A67" i="23"/>
  <c r="K69" i="22"/>
  <c r="J69" i="22"/>
  <c r="I69" i="22"/>
  <c r="H69" i="22"/>
  <c r="E69" i="22"/>
  <c r="A69" i="22"/>
  <c r="K68" i="22"/>
  <c r="J68" i="22"/>
  <c r="I68" i="22"/>
  <c r="H68" i="22"/>
  <c r="E68" i="22"/>
  <c r="A68" i="22"/>
  <c r="K67" i="22"/>
  <c r="J67" i="22"/>
  <c r="I67" i="22"/>
  <c r="H67" i="22"/>
  <c r="E67" i="22"/>
  <c r="A67" i="22"/>
  <c r="K69" i="21"/>
  <c r="J69" i="21"/>
  <c r="I69" i="21"/>
  <c r="H69" i="21"/>
  <c r="E69" i="21"/>
  <c r="A69" i="21"/>
  <c r="K68" i="21"/>
  <c r="J68" i="21"/>
  <c r="I68" i="21"/>
  <c r="H68" i="21"/>
  <c r="E68" i="21"/>
  <c r="A68" i="21"/>
  <c r="K67" i="21"/>
  <c r="J67" i="21"/>
  <c r="I67" i="21"/>
  <c r="H67" i="21"/>
  <c r="E67" i="21"/>
  <c r="A67" i="21"/>
  <c r="K69" i="20"/>
  <c r="J69" i="20"/>
  <c r="I69" i="20"/>
  <c r="H69" i="20"/>
  <c r="E69" i="20"/>
  <c r="A69" i="20"/>
  <c r="K68" i="20"/>
  <c r="J68" i="20"/>
  <c r="I68" i="20"/>
  <c r="H68" i="20"/>
  <c r="E68" i="20"/>
  <c r="A68" i="20"/>
  <c r="K67" i="20"/>
  <c r="J67" i="20"/>
  <c r="I67" i="20"/>
  <c r="H67" i="20"/>
  <c r="E67" i="20"/>
  <c r="A67" i="20"/>
  <c r="K69" i="19"/>
  <c r="J69" i="19"/>
  <c r="I69" i="19"/>
  <c r="H69" i="19"/>
  <c r="E69" i="19"/>
  <c r="A69" i="19"/>
  <c r="K68" i="19"/>
  <c r="J68" i="19"/>
  <c r="I68" i="19"/>
  <c r="H68" i="19"/>
  <c r="E68" i="19"/>
  <c r="A68" i="19"/>
  <c r="K67" i="19"/>
  <c r="J67" i="19"/>
  <c r="I67" i="19"/>
  <c r="H67" i="19"/>
  <c r="E67" i="19"/>
  <c r="A67" i="19"/>
  <c r="K69" i="18"/>
  <c r="J69" i="18"/>
  <c r="I69" i="18"/>
  <c r="H69" i="18"/>
  <c r="E69" i="18"/>
  <c r="A69" i="18"/>
  <c r="K68" i="18"/>
  <c r="J68" i="18"/>
  <c r="I68" i="18"/>
  <c r="H68" i="18"/>
  <c r="E68" i="18"/>
  <c r="A68" i="18"/>
  <c r="K67" i="18"/>
  <c r="J67" i="18"/>
  <c r="I67" i="18"/>
  <c r="H67" i="18"/>
  <c r="E67" i="18"/>
  <c r="A67" i="18"/>
  <c r="K69" i="17"/>
  <c r="J69" i="17"/>
  <c r="I69" i="17"/>
  <c r="H69" i="17"/>
  <c r="E69" i="17"/>
  <c r="A69" i="17"/>
  <c r="K68" i="17"/>
  <c r="J68" i="17"/>
  <c r="I68" i="17"/>
  <c r="H68" i="17"/>
  <c r="E68" i="17"/>
  <c r="A68" i="17"/>
  <c r="K67" i="17"/>
  <c r="J67" i="17"/>
  <c r="I67" i="17"/>
  <c r="H67" i="17"/>
  <c r="E67" i="17"/>
  <c r="A67" i="17"/>
  <c r="K69" i="16"/>
  <c r="J69" i="16"/>
  <c r="I69" i="16"/>
  <c r="H69" i="16"/>
  <c r="E69" i="16"/>
  <c r="A69" i="16"/>
  <c r="K68" i="16"/>
  <c r="J68" i="16"/>
  <c r="I68" i="16"/>
  <c r="H68" i="16"/>
  <c r="E68" i="16"/>
  <c r="A68" i="16"/>
  <c r="K67" i="16"/>
  <c r="J67" i="16"/>
  <c r="I67" i="16"/>
  <c r="H67" i="16"/>
  <c r="E67" i="16"/>
  <c r="A67" i="16"/>
  <c r="K69" i="15"/>
  <c r="J69" i="15"/>
  <c r="I69" i="15"/>
  <c r="H69" i="15"/>
  <c r="E69" i="15"/>
  <c r="A69" i="15"/>
  <c r="K68" i="15"/>
  <c r="J68" i="15"/>
  <c r="I68" i="15"/>
  <c r="H68" i="15"/>
  <c r="E68" i="15"/>
  <c r="A68" i="15"/>
  <c r="K67" i="15"/>
  <c r="J67" i="15"/>
  <c r="I67" i="15"/>
  <c r="H67" i="15"/>
  <c r="E67" i="15"/>
  <c r="A67" i="15"/>
  <c r="K69" i="14"/>
  <c r="J69" i="14"/>
  <c r="I69" i="14"/>
  <c r="H69" i="14"/>
  <c r="E69" i="14"/>
  <c r="A69" i="14"/>
  <c r="K68" i="14"/>
  <c r="J68" i="14"/>
  <c r="I68" i="14"/>
  <c r="H68" i="14"/>
  <c r="E68" i="14"/>
  <c r="A68" i="14"/>
  <c r="K67" i="14"/>
  <c r="J67" i="14"/>
  <c r="I67" i="14"/>
  <c r="H67" i="14"/>
  <c r="E67" i="14"/>
  <c r="A67" i="14"/>
  <c r="K69" i="13"/>
  <c r="J69" i="13"/>
  <c r="I69" i="13"/>
  <c r="H69" i="13"/>
  <c r="E69" i="13"/>
  <c r="A69" i="13"/>
  <c r="K68" i="13"/>
  <c r="J68" i="13"/>
  <c r="I68" i="13"/>
  <c r="H68" i="13"/>
  <c r="E68" i="13"/>
  <c r="A68" i="13"/>
  <c r="K67" i="13"/>
  <c r="J67" i="13"/>
  <c r="I67" i="13"/>
  <c r="H67" i="13"/>
  <c r="E67" i="13"/>
  <c r="A67" i="13"/>
  <c r="K69" i="12"/>
  <c r="J69" i="12"/>
  <c r="I69" i="12"/>
  <c r="H69" i="12"/>
  <c r="E69" i="12"/>
  <c r="A69" i="12"/>
  <c r="K68" i="12"/>
  <c r="J68" i="12"/>
  <c r="I68" i="12"/>
  <c r="H68" i="12"/>
  <c r="E68" i="12"/>
  <c r="A68" i="12"/>
  <c r="K67" i="12"/>
  <c r="J67" i="12"/>
  <c r="I67" i="12"/>
  <c r="H67" i="12"/>
  <c r="E67" i="12"/>
  <c r="A67" i="12"/>
  <c r="K69" i="11"/>
  <c r="J69" i="11"/>
  <c r="I69" i="11"/>
  <c r="H69" i="11"/>
  <c r="E69" i="11"/>
  <c r="A69" i="11"/>
  <c r="K68" i="11"/>
  <c r="J68" i="11"/>
  <c r="I68" i="11"/>
  <c r="H68" i="11"/>
  <c r="E68" i="11"/>
  <c r="A68" i="11"/>
  <c r="K67" i="11"/>
  <c r="J67" i="11"/>
  <c r="I67" i="11"/>
  <c r="H67" i="11"/>
  <c r="E67" i="11"/>
  <c r="A67" i="11"/>
  <c r="K69" i="10"/>
  <c r="J69" i="10"/>
  <c r="I69" i="10"/>
  <c r="H69" i="10"/>
  <c r="E69" i="10"/>
  <c r="A69" i="10"/>
  <c r="K68" i="10"/>
  <c r="J68" i="10"/>
  <c r="I68" i="10"/>
  <c r="H68" i="10"/>
  <c r="E68" i="10"/>
  <c r="A68" i="10"/>
  <c r="K67" i="10"/>
  <c r="J67" i="10"/>
  <c r="I67" i="10"/>
  <c r="H67" i="10"/>
  <c r="E67" i="10"/>
  <c r="A67" i="10"/>
  <c r="K69" i="9"/>
  <c r="J69" i="9"/>
  <c r="I69" i="9"/>
  <c r="H69" i="9"/>
  <c r="E69" i="9"/>
  <c r="A69" i="9"/>
  <c r="K68" i="9"/>
  <c r="J68" i="9"/>
  <c r="I68" i="9"/>
  <c r="H68" i="9"/>
  <c r="E68" i="9"/>
  <c r="A68" i="9"/>
  <c r="K67" i="9"/>
  <c r="J67" i="9"/>
  <c r="I67" i="9"/>
  <c r="H67" i="9"/>
  <c r="E67" i="9"/>
  <c r="A67" i="9"/>
  <c r="K69" i="8"/>
  <c r="J69" i="8"/>
  <c r="I69" i="8"/>
  <c r="H69" i="8"/>
  <c r="E69" i="8"/>
  <c r="A69" i="8"/>
  <c r="K68" i="8"/>
  <c r="J68" i="8"/>
  <c r="I68" i="8"/>
  <c r="H68" i="8"/>
  <c r="E68" i="8"/>
  <c r="A68" i="8"/>
  <c r="K67" i="8"/>
  <c r="J67" i="8"/>
  <c r="I67" i="8"/>
  <c r="H67" i="8"/>
  <c r="E67" i="8"/>
  <c r="A67" i="8"/>
  <c r="F22" i="1"/>
  <c r="O22" i="1"/>
  <c r="F23" i="1"/>
  <c r="O23" i="1"/>
  <c r="F24" i="1"/>
  <c r="O24" i="1"/>
  <c r="F25" i="1"/>
  <c r="O25" i="1"/>
  <c r="F26" i="1"/>
  <c r="O26" i="1"/>
  <c r="F27" i="1"/>
  <c r="O27" i="1"/>
  <c r="F28" i="1"/>
  <c r="O28" i="1"/>
  <c r="F29" i="1"/>
  <c r="O29" i="1"/>
  <c r="F30" i="1"/>
  <c r="O30" i="1"/>
  <c r="F31" i="1"/>
  <c r="O31" i="1"/>
  <c r="F32" i="1"/>
  <c r="O32" i="1"/>
  <c r="F33" i="1"/>
  <c r="O33" i="1"/>
  <c r="F34" i="1"/>
  <c r="O34" i="1"/>
  <c r="F35" i="1"/>
  <c r="O35" i="1"/>
  <c r="F36" i="1"/>
  <c r="O36" i="1"/>
  <c r="F37" i="1"/>
  <c r="O37" i="1"/>
  <c r="F38" i="1"/>
  <c r="O38" i="1"/>
  <c r="F39" i="1"/>
  <c r="O39" i="1"/>
  <c r="F40" i="1"/>
  <c r="O40" i="1"/>
  <c r="F41" i="1"/>
  <c r="O41" i="1"/>
  <c r="F42" i="1"/>
  <c r="O42" i="1"/>
  <c r="F43" i="1"/>
  <c r="O43" i="1"/>
  <c r="F44" i="1"/>
  <c r="O44" i="1"/>
  <c r="F45" i="1"/>
  <c r="O45" i="1"/>
  <c r="F46" i="1"/>
  <c r="O46" i="1"/>
  <c r="F47" i="1"/>
  <c r="O47" i="1"/>
  <c r="F48" i="1"/>
  <c r="O48" i="1"/>
  <c r="F49" i="1"/>
  <c r="O49" i="1"/>
  <c r="F50" i="1"/>
  <c r="O50" i="1"/>
  <c r="F51" i="1"/>
  <c r="O51" i="1"/>
  <c r="F52" i="1"/>
  <c r="O52" i="1"/>
  <c r="F53" i="1"/>
  <c r="O53" i="1"/>
  <c r="F54" i="1"/>
  <c r="O54" i="1"/>
  <c r="F55" i="1"/>
  <c r="O55" i="1"/>
  <c r="F56" i="1"/>
  <c r="O56" i="1"/>
  <c r="F57" i="1"/>
  <c r="O57" i="1"/>
  <c r="F58" i="1"/>
  <c r="O58" i="1"/>
  <c r="F59" i="1"/>
  <c r="O59" i="1"/>
  <c r="F60" i="1"/>
  <c r="O60" i="1"/>
  <c r="F61" i="1"/>
  <c r="O61" i="1"/>
  <c r="F62" i="1"/>
  <c r="O62" i="1"/>
  <c r="F63" i="1"/>
  <c r="O63" i="1"/>
  <c r="F64" i="1"/>
  <c r="O64" i="1"/>
  <c r="F65" i="1"/>
  <c r="O65" i="1"/>
  <c r="F66" i="1"/>
  <c r="O66" i="1"/>
  <c r="F67" i="1"/>
  <c r="O67" i="1"/>
  <c r="F68" i="1"/>
  <c r="O68" i="1"/>
  <c r="F69" i="1"/>
  <c r="O69" i="1"/>
  <c r="F70" i="1"/>
  <c r="O70" i="1"/>
  <c r="F71" i="1"/>
  <c r="O71" i="1"/>
  <c r="F72" i="1"/>
  <c r="O72" i="1"/>
  <c r="F73" i="1"/>
  <c r="O73" i="1"/>
  <c r="F74" i="1"/>
  <c r="O74" i="1"/>
  <c r="F75" i="1"/>
  <c r="O75" i="1"/>
  <c r="F76" i="1"/>
  <c r="O76" i="1"/>
  <c r="F77" i="1"/>
  <c r="O77" i="1"/>
  <c r="F78" i="1"/>
  <c r="O78" i="1"/>
  <c r="F79" i="1"/>
  <c r="O79" i="1"/>
  <c r="F80" i="1"/>
  <c r="O80" i="1"/>
  <c r="F81" i="1"/>
  <c r="O81" i="1"/>
  <c r="F82" i="1"/>
  <c r="O82" i="1"/>
  <c r="F83" i="1"/>
  <c r="O83" i="1"/>
  <c r="F84" i="1"/>
  <c r="O84" i="1"/>
  <c r="F85" i="1"/>
  <c r="O85" i="1"/>
  <c r="F86" i="1"/>
  <c r="O86" i="1"/>
  <c r="F87" i="1"/>
  <c r="O87" i="1"/>
  <c r="F88" i="1"/>
  <c r="O88" i="1"/>
  <c r="F89" i="1"/>
  <c r="O89" i="1"/>
  <c r="F90" i="1"/>
  <c r="O90" i="1"/>
  <c r="F91" i="1"/>
  <c r="O91" i="1"/>
  <c r="F92" i="1"/>
  <c r="O92" i="1"/>
  <c r="F93" i="1"/>
  <c r="O93" i="1"/>
  <c r="F94" i="1"/>
  <c r="O94" i="1"/>
  <c r="F95" i="1"/>
  <c r="O95" i="1"/>
  <c r="F96" i="1"/>
  <c r="O96" i="1"/>
  <c r="F97" i="1"/>
  <c r="O97" i="1"/>
  <c r="F98" i="1"/>
  <c r="O98" i="1"/>
  <c r="F99" i="1"/>
  <c r="O99" i="1"/>
  <c r="F100" i="1"/>
  <c r="O100" i="1"/>
  <c r="F101" i="1"/>
  <c r="O101" i="1"/>
  <c r="F102" i="1"/>
  <c r="O102" i="1"/>
  <c r="F103" i="1"/>
  <c r="O103" i="1"/>
  <c r="F104" i="1"/>
  <c r="O104" i="1"/>
  <c r="F105" i="1"/>
  <c r="O105" i="1"/>
  <c r="F106" i="1"/>
  <c r="O106" i="1"/>
  <c r="F107" i="1"/>
  <c r="O107" i="1"/>
  <c r="F108" i="1"/>
  <c r="O108" i="1"/>
  <c r="F109" i="1"/>
  <c r="O109" i="1"/>
  <c r="F110" i="1"/>
  <c r="O110" i="1"/>
  <c r="F111" i="1"/>
  <c r="O111" i="1"/>
  <c r="F112" i="1"/>
  <c r="O112" i="1"/>
  <c r="F113" i="1"/>
  <c r="O113" i="1"/>
  <c r="F114" i="1"/>
  <c r="O114" i="1"/>
  <c r="F115" i="1"/>
  <c r="O115" i="1"/>
  <c r="F116" i="1"/>
  <c r="O116" i="1"/>
  <c r="F117" i="1"/>
  <c r="O117" i="1"/>
  <c r="F118" i="1"/>
  <c r="O118" i="1"/>
  <c r="F119" i="1"/>
  <c r="O119" i="1"/>
  <c r="F120" i="1"/>
  <c r="O120" i="1"/>
  <c r="F121" i="1"/>
  <c r="O121" i="1"/>
  <c r="F122" i="1"/>
  <c r="O122" i="1"/>
  <c r="F123" i="1"/>
  <c r="O123" i="1"/>
  <c r="F124" i="1"/>
  <c r="O124" i="1"/>
  <c r="F125" i="1"/>
  <c r="O125" i="1"/>
  <c r="F126" i="1"/>
  <c r="O126" i="1"/>
  <c r="F127" i="1"/>
  <c r="O127" i="1"/>
  <c r="F128" i="1"/>
  <c r="O128" i="1"/>
  <c r="F129" i="1"/>
  <c r="O129" i="1"/>
  <c r="F130" i="1"/>
  <c r="O130" i="1"/>
  <c r="F131" i="1"/>
  <c r="O131" i="1"/>
  <c r="F132" i="1"/>
  <c r="O132" i="1"/>
  <c r="F133" i="1"/>
  <c r="O133" i="1"/>
  <c r="F134" i="1"/>
  <c r="O134" i="1"/>
  <c r="F135" i="1"/>
  <c r="O135" i="1"/>
  <c r="F136" i="1"/>
  <c r="O136" i="1"/>
  <c r="F137" i="1"/>
  <c r="O137" i="1"/>
  <c r="F138" i="1"/>
  <c r="O138" i="1"/>
  <c r="F139" i="1"/>
  <c r="O139" i="1"/>
  <c r="F140" i="1"/>
  <c r="O140" i="1"/>
  <c r="F141" i="1"/>
  <c r="O141" i="1"/>
  <c r="F142" i="1"/>
  <c r="O142" i="1"/>
  <c r="F143" i="1"/>
  <c r="O143" i="1"/>
  <c r="F144" i="1"/>
  <c r="O144" i="1"/>
  <c r="F145" i="1"/>
  <c r="O145" i="1"/>
  <c r="F146" i="1"/>
  <c r="O146" i="1"/>
  <c r="F147" i="1"/>
  <c r="O147" i="1"/>
  <c r="F148" i="1"/>
  <c r="O148" i="1"/>
  <c r="F149" i="1"/>
  <c r="O149" i="1"/>
  <c r="F150" i="1"/>
  <c r="O150" i="1"/>
  <c r="F151" i="1"/>
  <c r="O151" i="1"/>
  <c r="F152" i="1"/>
  <c r="O152" i="1"/>
  <c r="F153" i="1"/>
  <c r="O153" i="1"/>
  <c r="F154" i="1"/>
  <c r="O154" i="1"/>
  <c r="F155" i="1"/>
  <c r="O155" i="1"/>
  <c r="F156" i="1"/>
  <c r="O156" i="1"/>
  <c r="F157" i="1"/>
  <c r="O157" i="1"/>
  <c r="F158" i="1"/>
  <c r="O158" i="1"/>
  <c r="F159" i="1"/>
  <c r="O159" i="1"/>
  <c r="F160" i="1"/>
  <c r="O160" i="1"/>
  <c r="F161" i="1"/>
  <c r="O161" i="1"/>
  <c r="F162" i="1"/>
  <c r="O162" i="1"/>
  <c r="F163" i="1"/>
  <c r="O163" i="1"/>
  <c r="F164" i="1"/>
  <c r="O164" i="1"/>
  <c r="F165" i="1"/>
  <c r="O165" i="1"/>
  <c r="F166" i="1"/>
  <c r="O166" i="1"/>
  <c r="F167" i="1"/>
  <c r="O167" i="1"/>
  <c r="F168" i="1"/>
  <c r="O168" i="1"/>
  <c r="F169" i="1"/>
  <c r="O169" i="1"/>
  <c r="F170" i="1"/>
  <c r="O170" i="1"/>
  <c r="F171" i="1"/>
  <c r="O171" i="1"/>
  <c r="F172" i="1"/>
  <c r="O172" i="1"/>
  <c r="F173" i="1"/>
  <c r="O173" i="1"/>
  <c r="F174" i="1"/>
  <c r="O174" i="1"/>
  <c r="F175" i="1"/>
  <c r="O175" i="1"/>
  <c r="F176" i="1"/>
  <c r="O176" i="1"/>
  <c r="F177" i="1"/>
  <c r="O177" i="1"/>
  <c r="F178" i="1"/>
  <c r="O178" i="1"/>
  <c r="F179" i="1"/>
  <c r="O179" i="1"/>
  <c r="F180" i="1"/>
  <c r="O180" i="1"/>
  <c r="F181" i="1"/>
  <c r="O181" i="1"/>
  <c r="F182" i="1"/>
  <c r="O182" i="1"/>
  <c r="F183" i="1"/>
  <c r="O183" i="1"/>
  <c r="F184" i="1"/>
  <c r="O184" i="1"/>
  <c r="F185" i="1"/>
  <c r="O185" i="1"/>
  <c r="F186" i="1"/>
  <c r="O186" i="1"/>
  <c r="F187" i="1"/>
  <c r="O187" i="1"/>
  <c r="F188" i="1"/>
  <c r="O188" i="1"/>
  <c r="F189" i="1"/>
  <c r="O189" i="1"/>
  <c r="F190" i="1"/>
  <c r="O190" i="1"/>
  <c r="F191" i="1"/>
  <c r="O191" i="1"/>
  <c r="F192" i="1"/>
  <c r="O192" i="1"/>
  <c r="F193" i="1"/>
  <c r="O193" i="1"/>
  <c r="F194" i="1"/>
  <c r="O194" i="1"/>
  <c r="F195" i="1"/>
  <c r="O195" i="1"/>
  <c r="F196" i="1"/>
  <c r="O196" i="1"/>
  <c r="F197" i="1"/>
  <c r="O197" i="1"/>
  <c r="F198" i="1"/>
  <c r="O198" i="1"/>
  <c r="F199" i="1"/>
  <c r="O199" i="1"/>
  <c r="F200" i="1"/>
  <c r="O200" i="1"/>
  <c r="F201" i="1"/>
  <c r="O201" i="1"/>
  <c r="F202" i="1"/>
  <c r="O202" i="1"/>
  <c r="F203" i="1"/>
  <c r="O203" i="1"/>
  <c r="F204" i="1"/>
  <c r="O204" i="1"/>
  <c r="F205" i="1"/>
  <c r="O205" i="1"/>
  <c r="F206" i="1"/>
  <c r="O206" i="1"/>
  <c r="F207" i="1"/>
  <c r="O207" i="1"/>
  <c r="F208" i="1"/>
  <c r="O208" i="1"/>
  <c r="F209" i="1"/>
  <c r="O209" i="1"/>
  <c r="F210" i="1"/>
  <c r="O210" i="1"/>
  <c r="F211" i="1"/>
  <c r="O211" i="1"/>
  <c r="F212" i="1"/>
  <c r="O212" i="1"/>
  <c r="F213" i="1"/>
  <c r="O213" i="1"/>
  <c r="F214" i="1"/>
  <c r="O214" i="1"/>
  <c r="F215" i="1"/>
  <c r="O215" i="1"/>
  <c r="F216" i="1"/>
  <c r="O216" i="1"/>
  <c r="F217" i="1"/>
  <c r="O217" i="1"/>
  <c r="F218" i="1"/>
  <c r="O218" i="1"/>
  <c r="F219" i="1"/>
  <c r="O219" i="1"/>
  <c r="F220" i="1"/>
  <c r="O220" i="1"/>
  <c r="F221" i="1"/>
  <c r="O221" i="1"/>
  <c r="F222" i="1"/>
  <c r="O222" i="1"/>
  <c r="F223" i="1"/>
  <c r="O223" i="1"/>
  <c r="F224" i="1"/>
  <c r="O224" i="1"/>
  <c r="F225" i="1"/>
  <c r="O225" i="1"/>
  <c r="F226" i="1"/>
  <c r="O226" i="1"/>
  <c r="F227" i="1"/>
  <c r="O227" i="1"/>
  <c r="F228" i="1"/>
  <c r="O228" i="1"/>
  <c r="F229" i="1"/>
  <c r="O229" i="1"/>
  <c r="F230" i="1"/>
  <c r="O230" i="1"/>
  <c r="F231" i="1"/>
  <c r="O231" i="1"/>
  <c r="F232" i="1"/>
  <c r="O232" i="1"/>
  <c r="F233" i="1"/>
  <c r="O233" i="1"/>
  <c r="F234" i="1"/>
  <c r="O234" i="1"/>
  <c r="F235" i="1"/>
  <c r="O235" i="1"/>
  <c r="F236" i="1"/>
  <c r="O236" i="1"/>
  <c r="F237" i="1"/>
  <c r="O237" i="1"/>
  <c r="F238" i="1"/>
  <c r="O238" i="1"/>
  <c r="F239" i="1"/>
  <c r="O239" i="1"/>
  <c r="F240" i="1"/>
  <c r="O240" i="1"/>
  <c r="F241" i="1"/>
  <c r="O241" i="1"/>
  <c r="F242" i="1"/>
  <c r="O242" i="1"/>
  <c r="F243" i="1"/>
  <c r="O243" i="1"/>
  <c r="F244" i="1"/>
  <c r="O244" i="1"/>
  <c r="F245" i="1"/>
  <c r="O245" i="1"/>
  <c r="F246" i="1"/>
  <c r="O246" i="1"/>
  <c r="F247" i="1"/>
  <c r="O247" i="1"/>
  <c r="F248" i="1"/>
  <c r="O248" i="1"/>
  <c r="F249" i="1"/>
  <c r="O249" i="1"/>
  <c r="F250" i="1"/>
  <c r="O250" i="1"/>
  <c r="F251" i="1"/>
  <c r="O251" i="1"/>
  <c r="F252" i="1"/>
  <c r="O252" i="1"/>
  <c r="F253" i="1"/>
  <c r="O253" i="1"/>
  <c r="F254" i="1"/>
  <c r="O254" i="1"/>
  <c r="F255" i="1"/>
  <c r="O255" i="1"/>
  <c r="F256" i="1"/>
  <c r="O256" i="1"/>
  <c r="F257" i="1"/>
  <c r="O257" i="1"/>
  <c r="F258" i="1"/>
  <c r="O258" i="1"/>
  <c r="F259" i="1"/>
  <c r="O259" i="1"/>
  <c r="F260" i="1"/>
  <c r="O260" i="1"/>
  <c r="F261" i="1"/>
  <c r="O261" i="1"/>
  <c r="F262" i="1"/>
  <c r="O262" i="1"/>
  <c r="F263" i="1"/>
  <c r="O263" i="1"/>
  <c r="F264" i="1"/>
  <c r="O264" i="1"/>
  <c r="F265" i="1"/>
  <c r="O265" i="1"/>
  <c r="F266" i="1"/>
  <c r="O266" i="1"/>
  <c r="F267" i="1"/>
  <c r="O267" i="1"/>
  <c r="F268" i="1"/>
  <c r="O268" i="1"/>
  <c r="F269" i="1"/>
  <c r="O269" i="1"/>
  <c r="F270" i="1"/>
  <c r="O270" i="1"/>
  <c r="F271" i="1"/>
  <c r="O271" i="1"/>
  <c r="F272" i="1"/>
  <c r="O272" i="1"/>
  <c r="F273" i="1"/>
  <c r="O273" i="1"/>
  <c r="F274" i="1"/>
  <c r="O274" i="1"/>
  <c r="F275" i="1"/>
  <c r="O275" i="1"/>
  <c r="F276" i="1"/>
  <c r="O276" i="1"/>
  <c r="F277" i="1"/>
  <c r="O277" i="1"/>
  <c r="F278" i="1"/>
  <c r="O278" i="1"/>
  <c r="F279" i="1"/>
  <c r="O279" i="1"/>
  <c r="F280" i="1"/>
  <c r="O280" i="1"/>
  <c r="F281" i="1"/>
  <c r="O281" i="1"/>
  <c r="F282" i="1"/>
  <c r="O282" i="1"/>
  <c r="F283" i="1"/>
  <c r="O283" i="1"/>
  <c r="F284" i="1"/>
  <c r="O284" i="1"/>
  <c r="F285" i="1"/>
  <c r="O285" i="1"/>
  <c r="F286" i="1"/>
  <c r="O286" i="1"/>
  <c r="F287" i="1"/>
  <c r="O287" i="1"/>
  <c r="F288" i="1"/>
  <c r="O288" i="1"/>
  <c r="F289" i="1"/>
  <c r="O289" i="1"/>
  <c r="F290" i="1"/>
  <c r="O290" i="1"/>
  <c r="F291" i="1"/>
  <c r="O291" i="1"/>
  <c r="F292" i="1"/>
  <c r="O292" i="1"/>
  <c r="F293" i="1"/>
  <c r="O293" i="1"/>
  <c r="F294" i="1"/>
  <c r="O294" i="1"/>
  <c r="F295" i="1"/>
  <c r="O295" i="1"/>
  <c r="F296" i="1"/>
  <c r="O296" i="1"/>
  <c r="F297" i="1"/>
  <c r="O297" i="1"/>
  <c r="F298" i="1"/>
  <c r="O298" i="1"/>
  <c r="F299" i="1"/>
  <c r="O299" i="1"/>
  <c r="F300" i="1"/>
  <c r="O300" i="1"/>
  <c r="F301" i="1"/>
  <c r="O301" i="1"/>
  <c r="F302" i="1"/>
  <c r="O302" i="1"/>
  <c r="F303" i="1"/>
  <c r="O303" i="1"/>
  <c r="F304" i="1"/>
  <c r="O304" i="1"/>
  <c r="F305" i="1"/>
  <c r="O305" i="1"/>
  <c r="F306" i="1"/>
  <c r="O306" i="1"/>
  <c r="F307" i="1"/>
  <c r="O307" i="1"/>
  <c r="F308" i="1"/>
  <c r="O308" i="1"/>
  <c r="F309" i="1"/>
  <c r="O309" i="1"/>
  <c r="F310" i="1"/>
  <c r="O310" i="1"/>
  <c r="F311" i="1"/>
  <c r="O311" i="1"/>
  <c r="F312" i="1"/>
  <c r="O312" i="1"/>
  <c r="F313" i="1"/>
  <c r="O313" i="1"/>
  <c r="F314" i="1"/>
  <c r="O314" i="1"/>
  <c r="F315" i="1"/>
  <c r="O315" i="1"/>
  <c r="F316" i="1"/>
  <c r="O316" i="1"/>
  <c r="F317" i="1"/>
  <c r="O317" i="1"/>
  <c r="F318" i="1"/>
  <c r="O318" i="1"/>
  <c r="F319" i="1"/>
  <c r="O319" i="1"/>
  <c r="F320" i="1"/>
  <c r="O320" i="1"/>
  <c r="F321" i="1"/>
  <c r="O321" i="1"/>
  <c r="F322" i="1"/>
  <c r="O322" i="1"/>
  <c r="F323" i="1"/>
  <c r="O323" i="1"/>
  <c r="F324" i="1"/>
  <c r="O324" i="1"/>
  <c r="F325" i="1"/>
  <c r="O325" i="1"/>
  <c r="F326" i="1"/>
  <c r="O326" i="1"/>
  <c r="F327" i="1"/>
  <c r="O327" i="1"/>
  <c r="F328" i="1"/>
  <c r="O328" i="1"/>
  <c r="F329" i="1"/>
  <c r="O329" i="1"/>
  <c r="F330" i="1"/>
  <c r="O330" i="1"/>
  <c r="F331" i="1"/>
  <c r="O331" i="1"/>
  <c r="F332" i="1"/>
  <c r="O332" i="1"/>
  <c r="F333" i="1"/>
  <c r="O333" i="1"/>
  <c r="F334" i="1"/>
  <c r="O334" i="1"/>
  <c r="F335" i="1"/>
  <c r="O335" i="1"/>
  <c r="F336" i="1"/>
  <c r="O336" i="1"/>
  <c r="F337" i="1"/>
  <c r="O337" i="1"/>
  <c r="F338" i="1"/>
  <c r="O338" i="1"/>
  <c r="F339" i="1"/>
  <c r="O339" i="1"/>
  <c r="F340" i="1"/>
  <c r="O340" i="1"/>
  <c r="F341" i="1"/>
  <c r="O341" i="1"/>
  <c r="F342" i="1"/>
  <c r="O342" i="1"/>
  <c r="F343" i="1"/>
  <c r="O343" i="1"/>
  <c r="F344" i="1"/>
  <c r="O344" i="1"/>
  <c r="F345" i="1"/>
  <c r="O345" i="1"/>
  <c r="F346" i="1"/>
  <c r="O346" i="1"/>
  <c r="F347" i="1"/>
  <c r="O347" i="1"/>
  <c r="F348" i="1"/>
  <c r="O348" i="1"/>
  <c r="F349" i="1"/>
  <c r="O349" i="1"/>
  <c r="F350" i="1"/>
  <c r="O350" i="1"/>
  <c r="F351" i="1"/>
  <c r="O351" i="1"/>
  <c r="F352" i="1"/>
  <c r="O352" i="1"/>
  <c r="F353" i="1"/>
  <c r="O353" i="1"/>
  <c r="F354" i="1"/>
  <c r="O354" i="1"/>
  <c r="F355" i="1"/>
  <c r="O355" i="1"/>
  <c r="F356" i="1"/>
  <c r="O356" i="1"/>
  <c r="F357" i="1"/>
  <c r="O357" i="1"/>
  <c r="F358" i="1"/>
  <c r="O358" i="1"/>
  <c r="F359" i="1"/>
  <c r="O359" i="1"/>
  <c r="F360" i="1"/>
  <c r="O360" i="1"/>
  <c r="F361" i="1"/>
  <c r="O361" i="1"/>
  <c r="F362" i="1"/>
  <c r="O362" i="1"/>
  <c r="F363" i="1"/>
  <c r="O363" i="1"/>
  <c r="F364" i="1"/>
  <c r="O364" i="1"/>
  <c r="F365" i="1"/>
  <c r="O365" i="1"/>
  <c r="F366" i="1"/>
  <c r="O366" i="1"/>
  <c r="F367" i="1"/>
  <c r="O367" i="1"/>
  <c r="F368" i="1"/>
  <c r="O368" i="1"/>
  <c r="F369" i="1"/>
  <c r="O369" i="1"/>
  <c r="F370" i="1"/>
  <c r="O370" i="1"/>
  <c r="F371" i="1"/>
  <c r="O371" i="1"/>
  <c r="F372" i="1"/>
  <c r="O372" i="1"/>
  <c r="F373" i="1"/>
  <c r="O373" i="1"/>
  <c r="F374" i="1"/>
  <c r="O374" i="1"/>
  <c r="F375" i="1"/>
  <c r="O375" i="1"/>
  <c r="F376" i="1"/>
  <c r="O376" i="1"/>
  <c r="F377" i="1"/>
  <c r="O377" i="1"/>
  <c r="F378" i="1"/>
  <c r="O378" i="1"/>
  <c r="F379" i="1"/>
  <c r="O379" i="1"/>
  <c r="F380" i="1"/>
  <c r="O380" i="1"/>
  <c r="F381" i="1"/>
  <c r="O381" i="1"/>
  <c r="F382" i="1"/>
  <c r="O382" i="1"/>
  <c r="F383" i="1"/>
  <c r="O383" i="1"/>
  <c r="F384" i="1"/>
  <c r="O384" i="1"/>
  <c r="F385" i="1"/>
  <c r="O385" i="1"/>
  <c r="F386" i="1"/>
  <c r="O386" i="1"/>
  <c r="F387" i="1"/>
  <c r="O387" i="1"/>
  <c r="F388" i="1"/>
  <c r="O388" i="1"/>
  <c r="F389" i="1"/>
  <c r="O389" i="1"/>
  <c r="F390" i="1"/>
  <c r="O390" i="1"/>
  <c r="F391" i="1"/>
  <c r="O391" i="1"/>
  <c r="F392" i="1"/>
  <c r="O392" i="1"/>
  <c r="F393" i="1"/>
  <c r="O393" i="1"/>
  <c r="F394" i="1"/>
  <c r="O394" i="1"/>
  <c r="F395" i="1"/>
  <c r="O395" i="1"/>
  <c r="F396" i="1"/>
  <c r="O396" i="1"/>
  <c r="F397" i="1"/>
  <c r="O397" i="1"/>
  <c r="F398" i="1"/>
  <c r="O398" i="1"/>
  <c r="F399" i="1"/>
  <c r="O399" i="1"/>
  <c r="F400" i="1"/>
  <c r="O400" i="1"/>
  <c r="F401" i="1"/>
  <c r="O401" i="1"/>
  <c r="F402" i="1"/>
  <c r="O402" i="1"/>
  <c r="F403" i="1"/>
  <c r="O403" i="1"/>
  <c r="F404" i="1"/>
  <c r="O404" i="1"/>
  <c r="F405" i="1"/>
  <c r="O405" i="1"/>
  <c r="F406" i="1"/>
  <c r="O406" i="1"/>
  <c r="F407" i="1"/>
  <c r="O407" i="1"/>
  <c r="F408" i="1"/>
  <c r="O408" i="1"/>
  <c r="F409" i="1"/>
  <c r="O409" i="1"/>
  <c r="F410" i="1"/>
  <c r="O410" i="1"/>
  <c r="F411" i="1"/>
  <c r="O411" i="1"/>
  <c r="F412" i="1"/>
  <c r="O412" i="1"/>
  <c r="F413" i="1"/>
  <c r="O413" i="1"/>
  <c r="F414" i="1"/>
  <c r="O414" i="1"/>
  <c r="F415" i="1"/>
  <c r="O415" i="1"/>
  <c r="F416" i="1"/>
  <c r="O416" i="1"/>
  <c r="F417" i="1"/>
  <c r="O417" i="1"/>
  <c r="F418" i="1"/>
  <c r="O418" i="1"/>
  <c r="F419" i="1"/>
  <c r="O419" i="1"/>
  <c r="F420" i="1"/>
  <c r="O420" i="1"/>
  <c r="F421" i="1"/>
  <c r="O421" i="1"/>
  <c r="F422" i="1"/>
  <c r="O422" i="1"/>
  <c r="F423" i="1"/>
  <c r="O423" i="1"/>
  <c r="F424" i="1"/>
  <c r="O424" i="1"/>
  <c r="F425" i="1"/>
  <c r="O425" i="1"/>
  <c r="F426" i="1"/>
  <c r="O426" i="1"/>
  <c r="F427" i="1"/>
  <c r="O427" i="1"/>
  <c r="F428" i="1"/>
  <c r="O428" i="1"/>
  <c r="F429" i="1"/>
  <c r="O429" i="1"/>
  <c r="F430" i="1"/>
  <c r="O430" i="1"/>
  <c r="F431" i="1"/>
  <c r="O431" i="1"/>
  <c r="F432" i="1"/>
  <c r="O432" i="1"/>
  <c r="F433" i="1"/>
  <c r="O433" i="1"/>
  <c r="F434" i="1"/>
  <c r="O434" i="1"/>
  <c r="F435" i="1"/>
  <c r="O435" i="1"/>
  <c r="F436" i="1"/>
  <c r="O436" i="1"/>
  <c r="F437" i="1"/>
  <c r="O437" i="1"/>
  <c r="F438" i="1"/>
  <c r="O438" i="1"/>
  <c r="F439" i="1"/>
  <c r="O439" i="1"/>
  <c r="F440" i="1"/>
  <c r="O440" i="1"/>
  <c r="F441" i="1"/>
  <c r="O441" i="1"/>
  <c r="F442" i="1"/>
  <c r="O442" i="1"/>
  <c r="F443" i="1"/>
  <c r="O443" i="1"/>
  <c r="F444" i="1"/>
  <c r="O444" i="1"/>
  <c r="F445" i="1"/>
  <c r="O445" i="1"/>
  <c r="F446" i="1"/>
  <c r="O446" i="1"/>
  <c r="F447" i="1"/>
  <c r="O447" i="1"/>
  <c r="F448" i="1"/>
  <c r="O448" i="1"/>
  <c r="F449" i="1"/>
  <c r="O449" i="1"/>
  <c r="F450" i="1"/>
  <c r="O450" i="1"/>
  <c r="F451" i="1"/>
  <c r="O451" i="1"/>
  <c r="F452" i="1"/>
  <c r="O452" i="1"/>
  <c r="F453" i="1"/>
  <c r="O453" i="1"/>
  <c r="F454" i="1"/>
  <c r="O454" i="1"/>
  <c r="F455" i="1"/>
  <c r="O455" i="1"/>
  <c r="F456" i="1"/>
  <c r="O456" i="1"/>
  <c r="F457" i="1"/>
  <c r="O457" i="1"/>
  <c r="F458" i="1"/>
  <c r="O458" i="1"/>
  <c r="F459" i="1"/>
  <c r="O459" i="1"/>
  <c r="F460" i="1"/>
  <c r="O460" i="1"/>
  <c r="F461" i="1"/>
  <c r="O461" i="1"/>
  <c r="F462" i="1"/>
  <c r="O462" i="1"/>
  <c r="F463" i="1"/>
  <c r="O463" i="1"/>
  <c r="F464" i="1"/>
  <c r="O464" i="1"/>
  <c r="F465" i="1"/>
  <c r="O465" i="1"/>
  <c r="F466" i="1"/>
  <c r="O466" i="1"/>
  <c r="F467" i="1"/>
  <c r="O467" i="1"/>
  <c r="F468" i="1"/>
  <c r="O468" i="1"/>
  <c r="F469" i="1"/>
  <c r="O469" i="1"/>
  <c r="F470" i="1"/>
  <c r="O470" i="1"/>
  <c r="F471" i="1"/>
  <c r="O471" i="1"/>
  <c r="F472" i="1"/>
  <c r="O472" i="1"/>
  <c r="F473" i="1"/>
  <c r="O473" i="1"/>
  <c r="F474" i="1"/>
  <c r="O474" i="1"/>
  <c r="F475" i="1"/>
  <c r="O475" i="1"/>
  <c r="F476" i="1"/>
  <c r="O476" i="1"/>
  <c r="F477" i="1"/>
  <c r="O477" i="1"/>
  <c r="F478" i="1"/>
  <c r="O478" i="1"/>
  <c r="F479" i="1"/>
  <c r="O479" i="1"/>
  <c r="F480" i="1"/>
  <c r="O480" i="1"/>
  <c r="F481" i="1"/>
  <c r="O481" i="1"/>
  <c r="F482" i="1"/>
  <c r="O482" i="1"/>
  <c r="F483" i="1"/>
  <c r="O483" i="1"/>
  <c r="F484" i="1"/>
  <c r="O484" i="1"/>
  <c r="F485" i="1"/>
  <c r="O485" i="1"/>
  <c r="F486" i="1"/>
  <c r="O486" i="1"/>
  <c r="F487" i="1"/>
  <c r="O487" i="1"/>
  <c r="F488" i="1"/>
  <c r="O488" i="1"/>
  <c r="F489" i="1"/>
  <c r="O489" i="1"/>
  <c r="F490" i="1"/>
  <c r="O490" i="1"/>
  <c r="F491" i="1"/>
  <c r="O491" i="1"/>
  <c r="F492" i="1"/>
  <c r="O492" i="1"/>
  <c r="F493" i="1"/>
  <c r="O493" i="1"/>
  <c r="F494" i="1"/>
  <c r="O494" i="1"/>
  <c r="F495" i="1"/>
  <c r="O495" i="1"/>
  <c r="F496" i="1"/>
  <c r="O496" i="1"/>
  <c r="F497" i="1"/>
  <c r="O497" i="1"/>
  <c r="F498" i="1"/>
  <c r="O498" i="1"/>
  <c r="F499" i="1"/>
  <c r="O499" i="1"/>
  <c r="F500" i="1"/>
  <c r="O500" i="1"/>
  <c r="F501" i="1"/>
  <c r="O501" i="1"/>
  <c r="F502" i="1"/>
  <c r="O502" i="1"/>
  <c r="F503" i="1"/>
  <c r="O503" i="1"/>
  <c r="F504" i="1"/>
  <c r="O504" i="1"/>
  <c r="F505" i="1"/>
  <c r="O505" i="1"/>
  <c r="F506" i="1"/>
  <c r="O506" i="1"/>
  <c r="F507" i="1"/>
  <c r="O507" i="1"/>
  <c r="F508" i="1"/>
  <c r="O508" i="1"/>
  <c r="F509" i="1"/>
  <c r="O509" i="1"/>
  <c r="F510" i="1"/>
  <c r="O510" i="1"/>
  <c r="F511" i="1"/>
  <c r="O511" i="1"/>
  <c r="F512" i="1"/>
  <c r="O512" i="1"/>
  <c r="F513" i="1"/>
  <c r="O513" i="1"/>
  <c r="F514" i="1"/>
  <c r="O514" i="1"/>
  <c r="F515" i="1"/>
  <c r="O515" i="1"/>
  <c r="F516" i="1"/>
  <c r="O516" i="1"/>
  <c r="F517" i="1"/>
  <c r="O517" i="1"/>
  <c r="F518" i="1"/>
  <c r="O518" i="1"/>
  <c r="F519" i="1"/>
  <c r="O519" i="1"/>
  <c r="F520" i="1"/>
  <c r="O520" i="1"/>
  <c r="F521" i="1"/>
  <c r="O521" i="1"/>
  <c r="F522" i="1"/>
  <c r="O522" i="1"/>
  <c r="F523" i="1"/>
  <c r="O523" i="1"/>
  <c r="F524" i="1"/>
  <c r="O524" i="1"/>
  <c r="F525" i="1"/>
  <c r="O525" i="1"/>
  <c r="F526" i="1"/>
  <c r="O526" i="1"/>
  <c r="F527" i="1"/>
  <c r="O527" i="1"/>
  <c r="F528" i="1"/>
  <c r="O528" i="1"/>
  <c r="F529" i="1"/>
  <c r="O529" i="1"/>
  <c r="F530" i="1"/>
  <c r="O530" i="1"/>
  <c r="F531" i="1"/>
  <c r="O531" i="1"/>
  <c r="F532" i="1"/>
  <c r="O532" i="1"/>
  <c r="F533" i="1"/>
  <c r="O533" i="1"/>
  <c r="F534" i="1"/>
  <c r="O534" i="1"/>
  <c r="F535" i="1"/>
  <c r="O535" i="1"/>
  <c r="F536" i="1"/>
  <c r="O536" i="1"/>
  <c r="F537" i="1"/>
  <c r="O537" i="1"/>
  <c r="F538" i="1"/>
  <c r="O538" i="1"/>
  <c r="F539" i="1"/>
  <c r="O539" i="1"/>
  <c r="F540" i="1"/>
  <c r="O540" i="1"/>
  <c r="F541" i="1"/>
  <c r="O541" i="1"/>
  <c r="F542" i="1"/>
  <c r="O542" i="1"/>
  <c r="F543" i="1"/>
  <c r="O543" i="1"/>
  <c r="F544" i="1"/>
  <c r="O544" i="1"/>
  <c r="F545" i="1"/>
  <c r="O545" i="1"/>
  <c r="F546" i="1"/>
  <c r="O546" i="1"/>
  <c r="F547" i="1"/>
  <c r="O547" i="1"/>
  <c r="F548" i="1"/>
  <c r="O548" i="1"/>
  <c r="F549" i="1"/>
  <c r="O549" i="1"/>
  <c r="F550" i="1"/>
  <c r="O550" i="1"/>
  <c r="F551" i="1"/>
  <c r="O551" i="1"/>
  <c r="F552" i="1"/>
  <c r="O552" i="1"/>
  <c r="F553" i="1"/>
  <c r="O553" i="1"/>
  <c r="F554" i="1"/>
  <c r="O554" i="1"/>
  <c r="F555" i="1"/>
  <c r="O555" i="1"/>
  <c r="F556" i="1"/>
  <c r="O556" i="1"/>
  <c r="F557" i="1"/>
  <c r="O557" i="1"/>
  <c r="F558" i="1"/>
  <c r="O558" i="1"/>
  <c r="F559" i="1"/>
  <c r="O559" i="1"/>
  <c r="F560" i="1"/>
  <c r="O560" i="1"/>
  <c r="F561" i="1"/>
  <c r="O561" i="1"/>
  <c r="F562" i="1"/>
  <c r="O562" i="1"/>
  <c r="F563" i="1"/>
  <c r="O563" i="1"/>
  <c r="F564" i="1"/>
  <c r="O564" i="1"/>
  <c r="F565" i="1"/>
  <c r="O565" i="1"/>
  <c r="F566" i="1"/>
  <c r="O566" i="1"/>
  <c r="F567" i="1"/>
  <c r="O567" i="1"/>
  <c r="F568" i="1"/>
  <c r="O568" i="1"/>
  <c r="F569" i="1"/>
  <c r="O569" i="1"/>
  <c r="F570" i="1"/>
  <c r="O570" i="1"/>
  <c r="F571" i="1"/>
  <c r="O571" i="1"/>
  <c r="F572" i="1"/>
  <c r="O572" i="1"/>
  <c r="F573" i="1"/>
  <c r="O573" i="1"/>
  <c r="F574" i="1"/>
  <c r="O574" i="1"/>
  <c r="F575" i="1"/>
  <c r="O575" i="1"/>
  <c r="F576" i="1"/>
  <c r="O576" i="1"/>
  <c r="F577" i="1"/>
  <c r="O577" i="1"/>
  <c r="F578" i="1"/>
  <c r="O578" i="1"/>
  <c r="F579" i="1"/>
  <c r="O579" i="1"/>
  <c r="F580" i="1"/>
  <c r="O580" i="1"/>
  <c r="F581" i="1"/>
  <c r="O581" i="1"/>
  <c r="F582" i="1"/>
  <c r="O582" i="1"/>
  <c r="F583" i="1"/>
  <c r="O583" i="1"/>
  <c r="F584" i="1"/>
  <c r="O584" i="1"/>
  <c r="F585" i="1"/>
  <c r="O585" i="1"/>
  <c r="F586" i="1"/>
  <c r="O586" i="1"/>
  <c r="F587" i="1"/>
  <c r="O587" i="1"/>
  <c r="F588" i="1"/>
  <c r="O588" i="1"/>
  <c r="F589" i="1"/>
  <c r="O589" i="1"/>
  <c r="F590" i="1"/>
  <c r="O590" i="1"/>
  <c r="F591" i="1"/>
  <c r="O591" i="1"/>
  <c r="F592" i="1"/>
  <c r="O592" i="1"/>
  <c r="F593" i="1"/>
  <c r="O593" i="1"/>
  <c r="F594" i="1"/>
  <c r="O594" i="1"/>
  <c r="F595" i="1"/>
  <c r="O595" i="1"/>
  <c r="F596" i="1"/>
  <c r="O596" i="1"/>
  <c r="F597" i="1"/>
  <c r="O597" i="1"/>
  <c r="F598" i="1"/>
  <c r="O598" i="1"/>
  <c r="F599" i="1"/>
  <c r="O599" i="1"/>
  <c r="F600" i="1"/>
  <c r="O600" i="1"/>
  <c r="F601" i="1"/>
  <c r="O601" i="1"/>
  <c r="F602" i="1"/>
  <c r="O602" i="1"/>
  <c r="F603" i="1"/>
  <c r="O603" i="1"/>
  <c r="F604" i="1"/>
  <c r="O604" i="1"/>
  <c r="F605" i="1"/>
  <c r="O605" i="1"/>
  <c r="F606" i="1"/>
  <c r="O606" i="1"/>
  <c r="F607" i="1"/>
  <c r="O607" i="1"/>
  <c r="F608" i="1"/>
  <c r="O608" i="1"/>
  <c r="F609" i="1"/>
  <c r="O609" i="1"/>
  <c r="F610" i="1"/>
  <c r="O610" i="1"/>
  <c r="F611" i="1"/>
  <c r="O611" i="1"/>
  <c r="F612" i="1"/>
  <c r="O612" i="1"/>
  <c r="F613" i="1"/>
  <c r="O613" i="1"/>
  <c r="F614" i="1"/>
  <c r="O614" i="1"/>
  <c r="F615" i="1"/>
  <c r="O615" i="1"/>
  <c r="F616" i="1"/>
  <c r="O616" i="1"/>
  <c r="F617" i="1"/>
  <c r="O617" i="1"/>
  <c r="F618" i="1"/>
  <c r="O618" i="1"/>
  <c r="F619" i="1"/>
  <c r="O619" i="1"/>
  <c r="F620" i="1"/>
  <c r="O620" i="1"/>
  <c r="F621" i="1"/>
  <c r="O621" i="1"/>
  <c r="F622" i="1"/>
  <c r="O622" i="1"/>
  <c r="F623" i="1"/>
  <c r="O623" i="1"/>
  <c r="F624" i="1"/>
  <c r="O624" i="1"/>
  <c r="F625" i="1"/>
  <c r="O625" i="1"/>
  <c r="F626" i="1"/>
  <c r="O626" i="1"/>
  <c r="F627" i="1"/>
  <c r="O627" i="1"/>
  <c r="F628" i="1"/>
  <c r="O628" i="1"/>
  <c r="F629" i="1"/>
  <c r="O629" i="1"/>
  <c r="F630" i="1"/>
  <c r="O630" i="1"/>
  <c r="F631" i="1"/>
  <c r="O631" i="1"/>
  <c r="F632" i="1"/>
  <c r="O632" i="1"/>
  <c r="F633" i="1"/>
  <c r="O633" i="1"/>
  <c r="F634" i="1"/>
  <c r="O634" i="1"/>
  <c r="F635" i="1"/>
  <c r="O635" i="1"/>
  <c r="F636" i="1"/>
  <c r="O636" i="1"/>
  <c r="F637" i="1"/>
  <c r="O637" i="1"/>
  <c r="F638" i="1"/>
  <c r="O638" i="1"/>
  <c r="F639" i="1"/>
  <c r="O639" i="1"/>
  <c r="F640" i="1"/>
  <c r="O640" i="1"/>
  <c r="F641" i="1"/>
  <c r="O641" i="1"/>
  <c r="F642" i="1"/>
  <c r="O642" i="1"/>
  <c r="F643" i="1"/>
  <c r="O643" i="1"/>
  <c r="F644" i="1"/>
  <c r="O644" i="1"/>
  <c r="F645" i="1"/>
  <c r="O645" i="1"/>
  <c r="F646" i="1"/>
  <c r="O646" i="1"/>
  <c r="F647" i="1"/>
  <c r="O647" i="1"/>
  <c r="F648" i="1"/>
  <c r="O648" i="1"/>
  <c r="F649" i="1"/>
  <c r="O649" i="1"/>
  <c r="F650" i="1"/>
  <c r="O650" i="1"/>
  <c r="F651" i="1"/>
  <c r="O651" i="1"/>
  <c r="F652" i="1"/>
  <c r="O652" i="1"/>
  <c r="F653" i="1"/>
  <c r="O653" i="1"/>
  <c r="F654" i="1"/>
  <c r="O654" i="1"/>
  <c r="F655" i="1"/>
  <c r="O655" i="1"/>
  <c r="F656" i="1"/>
  <c r="O656" i="1"/>
  <c r="F657" i="1"/>
  <c r="O657" i="1"/>
  <c r="F658" i="1"/>
  <c r="O658" i="1"/>
  <c r="F659" i="1"/>
  <c r="O659" i="1"/>
  <c r="F660" i="1"/>
  <c r="O660" i="1"/>
  <c r="F661" i="1"/>
  <c r="O661" i="1"/>
  <c r="F662" i="1"/>
  <c r="O662" i="1"/>
  <c r="F663" i="1"/>
  <c r="O663" i="1"/>
  <c r="F664" i="1"/>
  <c r="O664" i="1"/>
  <c r="F665" i="1"/>
  <c r="O665" i="1"/>
  <c r="F666" i="1"/>
  <c r="O666" i="1"/>
  <c r="F667" i="1"/>
  <c r="O667" i="1"/>
  <c r="F668" i="1"/>
  <c r="O668" i="1"/>
  <c r="F669" i="1"/>
  <c r="O669" i="1"/>
  <c r="F670" i="1"/>
  <c r="O670" i="1"/>
  <c r="F671" i="1"/>
  <c r="O671" i="1"/>
  <c r="F672" i="1"/>
  <c r="O672" i="1"/>
  <c r="F673" i="1"/>
  <c r="O673" i="1"/>
  <c r="F674" i="1"/>
  <c r="O674" i="1"/>
  <c r="F675" i="1"/>
  <c r="O675" i="1"/>
  <c r="F676" i="1"/>
  <c r="O676" i="1"/>
  <c r="F677" i="1"/>
  <c r="O677" i="1"/>
  <c r="F678" i="1"/>
  <c r="O678" i="1"/>
  <c r="F679" i="1"/>
  <c r="O679" i="1"/>
  <c r="F680" i="1"/>
  <c r="O680" i="1"/>
  <c r="F681" i="1"/>
  <c r="O681" i="1"/>
  <c r="F682" i="1"/>
  <c r="O682" i="1"/>
  <c r="F683" i="1"/>
  <c r="O683" i="1"/>
  <c r="F684" i="1"/>
  <c r="O684" i="1"/>
  <c r="F685" i="1"/>
  <c r="O685" i="1"/>
  <c r="F686" i="1"/>
  <c r="O686" i="1"/>
  <c r="F687" i="1"/>
  <c r="O687" i="1"/>
  <c r="F688" i="1"/>
  <c r="O688" i="1"/>
  <c r="F689" i="1"/>
  <c r="O689" i="1"/>
  <c r="F690" i="1"/>
  <c r="O690" i="1"/>
  <c r="F691" i="1"/>
  <c r="O691" i="1"/>
  <c r="F692" i="1"/>
  <c r="O692" i="1"/>
  <c r="F693" i="1"/>
  <c r="O693" i="1"/>
  <c r="F694" i="1"/>
  <c r="O694" i="1"/>
  <c r="F695" i="1"/>
  <c r="O695" i="1"/>
  <c r="F696" i="1"/>
  <c r="O696" i="1"/>
  <c r="F697" i="1"/>
  <c r="O697" i="1"/>
  <c r="F698" i="1"/>
  <c r="O698" i="1"/>
  <c r="F699" i="1"/>
  <c r="O699" i="1"/>
  <c r="F700" i="1"/>
  <c r="O700" i="1"/>
  <c r="F701" i="1"/>
  <c r="O701" i="1"/>
  <c r="F702" i="1"/>
  <c r="O702" i="1"/>
  <c r="F703" i="1"/>
  <c r="O703" i="1"/>
  <c r="F704" i="1"/>
  <c r="O704" i="1"/>
  <c r="F705" i="1"/>
  <c r="O705" i="1"/>
  <c r="F706" i="1"/>
  <c r="O706" i="1"/>
  <c r="F707" i="1"/>
  <c r="O707" i="1"/>
  <c r="F708" i="1"/>
  <c r="O708" i="1"/>
  <c r="F709" i="1"/>
  <c r="O709" i="1"/>
  <c r="F710" i="1"/>
  <c r="O710" i="1"/>
  <c r="F711" i="1"/>
  <c r="O711" i="1"/>
  <c r="F712" i="1"/>
  <c r="O712" i="1"/>
  <c r="F713" i="1"/>
  <c r="O713" i="1"/>
  <c r="F714" i="1"/>
  <c r="O714" i="1"/>
  <c r="F715" i="1"/>
  <c r="O715" i="1"/>
  <c r="F716" i="1"/>
  <c r="O716" i="1"/>
  <c r="F717" i="1"/>
  <c r="O717" i="1"/>
  <c r="F718" i="1"/>
  <c r="O718" i="1"/>
  <c r="F719" i="1"/>
  <c r="O719" i="1"/>
  <c r="F720" i="1"/>
  <c r="O720" i="1"/>
  <c r="F721" i="1"/>
  <c r="O721" i="1"/>
  <c r="F722" i="1"/>
  <c r="O722" i="1"/>
  <c r="F723" i="1"/>
  <c r="O723" i="1"/>
  <c r="F724" i="1"/>
  <c r="O724" i="1"/>
  <c r="F725" i="1"/>
  <c r="O725" i="1"/>
  <c r="F726" i="1"/>
  <c r="O726" i="1"/>
  <c r="F727" i="1"/>
  <c r="O727" i="1"/>
  <c r="F728" i="1"/>
  <c r="O728" i="1"/>
  <c r="F729" i="1"/>
  <c r="O729" i="1"/>
  <c r="F730" i="1"/>
  <c r="O730" i="1"/>
  <c r="F731" i="1"/>
  <c r="O731" i="1"/>
  <c r="F732" i="1"/>
  <c r="O732" i="1"/>
  <c r="F733" i="1"/>
  <c r="O733" i="1"/>
  <c r="F734" i="1"/>
  <c r="O734" i="1"/>
  <c r="F735" i="1"/>
  <c r="O735" i="1"/>
  <c r="F736" i="1"/>
  <c r="O736" i="1"/>
  <c r="F737" i="1"/>
  <c r="O737" i="1"/>
  <c r="F738" i="1"/>
  <c r="O738" i="1"/>
  <c r="F739" i="1"/>
  <c r="O739" i="1"/>
  <c r="F740" i="1"/>
  <c r="O740" i="1"/>
  <c r="F741" i="1"/>
  <c r="O741" i="1"/>
  <c r="F742" i="1"/>
  <c r="O742" i="1"/>
  <c r="F743" i="1"/>
  <c r="O743" i="1"/>
  <c r="F744" i="1"/>
  <c r="O744" i="1"/>
  <c r="F745" i="1"/>
  <c r="O745" i="1"/>
  <c r="F746" i="1"/>
  <c r="O746" i="1"/>
  <c r="F747" i="1"/>
  <c r="O747" i="1"/>
  <c r="F748" i="1"/>
  <c r="O748" i="1"/>
  <c r="F749" i="1"/>
  <c r="O749" i="1"/>
  <c r="F750" i="1"/>
  <c r="O750" i="1"/>
  <c r="F751" i="1"/>
  <c r="O751" i="1"/>
  <c r="F752" i="1"/>
  <c r="O752" i="1"/>
  <c r="F753" i="1"/>
  <c r="O753" i="1"/>
  <c r="F754" i="1"/>
  <c r="O754" i="1"/>
  <c r="F755" i="1"/>
  <c r="O755" i="1"/>
  <c r="F756" i="1"/>
  <c r="O756" i="1"/>
  <c r="F757" i="1"/>
  <c r="O757" i="1"/>
  <c r="F758" i="1"/>
  <c r="O758" i="1"/>
  <c r="F759" i="1"/>
  <c r="O759" i="1"/>
  <c r="F760" i="1"/>
  <c r="O760" i="1"/>
  <c r="F761" i="1"/>
  <c r="O761" i="1"/>
  <c r="F762" i="1"/>
  <c r="O762" i="1"/>
  <c r="F763" i="1"/>
  <c r="O763" i="1"/>
  <c r="F764" i="1"/>
  <c r="O764" i="1"/>
  <c r="F765" i="1"/>
  <c r="O765" i="1"/>
  <c r="F766" i="1"/>
  <c r="O766" i="1"/>
  <c r="F767" i="1"/>
  <c r="O767" i="1"/>
  <c r="F768" i="1"/>
  <c r="O768" i="1"/>
  <c r="F769" i="1"/>
  <c r="O769" i="1"/>
  <c r="F770" i="1"/>
  <c r="O770" i="1"/>
  <c r="F771" i="1"/>
  <c r="O771" i="1"/>
  <c r="F772" i="1"/>
  <c r="O772" i="1"/>
  <c r="F773" i="1"/>
  <c r="O773" i="1"/>
  <c r="F774" i="1"/>
  <c r="O774" i="1"/>
  <c r="F775" i="1"/>
  <c r="O775" i="1"/>
  <c r="F776" i="1"/>
  <c r="O776" i="1"/>
  <c r="F777" i="1"/>
  <c r="O777" i="1"/>
  <c r="F778" i="1"/>
  <c r="O778" i="1"/>
  <c r="F779" i="1"/>
  <c r="O779" i="1"/>
  <c r="F780" i="1"/>
  <c r="O780" i="1"/>
  <c r="F781" i="1"/>
  <c r="O781" i="1"/>
  <c r="F782" i="1"/>
  <c r="O782" i="1"/>
  <c r="F783" i="1"/>
  <c r="O783" i="1"/>
  <c r="F784" i="1"/>
  <c r="O784" i="1"/>
  <c r="F785" i="1"/>
  <c r="O785" i="1"/>
  <c r="F786" i="1"/>
  <c r="O786" i="1"/>
  <c r="F787" i="1"/>
  <c r="O787" i="1"/>
  <c r="F788" i="1"/>
  <c r="O788" i="1"/>
  <c r="F789" i="1"/>
  <c r="O789" i="1"/>
  <c r="F790" i="1"/>
  <c r="O790" i="1"/>
  <c r="F791" i="1"/>
  <c r="O791" i="1"/>
  <c r="F792" i="1"/>
  <c r="O792" i="1"/>
  <c r="F793" i="1"/>
  <c r="O793" i="1"/>
  <c r="F794" i="1"/>
  <c r="O794" i="1"/>
  <c r="F795" i="1"/>
  <c r="O795" i="1"/>
  <c r="F796" i="1"/>
  <c r="O796" i="1"/>
  <c r="F797" i="1"/>
  <c r="O797" i="1"/>
  <c r="F798" i="1"/>
  <c r="O798" i="1"/>
  <c r="F799" i="1"/>
  <c r="O799" i="1"/>
  <c r="F800" i="1"/>
  <c r="O800" i="1"/>
  <c r="F801" i="1"/>
  <c r="O801" i="1"/>
  <c r="F802" i="1"/>
  <c r="O802" i="1"/>
  <c r="F803" i="1"/>
  <c r="O803" i="1"/>
  <c r="F804" i="1"/>
  <c r="O804" i="1"/>
  <c r="F805" i="1"/>
  <c r="O805" i="1"/>
  <c r="F806" i="1"/>
  <c r="O806" i="1"/>
  <c r="F807" i="1"/>
  <c r="O807" i="1"/>
  <c r="F808" i="1"/>
  <c r="O808" i="1"/>
  <c r="F809" i="1"/>
  <c r="O809" i="1"/>
  <c r="F810" i="1"/>
  <c r="O810" i="1"/>
  <c r="F811" i="1"/>
  <c r="O811" i="1"/>
  <c r="F812" i="1"/>
  <c r="O812" i="1"/>
  <c r="F813" i="1"/>
  <c r="O813" i="1"/>
  <c r="F814" i="1"/>
  <c r="O814" i="1"/>
  <c r="F815" i="1"/>
  <c r="O815" i="1"/>
  <c r="F816" i="1"/>
  <c r="O816" i="1"/>
  <c r="F817" i="1"/>
  <c r="O817" i="1"/>
  <c r="F818" i="1"/>
  <c r="O818" i="1"/>
  <c r="F819" i="1"/>
  <c r="O819" i="1"/>
  <c r="F820" i="1"/>
  <c r="O820" i="1"/>
  <c r="K69" i="7" l="1"/>
  <c r="J69" i="7"/>
  <c r="I69" i="7"/>
  <c r="H69" i="7"/>
  <c r="E69" i="7"/>
  <c r="A69" i="7"/>
  <c r="K68" i="7"/>
  <c r="J68" i="7"/>
  <c r="I68" i="7"/>
  <c r="H68" i="7"/>
  <c r="E68" i="7"/>
  <c r="A68" i="7"/>
  <c r="K67" i="7"/>
  <c r="J67" i="7"/>
  <c r="I67" i="7"/>
  <c r="H67" i="7"/>
  <c r="E67" i="7"/>
  <c r="A67" i="7"/>
  <c r="O19" i="1" l="1"/>
  <c r="O20" i="1"/>
  <c r="O21" i="1"/>
  <c r="F20" i="1"/>
  <c r="F21" i="1"/>
  <c r="F14" i="1"/>
  <c r="F15" i="1"/>
  <c r="F16" i="1"/>
  <c r="F17" i="1"/>
  <c r="F18" i="1"/>
  <c r="F19" i="1"/>
  <c r="F13" i="1"/>
  <c r="F12" i="1"/>
  <c r="AB455" i="2" l="1"/>
  <c r="Z455" i="2"/>
  <c r="X455" i="2"/>
  <c r="AB454" i="2"/>
  <c r="Z454" i="2"/>
  <c r="X454" i="2"/>
  <c r="AB453" i="2"/>
  <c r="Z453" i="2"/>
  <c r="X453" i="2"/>
  <c r="AB452" i="2"/>
  <c r="Z452" i="2"/>
  <c r="X452" i="2"/>
  <c r="AB451" i="2"/>
  <c r="Z451" i="2"/>
  <c r="X451" i="2"/>
  <c r="AB450" i="2"/>
  <c r="Z450" i="2"/>
  <c r="X450" i="2"/>
  <c r="AB449" i="2"/>
  <c r="Z449" i="2"/>
  <c r="X449" i="2"/>
  <c r="AB448" i="2"/>
  <c r="Z448" i="2"/>
  <c r="X448" i="2"/>
  <c r="AB447" i="2"/>
  <c r="Z447" i="2"/>
  <c r="X447" i="2"/>
  <c r="AB446" i="2"/>
  <c r="Z446" i="2"/>
  <c r="X446" i="2"/>
  <c r="AB445" i="2"/>
  <c r="Z445" i="2"/>
  <c r="X445" i="2"/>
  <c r="AB444" i="2"/>
  <c r="Z444" i="2"/>
  <c r="X444" i="2"/>
  <c r="AB443" i="2"/>
  <c r="Z443" i="2"/>
  <c r="X443" i="2"/>
  <c r="AB442" i="2"/>
  <c r="Z442" i="2"/>
  <c r="X442" i="2"/>
  <c r="AB441" i="2"/>
  <c r="Z441" i="2"/>
  <c r="X441" i="2"/>
  <c r="AB440" i="2"/>
  <c r="Z440" i="2"/>
  <c r="X440" i="2"/>
  <c r="AB439" i="2"/>
  <c r="Z439" i="2"/>
  <c r="X439" i="2"/>
  <c r="AB438" i="2"/>
  <c r="Z438" i="2"/>
  <c r="X438" i="2"/>
  <c r="AB437" i="2"/>
  <c r="Z437" i="2"/>
  <c r="X437" i="2"/>
  <c r="AB436" i="2"/>
  <c r="Z436" i="2"/>
  <c r="X436" i="2"/>
  <c r="AB435" i="2"/>
  <c r="Z435" i="2"/>
  <c r="X435" i="2"/>
  <c r="AB434" i="2"/>
  <c r="Z434" i="2"/>
  <c r="X434" i="2"/>
  <c r="AB433" i="2"/>
  <c r="Z433" i="2"/>
  <c r="X433" i="2"/>
  <c r="AB432" i="2"/>
  <c r="Z432" i="2"/>
  <c r="X432" i="2"/>
  <c r="AB431" i="2"/>
  <c r="Z431" i="2"/>
  <c r="X431" i="2"/>
  <c r="AB430" i="2"/>
  <c r="Z430" i="2"/>
  <c r="X430" i="2"/>
  <c r="AB429" i="2"/>
  <c r="Z429" i="2"/>
  <c r="X429" i="2"/>
  <c r="AB428" i="2"/>
  <c r="Z428" i="2"/>
  <c r="X428" i="2"/>
  <c r="AB427" i="2"/>
  <c r="Z427" i="2"/>
  <c r="X427" i="2"/>
  <c r="AB426" i="2"/>
  <c r="Z426" i="2"/>
  <c r="X426" i="2"/>
  <c r="AB425" i="2"/>
  <c r="Z425" i="2"/>
  <c r="X425" i="2"/>
  <c r="AB424" i="2"/>
  <c r="Z424" i="2"/>
  <c r="X424" i="2"/>
  <c r="AB423" i="2"/>
  <c r="Z423" i="2"/>
  <c r="X423" i="2"/>
  <c r="AB422" i="2"/>
  <c r="Z422" i="2"/>
  <c r="X422" i="2"/>
  <c r="AB421" i="2"/>
  <c r="Z421" i="2"/>
  <c r="X421" i="2"/>
  <c r="AB420" i="2"/>
  <c r="Z420" i="2"/>
  <c r="X420" i="2"/>
  <c r="AB419" i="2"/>
  <c r="Z419" i="2"/>
  <c r="X419" i="2"/>
  <c r="AB418" i="2"/>
  <c r="Z418" i="2"/>
  <c r="X418" i="2"/>
  <c r="AB417" i="2"/>
  <c r="Z417" i="2"/>
  <c r="X417" i="2"/>
  <c r="AB416" i="2"/>
  <c r="Z416" i="2"/>
  <c r="X416" i="2"/>
  <c r="AB415" i="2"/>
  <c r="Z415" i="2"/>
  <c r="X415" i="2"/>
  <c r="AB414" i="2"/>
  <c r="Z414" i="2"/>
  <c r="X414" i="2"/>
  <c r="AB413" i="2"/>
  <c r="Z413" i="2"/>
  <c r="X413" i="2"/>
  <c r="AB412" i="2"/>
  <c r="Z412" i="2"/>
  <c r="X412" i="2"/>
  <c r="AB411" i="2"/>
  <c r="Z411" i="2"/>
  <c r="X411" i="2"/>
  <c r="AB410" i="2"/>
  <c r="Z410" i="2"/>
  <c r="X410" i="2"/>
  <c r="AB409" i="2"/>
  <c r="Z409" i="2"/>
  <c r="X409" i="2"/>
  <c r="AB408" i="2"/>
  <c r="Z408" i="2"/>
  <c r="X408" i="2"/>
  <c r="AB407" i="2"/>
  <c r="Z407" i="2"/>
  <c r="X407" i="2"/>
  <c r="AB406" i="2"/>
  <c r="Z406" i="2"/>
  <c r="X406" i="2"/>
  <c r="AB405" i="2"/>
  <c r="Z405" i="2"/>
  <c r="X405" i="2"/>
  <c r="AB404" i="2"/>
  <c r="Z404" i="2"/>
  <c r="X404" i="2"/>
  <c r="AB403" i="2"/>
  <c r="Z403" i="2"/>
  <c r="X403" i="2"/>
  <c r="AB402" i="2"/>
  <c r="Z402" i="2"/>
  <c r="X402" i="2"/>
  <c r="AB401" i="2"/>
  <c r="Z401" i="2"/>
  <c r="X401" i="2"/>
  <c r="AB400" i="2"/>
  <c r="Z400" i="2"/>
  <c r="X400" i="2"/>
  <c r="AB399" i="2"/>
  <c r="Z399" i="2"/>
  <c r="X399" i="2"/>
  <c r="AB398" i="2"/>
  <c r="Z398" i="2"/>
  <c r="X398" i="2"/>
  <c r="AB397" i="2"/>
  <c r="Z397" i="2"/>
  <c r="X397" i="2"/>
  <c r="AB396" i="2"/>
  <c r="Z396" i="2"/>
  <c r="X396" i="2"/>
  <c r="AB395" i="2"/>
  <c r="Z395" i="2"/>
  <c r="X395" i="2"/>
  <c r="AB394" i="2"/>
  <c r="Z394" i="2"/>
  <c r="X394" i="2"/>
  <c r="AB393" i="2"/>
  <c r="Z393" i="2"/>
  <c r="X393" i="2"/>
  <c r="AB392" i="2"/>
  <c r="Z392" i="2"/>
  <c r="X392" i="2"/>
  <c r="AB391" i="2"/>
  <c r="Z391" i="2"/>
  <c r="X391" i="2"/>
  <c r="AB390" i="2"/>
  <c r="Z390" i="2"/>
  <c r="X390" i="2"/>
  <c r="AB389" i="2"/>
  <c r="Z389" i="2"/>
  <c r="X389" i="2"/>
  <c r="AB388" i="2"/>
  <c r="Z388" i="2"/>
  <c r="X388" i="2"/>
  <c r="AB387" i="2"/>
  <c r="Z387" i="2"/>
  <c r="X387" i="2"/>
  <c r="AB386" i="2"/>
  <c r="Z386" i="2"/>
  <c r="X386" i="2"/>
  <c r="AB385" i="2"/>
  <c r="Z385" i="2"/>
  <c r="X385" i="2"/>
  <c r="AB384" i="2"/>
  <c r="Z384" i="2"/>
  <c r="X384" i="2"/>
  <c r="AB383" i="2"/>
  <c r="Z383" i="2"/>
  <c r="X383" i="2"/>
  <c r="AB382" i="2"/>
  <c r="Z382" i="2"/>
  <c r="X382" i="2"/>
  <c r="AB381" i="2"/>
  <c r="Z381" i="2"/>
  <c r="X381" i="2"/>
  <c r="AB380" i="2"/>
  <c r="Z380" i="2"/>
  <c r="X380" i="2"/>
  <c r="AB379" i="2"/>
  <c r="Z379" i="2"/>
  <c r="X379" i="2"/>
  <c r="AB378" i="2"/>
  <c r="Z378" i="2"/>
  <c r="X378" i="2"/>
  <c r="AB377" i="2"/>
  <c r="Z377" i="2"/>
  <c r="X377" i="2"/>
  <c r="AB376" i="2"/>
  <c r="Z376" i="2"/>
  <c r="X376" i="2"/>
  <c r="AB375" i="2"/>
  <c r="Z375" i="2"/>
  <c r="X375" i="2"/>
  <c r="AB374" i="2"/>
  <c r="Z374" i="2"/>
  <c r="X374" i="2"/>
  <c r="AB373" i="2"/>
  <c r="Z373" i="2"/>
  <c r="X373" i="2"/>
  <c r="AB372" i="2"/>
  <c r="Z372" i="2"/>
  <c r="X372" i="2"/>
  <c r="AB371" i="2"/>
  <c r="Z371" i="2"/>
  <c r="X371" i="2"/>
  <c r="AB370" i="2"/>
  <c r="Z370" i="2"/>
  <c r="X370" i="2"/>
  <c r="AB369" i="2"/>
  <c r="Z369" i="2"/>
  <c r="X369" i="2"/>
  <c r="AB368" i="2"/>
  <c r="Z368" i="2"/>
  <c r="X368" i="2"/>
  <c r="AB367" i="2"/>
  <c r="Z367" i="2"/>
  <c r="X367" i="2"/>
  <c r="AB366" i="2"/>
  <c r="Z366" i="2"/>
  <c r="X366" i="2"/>
  <c r="AB365" i="2"/>
  <c r="Z365" i="2"/>
  <c r="X365" i="2"/>
  <c r="AB364" i="2"/>
  <c r="Z364" i="2"/>
  <c r="X364" i="2"/>
  <c r="AB363" i="2"/>
  <c r="Z363" i="2"/>
  <c r="X363" i="2"/>
  <c r="AB362" i="2"/>
  <c r="Z362" i="2"/>
  <c r="X362" i="2"/>
  <c r="AB361" i="2"/>
  <c r="Z361" i="2"/>
  <c r="X361" i="2"/>
  <c r="AB360" i="2"/>
  <c r="Z360" i="2"/>
  <c r="X360" i="2"/>
  <c r="AB359" i="2"/>
  <c r="Z359" i="2"/>
  <c r="X359" i="2"/>
  <c r="AB358" i="2"/>
  <c r="Z358" i="2"/>
  <c r="X358" i="2"/>
  <c r="AB357" i="2"/>
  <c r="Z357" i="2"/>
  <c r="X357" i="2"/>
  <c r="AB356" i="2"/>
  <c r="Z356" i="2"/>
  <c r="X356" i="2"/>
  <c r="AB355" i="2"/>
  <c r="Z355" i="2"/>
  <c r="X355" i="2"/>
  <c r="AB354" i="2"/>
  <c r="Z354" i="2"/>
  <c r="X354" i="2"/>
  <c r="AB353" i="2"/>
  <c r="Z353" i="2"/>
  <c r="X353" i="2"/>
  <c r="AB352" i="2"/>
  <c r="Z352" i="2"/>
  <c r="X352" i="2"/>
  <c r="AB351" i="2"/>
  <c r="Z351" i="2"/>
  <c r="X351" i="2"/>
  <c r="AB350" i="2"/>
  <c r="Z350" i="2"/>
  <c r="X350" i="2"/>
  <c r="AB349" i="2"/>
  <c r="Z349" i="2"/>
  <c r="X349" i="2"/>
  <c r="AB348" i="2"/>
  <c r="Z348" i="2"/>
  <c r="X348" i="2"/>
  <c r="AB347" i="2"/>
  <c r="Z347" i="2"/>
  <c r="X347" i="2"/>
  <c r="AB346" i="2"/>
  <c r="Z346" i="2"/>
  <c r="X346" i="2"/>
  <c r="AB345" i="2"/>
  <c r="Z345" i="2"/>
  <c r="X345" i="2"/>
  <c r="AB344" i="2"/>
  <c r="Z344" i="2"/>
  <c r="X344" i="2"/>
  <c r="AB343" i="2"/>
  <c r="Z343" i="2"/>
  <c r="X343" i="2"/>
  <c r="AB342" i="2"/>
  <c r="Z342" i="2"/>
  <c r="X342" i="2"/>
  <c r="AB341" i="2"/>
  <c r="Z341" i="2"/>
  <c r="X341" i="2"/>
  <c r="AB340" i="2"/>
  <c r="Z340" i="2"/>
  <c r="X340" i="2"/>
  <c r="AB339" i="2"/>
  <c r="Z339" i="2"/>
  <c r="X339" i="2"/>
  <c r="AB338" i="2"/>
  <c r="Z338" i="2"/>
  <c r="X338" i="2"/>
  <c r="AB337" i="2"/>
  <c r="Z337" i="2"/>
  <c r="X337" i="2"/>
  <c r="AB336" i="2"/>
  <c r="Z336" i="2"/>
  <c r="X336" i="2"/>
  <c r="AB335" i="2"/>
  <c r="Z335" i="2"/>
  <c r="X335" i="2"/>
  <c r="AB334" i="2"/>
  <c r="Z334" i="2"/>
  <c r="X334" i="2"/>
  <c r="AB333" i="2"/>
  <c r="Z333" i="2"/>
  <c r="X333" i="2"/>
  <c r="AB332" i="2"/>
  <c r="Z332" i="2"/>
  <c r="X332" i="2"/>
  <c r="AB331" i="2"/>
  <c r="Z331" i="2"/>
  <c r="X331" i="2"/>
  <c r="AB330" i="2"/>
  <c r="Z330" i="2"/>
  <c r="X330" i="2"/>
  <c r="AB329" i="2"/>
  <c r="Z329" i="2"/>
  <c r="X329" i="2"/>
  <c r="AB328" i="2"/>
  <c r="Z328" i="2"/>
  <c r="X328" i="2"/>
  <c r="AB327" i="2"/>
  <c r="Z327" i="2"/>
  <c r="X327" i="2"/>
  <c r="AB326" i="2"/>
  <c r="Z326" i="2"/>
  <c r="X326" i="2"/>
  <c r="AB325" i="2"/>
  <c r="Z325" i="2"/>
  <c r="X325" i="2"/>
  <c r="AB324" i="2"/>
  <c r="Z324" i="2"/>
  <c r="X324" i="2"/>
  <c r="AB323" i="2"/>
  <c r="Z323" i="2"/>
  <c r="X323" i="2"/>
  <c r="AB322" i="2"/>
  <c r="Z322" i="2"/>
  <c r="X322" i="2"/>
  <c r="AB321" i="2"/>
  <c r="Z321" i="2"/>
  <c r="X321" i="2"/>
  <c r="AB320" i="2"/>
  <c r="Z320" i="2"/>
  <c r="X320" i="2"/>
  <c r="AB319" i="2"/>
  <c r="Z319" i="2"/>
  <c r="X319" i="2"/>
  <c r="AB318" i="2"/>
  <c r="Z318" i="2"/>
  <c r="X318" i="2"/>
  <c r="AB317" i="2"/>
  <c r="Z317" i="2"/>
  <c r="X317" i="2"/>
  <c r="AB316" i="2"/>
  <c r="Z316" i="2"/>
  <c r="X316" i="2"/>
  <c r="AB315" i="2"/>
  <c r="Z315" i="2"/>
  <c r="X315" i="2"/>
  <c r="AB314" i="2"/>
  <c r="Z314" i="2"/>
  <c r="X314" i="2"/>
  <c r="AB313" i="2"/>
  <c r="Z313" i="2"/>
  <c r="X313" i="2"/>
  <c r="AB312" i="2"/>
  <c r="Z312" i="2"/>
  <c r="X312" i="2"/>
  <c r="AB311" i="2"/>
  <c r="Z311" i="2"/>
  <c r="X311" i="2"/>
  <c r="AB310" i="2"/>
  <c r="Z310" i="2"/>
  <c r="X310" i="2"/>
  <c r="AB309" i="2"/>
  <c r="Z309" i="2"/>
  <c r="X309" i="2"/>
  <c r="AB308" i="2"/>
  <c r="Z308" i="2"/>
  <c r="X308" i="2"/>
  <c r="AB307" i="2"/>
  <c r="Z307" i="2"/>
  <c r="X307" i="2"/>
  <c r="AB306" i="2"/>
  <c r="Z306" i="2"/>
  <c r="X306" i="2"/>
  <c r="AB305" i="2"/>
  <c r="Z305" i="2"/>
  <c r="X305" i="2"/>
  <c r="AB304" i="2"/>
  <c r="Z304" i="2"/>
  <c r="X304" i="2"/>
  <c r="AB303" i="2"/>
  <c r="Z303" i="2"/>
  <c r="X303" i="2"/>
  <c r="AB302" i="2"/>
  <c r="Z302" i="2"/>
  <c r="X302" i="2"/>
  <c r="AB301" i="2"/>
  <c r="Z301" i="2"/>
  <c r="X301" i="2"/>
  <c r="AB300" i="2"/>
  <c r="Z300" i="2"/>
  <c r="X300" i="2"/>
  <c r="AB299" i="2"/>
  <c r="Z299" i="2"/>
  <c r="X299" i="2"/>
  <c r="AB298" i="2"/>
  <c r="Z298" i="2"/>
  <c r="X298" i="2"/>
  <c r="AB297" i="2"/>
  <c r="Z297" i="2"/>
  <c r="X297" i="2"/>
  <c r="AB296" i="2"/>
  <c r="Z296" i="2"/>
  <c r="X296" i="2"/>
  <c r="AB295" i="2"/>
  <c r="Z295" i="2"/>
  <c r="X295" i="2"/>
  <c r="AB294" i="2"/>
  <c r="Z294" i="2"/>
  <c r="X294" i="2"/>
  <c r="AB293" i="2"/>
  <c r="Z293" i="2"/>
  <c r="X293" i="2"/>
  <c r="AB292" i="2"/>
  <c r="Z292" i="2"/>
  <c r="X292" i="2"/>
  <c r="AB291" i="2"/>
  <c r="Z291" i="2"/>
  <c r="X291" i="2"/>
  <c r="AB290" i="2"/>
  <c r="Z290" i="2"/>
  <c r="X290" i="2"/>
  <c r="AB289" i="2"/>
  <c r="Z289" i="2"/>
  <c r="X289" i="2"/>
  <c r="AB288" i="2"/>
  <c r="Z288" i="2"/>
  <c r="X288" i="2"/>
  <c r="AB287" i="2"/>
  <c r="Z287" i="2"/>
  <c r="X287" i="2"/>
  <c r="AB286" i="2"/>
  <c r="Z286" i="2"/>
  <c r="X286" i="2"/>
  <c r="AB285" i="2"/>
  <c r="Z285" i="2"/>
  <c r="X285" i="2"/>
  <c r="AB284" i="2"/>
  <c r="Z284" i="2"/>
  <c r="X284" i="2"/>
  <c r="AB283" i="2"/>
  <c r="Z283" i="2"/>
  <c r="X283" i="2"/>
  <c r="AB282" i="2"/>
  <c r="Z282" i="2"/>
  <c r="X282" i="2"/>
  <c r="AB281" i="2"/>
  <c r="Z281" i="2"/>
  <c r="X281" i="2"/>
  <c r="AB280" i="2"/>
  <c r="Z280" i="2"/>
  <c r="X280" i="2"/>
  <c r="AB279" i="2"/>
  <c r="Z279" i="2"/>
  <c r="X279" i="2"/>
  <c r="AB278" i="2"/>
  <c r="Z278" i="2"/>
  <c r="X278" i="2"/>
  <c r="AB277" i="2"/>
  <c r="Z277" i="2"/>
  <c r="X277" i="2"/>
  <c r="AB276" i="2"/>
  <c r="Z276" i="2"/>
  <c r="X276" i="2"/>
  <c r="AB275" i="2"/>
  <c r="Z275" i="2"/>
  <c r="X275" i="2"/>
  <c r="AB274" i="2"/>
  <c r="Z274" i="2"/>
  <c r="X274" i="2"/>
  <c r="AB273" i="2"/>
  <c r="Z273" i="2"/>
  <c r="X273" i="2"/>
  <c r="AB272" i="2"/>
  <c r="Z272" i="2"/>
  <c r="X272" i="2"/>
  <c r="AB271" i="2"/>
  <c r="Z271" i="2"/>
  <c r="X271" i="2"/>
  <c r="AB270" i="2"/>
  <c r="Z270" i="2"/>
  <c r="X270" i="2"/>
  <c r="AB269" i="2"/>
  <c r="Z269" i="2"/>
  <c r="X269" i="2"/>
  <c r="AB268" i="2"/>
  <c r="Z268" i="2"/>
  <c r="X268" i="2"/>
  <c r="AB267" i="2"/>
  <c r="Z267" i="2"/>
  <c r="X267" i="2"/>
  <c r="AB266" i="2"/>
  <c r="Z266" i="2"/>
  <c r="X266" i="2"/>
  <c r="AB265" i="2"/>
  <c r="Z265" i="2"/>
  <c r="X265" i="2"/>
  <c r="AB264" i="2"/>
  <c r="Z264" i="2"/>
  <c r="X264" i="2"/>
  <c r="AB263" i="2"/>
  <c r="Z263" i="2"/>
  <c r="X263" i="2"/>
  <c r="AB262" i="2"/>
  <c r="Z262" i="2"/>
  <c r="X262" i="2"/>
  <c r="AB261" i="2"/>
  <c r="Z261" i="2"/>
  <c r="X261" i="2"/>
  <c r="AB260" i="2"/>
  <c r="Z260" i="2"/>
  <c r="X260" i="2"/>
  <c r="AB259" i="2"/>
  <c r="Z259" i="2"/>
  <c r="X259" i="2"/>
  <c r="AB258" i="2"/>
  <c r="Z258" i="2"/>
  <c r="X258" i="2"/>
  <c r="AB257" i="2"/>
  <c r="Z257" i="2"/>
  <c r="X257" i="2"/>
  <c r="AB256" i="2"/>
  <c r="Z256" i="2"/>
  <c r="X256" i="2"/>
  <c r="AB255" i="2"/>
  <c r="Z255" i="2"/>
  <c r="X255" i="2"/>
  <c r="AB254" i="2"/>
  <c r="Z254" i="2"/>
  <c r="X254" i="2"/>
  <c r="AB253" i="2"/>
  <c r="Z253" i="2"/>
  <c r="X253" i="2"/>
  <c r="AB252" i="2"/>
  <c r="Z252" i="2"/>
  <c r="X252" i="2"/>
  <c r="AB251" i="2"/>
  <c r="Z251" i="2"/>
  <c r="X251" i="2"/>
  <c r="AB250" i="2"/>
  <c r="Z250" i="2"/>
  <c r="X250" i="2"/>
  <c r="AB249" i="2"/>
  <c r="Z249" i="2"/>
  <c r="X249" i="2"/>
  <c r="AB248" i="2"/>
  <c r="Z248" i="2"/>
  <c r="X248" i="2"/>
  <c r="AB247" i="2"/>
  <c r="Z247" i="2"/>
  <c r="X247" i="2"/>
  <c r="AB246" i="2"/>
  <c r="Z246" i="2"/>
  <c r="X246" i="2"/>
  <c r="AB245" i="2"/>
  <c r="Z245" i="2"/>
  <c r="X245" i="2"/>
  <c r="AB244" i="2"/>
  <c r="Z244" i="2"/>
  <c r="X244" i="2"/>
  <c r="AB243" i="2"/>
  <c r="Z243" i="2"/>
  <c r="X243" i="2"/>
  <c r="AB242" i="2"/>
  <c r="Z242" i="2"/>
  <c r="X242" i="2"/>
  <c r="AB241" i="2"/>
  <c r="Z241" i="2"/>
  <c r="X241" i="2"/>
  <c r="AB240" i="2"/>
  <c r="Z240" i="2"/>
  <c r="X240" i="2"/>
  <c r="AB239" i="2"/>
  <c r="Z239" i="2"/>
  <c r="X239" i="2"/>
  <c r="AB238" i="2"/>
  <c r="Z238" i="2"/>
  <c r="X238" i="2"/>
  <c r="AB237" i="2"/>
  <c r="Z237" i="2"/>
  <c r="X237" i="2"/>
  <c r="AB236" i="2"/>
  <c r="Z236" i="2"/>
  <c r="X236" i="2"/>
  <c r="AB235" i="2"/>
  <c r="Z235" i="2"/>
  <c r="X235" i="2"/>
  <c r="AB234" i="2"/>
  <c r="Z234" i="2"/>
  <c r="X234" i="2"/>
  <c r="AB233" i="2"/>
  <c r="Z233" i="2"/>
  <c r="X233" i="2"/>
  <c r="AB232" i="2"/>
  <c r="Z232" i="2"/>
  <c r="X232" i="2"/>
  <c r="AB231" i="2"/>
  <c r="Z231" i="2"/>
  <c r="X231" i="2"/>
  <c r="AB230" i="2"/>
  <c r="Z230" i="2"/>
  <c r="X230" i="2"/>
  <c r="AB229" i="2"/>
  <c r="Z229" i="2"/>
  <c r="X229" i="2"/>
  <c r="AB228" i="2"/>
  <c r="Z228" i="2"/>
  <c r="X228" i="2"/>
  <c r="AB227" i="2"/>
  <c r="Z227" i="2"/>
  <c r="X227" i="2"/>
  <c r="AB226" i="2"/>
  <c r="Z226" i="2"/>
  <c r="X226" i="2"/>
  <c r="AB225" i="2"/>
  <c r="Z225" i="2"/>
  <c r="X225" i="2"/>
  <c r="AB224" i="2"/>
  <c r="Z224" i="2"/>
  <c r="X224" i="2"/>
  <c r="AB223" i="2"/>
  <c r="Z223" i="2"/>
  <c r="X223" i="2"/>
  <c r="AB222" i="2"/>
  <c r="Z222" i="2"/>
  <c r="X222" i="2"/>
  <c r="AB221" i="2"/>
  <c r="Z221" i="2"/>
  <c r="X221" i="2"/>
  <c r="AB220" i="2"/>
  <c r="Z220" i="2"/>
  <c r="X220" i="2"/>
  <c r="AB219" i="2"/>
  <c r="Z219" i="2"/>
  <c r="X219" i="2"/>
  <c r="AB218" i="2"/>
  <c r="Z218" i="2"/>
  <c r="X218" i="2"/>
  <c r="AB217" i="2"/>
  <c r="Z217" i="2"/>
  <c r="X217" i="2"/>
  <c r="AB216" i="2"/>
  <c r="Z216" i="2"/>
  <c r="X216" i="2"/>
  <c r="AB215" i="2"/>
  <c r="Z215" i="2"/>
  <c r="X215" i="2"/>
  <c r="AB214" i="2"/>
  <c r="Z214" i="2"/>
  <c r="X214" i="2"/>
  <c r="AB213" i="2"/>
  <c r="Z213" i="2"/>
  <c r="X213" i="2"/>
  <c r="AB212" i="2"/>
  <c r="Z212" i="2"/>
  <c r="X212" i="2"/>
  <c r="AB211" i="2"/>
  <c r="Z211" i="2"/>
  <c r="X211" i="2"/>
  <c r="AB210" i="2"/>
  <c r="Z210" i="2"/>
  <c r="X210" i="2"/>
  <c r="AB209" i="2"/>
  <c r="Z209" i="2"/>
  <c r="X209" i="2"/>
  <c r="AB208" i="2"/>
  <c r="Z208" i="2"/>
  <c r="X208" i="2"/>
  <c r="AB207" i="2"/>
  <c r="Z207" i="2"/>
  <c r="X207" i="2"/>
  <c r="AB206" i="2"/>
  <c r="Z206" i="2"/>
  <c r="X206" i="2"/>
  <c r="AB205" i="2"/>
  <c r="Z205" i="2"/>
  <c r="X205" i="2"/>
  <c r="AB204" i="2"/>
  <c r="Z204" i="2"/>
  <c r="X204" i="2"/>
  <c r="AB203" i="2"/>
  <c r="Z203" i="2"/>
  <c r="X203" i="2"/>
  <c r="AB202" i="2"/>
  <c r="Z202" i="2"/>
  <c r="X202" i="2"/>
  <c r="AB201" i="2"/>
  <c r="Z201" i="2"/>
  <c r="X201" i="2"/>
  <c r="AB200" i="2"/>
  <c r="Z200" i="2"/>
  <c r="X200" i="2"/>
  <c r="AB199" i="2"/>
  <c r="Z199" i="2"/>
  <c r="X199" i="2"/>
  <c r="AB198" i="2"/>
  <c r="Z198" i="2"/>
  <c r="X198" i="2"/>
  <c r="AB197" i="2"/>
  <c r="Z197" i="2"/>
  <c r="X197" i="2"/>
  <c r="AB196" i="2"/>
  <c r="Z196" i="2"/>
  <c r="X196" i="2"/>
  <c r="AB195" i="2"/>
  <c r="Z195" i="2"/>
  <c r="X195" i="2"/>
  <c r="AB194" i="2"/>
  <c r="Z194" i="2"/>
  <c r="X194" i="2"/>
  <c r="AB193" i="2"/>
  <c r="Z193" i="2"/>
  <c r="X193" i="2"/>
  <c r="AB192" i="2"/>
  <c r="Z192" i="2"/>
  <c r="X192" i="2"/>
  <c r="AB191" i="2"/>
  <c r="Z191" i="2"/>
  <c r="X191" i="2"/>
  <c r="AB190" i="2"/>
  <c r="Z190" i="2"/>
  <c r="X190" i="2"/>
  <c r="AB189" i="2"/>
  <c r="Z189" i="2"/>
  <c r="X189" i="2"/>
  <c r="AB188" i="2"/>
  <c r="Z188" i="2"/>
  <c r="X188" i="2"/>
  <c r="AB187" i="2"/>
  <c r="Z187" i="2"/>
  <c r="X187" i="2"/>
  <c r="AB186" i="2"/>
  <c r="Z186" i="2"/>
  <c r="X186" i="2"/>
  <c r="AB185" i="2"/>
  <c r="Z185" i="2"/>
  <c r="X185" i="2"/>
  <c r="AB184" i="2"/>
  <c r="Z184" i="2"/>
  <c r="X184" i="2"/>
  <c r="AB183" i="2"/>
  <c r="Z183" i="2"/>
  <c r="X183" i="2"/>
  <c r="AB182" i="2"/>
  <c r="Z182" i="2"/>
  <c r="X182" i="2"/>
  <c r="AB181" i="2"/>
  <c r="Z181" i="2"/>
  <c r="X181" i="2"/>
  <c r="AB180" i="2"/>
  <c r="Z180" i="2"/>
  <c r="X180" i="2"/>
  <c r="AB179" i="2"/>
  <c r="Z179" i="2"/>
  <c r="X179" i="2"/>
  <c r="AB178" i="2"/>
  <c r="Z178" i="2"/>
  <c r="X178" i="2"/>
  <c r="AB177" i="2"/>
  <c r="Z177" i="2"/>
  <c r="X177" i="2"/>
  <c r="AB176" i="2"/>
  <c r="Z176" i="2"/>
  <c r="X176" i="2"/>
  <c r="AB175" i="2"/>
  <c r="Z175" i="2"/>
  <c r="X175" i="2"/>
  <c r="AB174" i="2"/>
  <c r="Z174" i="2"/>
  <c r="X174" i="2"/>
  <c r="AB173" i="2"/>
  <c r="Z173" i="2"/>
  <c r="X173" i="2"/>
  <c r="AB172" i="2"/>
  <c r="Z172" i="2"/>
  <c r="X172" i="2"/>
  <c r="AB171" i="2"/>
  <c r="Z171" i="2"/>
  <c r="X171" i="2"/>
  <c r="AB170" i="2"/>
  <c r="Z170" i="2"/>
  <c r="X170" i="2"/>
  <c r="AB169" i="2"/>
  <c r="Z169" i="2"/>
  <c r="X169" i="2"/>
  <c r="AB168" i="2"/>
  <c r="Z168" i="2"/>
  <c r="X168" i="2"/>
  <c r="AB167" i="2"/>
  <c r="Z167" i="2"/>
  <c r="X167" i="2"/>
  <c r="AB166" i="2"/>
  <c r="Z166" i="2"/>
  <c r="X166" i="2"/>
  <c r="AB165" i="2"/>
  <c r="Z165" i="2"/>
  <c r="X165" i="2"/>
  <c r="AB164" i="2"/>
  <c r="Z164" i="2"/>
  <c r="X164" i="2"/>
  <c r="AB163" i="2"/>
  <c r="Z163" i="2"/>
  <c r="X163" i="2"/>
  <c r="AB162" i="2"/>
  <c r="Z162" i="2"/>
  <c r="X162" i="2"/>
  <c r="AB161" i="2"/>
  <c r="Z161" i="2"/>
  <c r="X161" i="2"/>
  <c r="AB160" i="2"/>
  <c r="Z160" i="2"/>
  <c r="X160" i="2"/>
  <c r="AB159" i="2"/>
  <c r="Z159" i="2"/>
  <c r="X159" i="2"/>
  <c r="AB158" i="2"/>
  <c r="Z158" i="2"/>
  <c r="X158" i="2"/>
  <c r="AB157" i="2"/>
  <c r="Z157" i="2"/>
  <c r="X157" i="2"/>
  <c r="AB156" i="2"/>
  <c r="Z156" i="2"/>
  <c r="X156" i="2"/>
  <c r="AB155" i="2"/>
  <c r="Z155" i="2"/>
  <c r="X155" i="2"/>
  <c r="AB154" i="2"/>
  <c r="Z154" i="2"/>
  <c r="X154" i="2"/>
  <c r="AB153" i="2"/>
  <c r="Z153" i="2"/>
  <c r="X153" i="2"/>
  <c r="AB152" i="2"/>
  <c r="Z152" i="2"/>
  <c r="X152" i="2"/>
  <c r="AB151" i="2"/>
  <c r="Z151" i="2"/>
  <c r="X151" i="2"/>
  <c r="AB150" i="2"/>
  <c r="Z150" i="2"/>
  <c r="X150" i="2"/>
  <c r="AB149" i="2"/>
  <c r="Z149" i="2"/>
  <c r="X149" i="2"/>
  <c r="AB148" i="2"/>
  <c r="Z148" i="2"/>
  <c r="X148" i="2"/>
  <c r="AB147" i="2"/>
  <c r="Z147" i="2"/>
  <c r="X147" i="2"/>
  <c r="AB146" i="2"/>
  <c r="Z146" i="2"/>
  <c r="X146" i="2"/>
  <c r="AB145" i="2"/>
  <c r="Z145" i="2"/>
  <c r="X145" i="2"/>
  <c r="AB144" i="2"/>
  <c r="Z144" i="2"/>
  <c r="X144" i="2"/>
  <c r="AB143" i="2"/>
  <c r="Z143" i="2"/>
  <c r="X143" i="2"/>
  <c r="AB142" i="2"/>
  <c r="Z142" i="2"/>
  <c r="X142" i="2"/>
  <c r="AB141" i="2"/>
  <c r="Z141" i="2"/>
  <c r="X141" i="2"/>
  <c r="AB140" i="2"/>
  <c r="Z140" i="2"/>
  <c r="X140" i="2"/>
  <c r="AB139" i="2"/>
  <c r="Z139" i="2"/>
  <c r="X139" i="2"/>
  <c r="AB138" i="2"/>
  <c r="Z138" i="2"/>
  <c r="X138" i="2"/>
  <c r="AB137" i="2"/>
  <c r="Z137" i="2"/>
  <c r="X137" i="2"/>
  <c r="AB136" i="2"/>
  <c r="Z136" i="2"/>
  <c r="X136" i="2"/>
  <c r="AB135" i="2"/>
  <c r="Z135" i="2"/>
  <c r="X135" i="2"/>
  <c r="AB134" i="2"/>
  <c r="Z134" i="2"/>
  <c r="X134" i="2"/>
  <c r="AB133" i="2"/>
  <c r="Z133" i="2"/>
  <c r="X133" i="2"/>
  <c r="AB132" i="2"/>
  <c r="Z132" i="2"/>
  <c r="X132" i="2"/>
  <c r="AB131" i="2"/>
  <c r="Z131" i="2"/>
  <c r="X131" i="2"/>
  <c r="AB130" i="2"/>
  <c r="Z130" i="2"/>
  <c r="X130" i="2"/>
  <c r="AB129" i="2"/>
  <c r="Z129" i="2"/>
  <c r="X129" i="2"/>
  <c r="AB128" i="2"/>
  <c r="Z128" i="2"/>
  <c r="X128" i="2"/>
  <c r="AB127" i="2"/>
  <c r="Z127" i="2"/>
  <c r="X127" i="2"/>
  <c r="AB126" i="2"/>
  <c r="Z126" i="2"/>
  <c r="X126" i="2"/>
  <c r="AB125" i="2"/>
  <c r="Z125" i="2"/>
  <c r="X125" i="2"/>
  <c r="AB124" i="2"/>
  <c r="Z124" i="2"/>
  <c r="X124" i="2"/>
  <c r="AB123" i="2"/>
  <c r="Z123" i="2"/>
  <c r="X123" i="2"/>
  <c r="AB122" i="2"/>
  <c r="Z122" i="2"/>
  <c r="X122" i="2"/>
  <c r="AB121" i="2"/>
  <c r="Z121" i="2"/>
  <c r="X121" i="2"/>
  <c r="AB120" i="2"/>
  <c r="Z120" i="2"/>
  <c r="X120" i="2"/>
  <c r="AB119" i="2"/>
  <c r="Z119" i="2"/>
  <c r="X119" i="2"/>
  <c r="AB118" i="2"/>
  <c r="Z118" i="2"/>
  <c r="X118" i="2"/>
  <c r="AB117" i="2"/>
  <c r="Z117" i="2"/>
  <c r="X117" i="2"/>
  <c r="AB116" i="2"/>
  <c r="Z116" i="2"/>
  <c r="X116" i="2"/>
  <c r="AB115" i="2"/>
  <c r="Z115" i="2"/>
  <c r="X115" i="2"/>
  <c r="AB114" i="2"/>
  <c r="Z114" i="2"/>
  <c r="X114" i="2"/>
  <c r="AB113" i="2"/>
  <c r="Z113" i="2"/>
  <c r="X113" i="2"/>
  <c r="AB112" i="2"/>
  <c r="Z112" i="2"/>
  <c r="X112" i="2"/>
  <c r="AB111" i="2"/>
  <c r="Z111" i="2"/>
  <c r="X111" i="2"/>
  <c r="AB110" i="2"/>
  <c r="Z110" i="2"/>
  <c r="X110" i="2"/>
  <c r="AB109" i="2"/>
  <c r="Z109" i="2"/>
  <c r="X109" i="2"/>
  <c r="AB108" i="2"/>
  <c r="Z108" i="2"/>
  <c r="X108" i="2"/>
  <c r="AB107" i="2"/>
  <c r="Z107" i="2"/>
  <c r="X107" i="2"/>
  <c r="AB106" i="2"/>
  <c r="Z106" i="2"/>
  <c r="X106" i="2"/>
  <c r="AB105" i="2"/>
  <c r="Z105" i="2"/>
  <c r="X105" i="2"/>
  <c r="AB104" i="2"/>
  <c r="Z104" i="2"/>
  <c r="X104" i="2"/>
  <c r="AB103" i="2"/>
  <c r="Z103" i="2"/>
  <c r="X103" i="2"/>
  <c r="AB102" i="2"/>
  <c r="Z102" i="2"/>
  <c r="X102" i="2"/>
  <c r="AB101" i="2"/>
  <c r="Z101" i="2"/>
  <c r="X101" i="2"/>
  <c r="AB100" i="2"/>
  <c r="Z100" i="2"/>
  <c r="X100" i="2"/>
  <c r="AB99" i="2"/>
  <c r="Z99" i="2"/>
  <c r="X99" i="2"/>
  <c r="AB98" i="2"/>
  <c r="Z98" i="2"/>
  <c r="X98" i="2"/>
  <c r="AB97" i="2"/>
  <c r="Z97" i="2"/>
  <c r="X97" i="2"/>
  <c r="AB96" i="2"/>
  <c r="Z96" i="2"/>
  <c r="X96" i="2"/>
  <c r="AB95" i="2"/>
  <c r="Z95" i="2"/>
  <c r="X95" i="2"/>
  <c r="AB94" i="2"/>
  <c r="Z94" i="2"/>
  <c r="X94" i="2"/>
  <c r="AB93" i="2"/>
  <c r="Z93" i="2"/>
  <c r="X93" i="2"/>
  <c r="AB92" i="2"/>
  <c r="Z92" i="2"/>
  <c r="X92" i="2"/>
  <c r="AB91" i="2"/>
  <c r="Z91" i="2"/>
  <c r="X91" i="2"/>
  <c r="AB90" i="2"/>
  <c r="Z90" i="2"/>
  <c r="X90" i="2"/>
  <c r="AB89" i="2"/>
  <c r="Z89" i="2"/>
  <c r="X89" i="2"/>
  <c r="AB88" i="2"/>
  <c r="Z88" i="2"/>
  <c r="X88" i="2"/>
  <c r="AB87" i="2"/>
  <c r="Z87" i="2"/>
  <c r="X87" i="2"/>
  <c r="AB86" i="2"/>
  <c r="Z86" i="2"/>
  <c r="X86" i="2"/>
  <c r="AB85" i="2"/>
  <c r="Z85" i="2"/>
  <c r="X85" i="2"/>
  <c r="AB84" i="2"/>
  <c r="Z84" i="2"/>
  <c r="X84" i="2"/>
  <c r="AB83" i="2"/>
  <c r="Z83" i="2"/>
  <c r="X83" i="2"/>
  <c r="AB82" i="2"/>
  <c r="Z82" i="2"/>
  <c r="X82" i="2"/>
  <c r="AB81" i="2"/>
  <c r="Z81" i="2"/>
  <c r="X81" i="2"/>
  <c r="AB80" i="2"/>
  <c r="Z80" i="2"/>
  <c r="X80" i="2"/>
  <c r="AB79" i="2"/>
  <c r="Z79" i="2"/>
  <c r="X79" i="2"/>
  <c r="AB78" i="2"/>
  <c r="Z78" i="2"/>
  <c r="X78" i="2"/>
  <c r="AB77" i="2"/>
  <c r="Z77" i="2"/>
  <c r="X77" i="2"/>
  <c r="AB76" i="2"/>
  <c r="Z76" i="2"/>
  <c r="X76" i="2"/>
  <c r="AB75" i="2"/>
  <c r="Z75" i="2"/>
  <c r="X75" i="2"/>
  <c r="AB74" i="2"/>
  <c r="Z74" i="2"/>
  <c r="X74" i="2"/>
  <c r="AB73" i="2"/>
  <c r="Z73" i="2"/>
  <c r="X73" i="2"/>
  <c r="AB72" i="2"/>
  <c r="Z72" i="2"/>
  <c r="X72" i="2"/>
  <c r="AB71" i="2"/>
  <c r="Z71" i="2"/>
  <c r="X71" i="2"/>
  <c r="AB70" i="2"/>
  <c r="Z70" i="2"/>
  <c r="X70" i="2"/>
  <c r="AB69" i="2"/>
  <c r="Z69" i="2"/>
  <c r="X69" i="2"/>
  <c r="AB68" i="2"/>
  <c r="Z68" i="2"/>
  <c r="X68" i="2"/>
  <c r="AB67" i="2"/>
  <c r="Z67" i="2"/>
  <c r="X67" i="2"/>
  <c r="AB66" i="2"/>
  <c r="Z66" i="2"/>
  <c r="X66" i="2"/>
  <c r="AB65" i="2"/>
  <c r="Z65" i="2"/>
  <c r="X65" i="2"/>
  <c r="AB64" i="2"/>
  <c r="Z64" i="2"/>
  <c r="X64" i="2"/>
  <c r="AB63" i="2"/>
  <c r="Z63" i="2"/>
  <c r="X63" i="2"/>
  <c r="AB62" i="2"/>
  <c r="Z62" i="2"/>
  <c r="X62" i="2"/>
  <c r="AB61" i="2"/>
  <c r="Z61" i="2"/>
  <c r="X61" i="2"/>
</calcChain>
</file>

<file path=xl/sharedStrings.xml><?xml version="1.0" encoding="utf-8"?>
<sst xmlns="http://schemas.openxmlformats.org/spreadsheetml/2006/main" count="19851" uniqueCount="1707">
  <si>
    <t>CLIENT:</t>
  </si>
  <si>
    <t>Pembina</t>
  </si>
  <si>
    <t xml:space="preserve">PROJECT </t>
  </si>
  <si>
    <t>Resthaven</t>
  </si>
  <si>
    <t>PROJECT #</t>
  </si>
  <si>
    <t>PEM040-001</t>
  </si>
  <si>
    <t>SHUTDOWN KEY (Switchgear)</t>
  </si>
  <si>
    <t>DESCRIPTION</t>
  </si>
  <si>
    <t>DATE</t>
  </si>
  <si>
    <t>BY</t>
  </si>
  <si>
    <t>APP</t>
  </si>
  <si>
    <t>A</t>
  </si>
  <si>
    <t>None</t>
  </si>
  <si>
    <t>COLUMN</t>
  </si>
  <si>
    <t>REVISION</t>
  </si>
  <si>
    <t>P&amp;ID NUMBER</t>
  </si>
  <si>
    <t>RH00126A</t>
  </si>
  <si>
    <t>ELEC NUMBER</t>
  </si>
  <si>
    <t>EFFECT</t>
  </si>
  <si>
    <t>CAUSE</t>
  </si>
  <si>
    <t>EQUIPMENT TAG</t>
  </si>
  <si>
    <t>BYV-1142</t>
  </si>
  <si>
    <t>ROW</t>
  </si>
  <si>
    <t>REV</t>
  </si>
  <si>
    <t>P&amp;ID</t>
  </si>
  <si>
    <t>IO DETAIL</t>
  </si>
  <si>
    <t>SETPOINT</t>
  </si>
  <si>
    <t>PCS TAG</t>
  </si>
  <si>
    <t>FAILURE</t>
  </si>
  <si>
    <t>RESET</t>
  </si>
  <si>
    <t>NOTE</t>
  </si>
  <si>
    <t>NO</t>
  </si>
  <si>
    <t>REVISION ISSUED FOR</t>
  </si>
  <si>
    <t>CHD</t>
  </si>
  <si>
    <t xml:space="preserve">PROJECT NUMBER: </t>
  </si>
  <si>
    <t>SCALE</t>
  </si>
  <si>
    <t>DRAWING NUMBER</t>
  </si>
  <si>
    <t>REV.</t>
  </si>
  <si>
    <t>I/O
DETAIL</t>
  </si>
  <si>
    <t>EQUIPMENT
TAG</t>
  </si>
  <si>
    <t>Master SDK:</t>
  </si>
  <si>
    <t>AREA</t>
  </si>
  <si>
    <t>SERIAL</t>
  </si>
  <si>
    <t>E-107</t>
  </si>
  <si>
    <t>RH00127A</t>
  </si>
  <si>
    <t>11055.AHH</t>
  </si>
  <si>
    <t>Flare</t>
  </si>
  <si>
    <t>V-890</t>
  </si>
  <si>
    <t>PIT-5005</t>
  </si>
  <si>
    <t>11014.AHH</t>
  </si>
  <si>
    <t>PIT-5005 V-890 Sales Gas Pressure Transmitter Alarm HIHI</t>
  </si>
  <si>
    <t>PIT-5005.AHH_L</t>
  </si>
  <si>
    <t>11014.ALL</t>
  </si>
  <si>
    <t>PIT-5005 V-890 Sales Gas Pressure Transmitter Alarm LOLO</t>
  </si>
  <si>
    <t>PIT-5005.ALL_L</t>
  </si>
  <si>
    <t>EYV-1022 E-107 Plant Buy Back Fuel Gas Valve Solenoid Unit Shutdown</t>
  </si>
  <si>
    <t>BYV-1142 Flare Fuel Gas Header Blowdown Valve Solenoid Unit Shutdown</t>
  </si>
  <si>
    <t>BYV-5007 V-890 Sales Gas Pipe Blowdown Valve Solenoid Unit Shutdown</t>
  </si>
  <si>
    <t>EYV-5004 V-890 Sales Gas Outlet Valve Solenoid Unit Shutdown</t>
  </si>
  <si>
    <t>PY-5006 V-890 Sales Gas Control Valve Position</t>
  </si>
  <si>
    <t>EYV-1022</t>
  </si>
  <si>
    <t>BYV-5007</t>
  </si>
  <si>
    <t>EYV-5004</t>
  </si>
  <si>
    <t>PY-5006</t>
  </si>
  <si>
    <t>MODE-1</t>
  </si>
  <si>
    <t>MODE-2</t>
  </si>
  <si>
    <t>ALARM</t>
  </si>
  <si>
    <t>FIRE</t>
  </si>
  <si>
    <t>GAS-HIHI</t>
  </si>
  <si>
    <t>Any Alarm</t>
  </si>
  <si>
    <t>Any Mode 1 Shutdown</t>
  </si>
  <si>
    <t>Any Mode 2 Shutdown</t>
  </si>
  <si>
    <t>Any Moke 1 Shutdown</t>
  </si>
  <si>
    <t>MODE1</t>
  </si>
  <si>
    <t>MODE2</t>
  </si>
  <si>
    <t>GASHIHI</t>
  </si>
  <si>
    <t>-</t>
  </si>
  <si>
    <t/>
  </si>
  <si>
    <t>X</t>
  </si>
  <si>
    <t>OP</t>
  </si>
  <si>
    <t>CL</t>
  </si>
  <si>
    <t xml:space="preserve">Any Fire / Smoke </t>
  </si>
  <si>
    <t xml:space="preserve">Any Gas HI HI </t>
  </si>
  <si>
    <t>Any Fire / Smoke</t>
  </si>
  <si>
    <t>PEM040-001-SDK-1</t>
  </si>
  <si>
    <t>PIT-5007</t>
  </si>
  <si>
    <t>PIT-1023 E-107 Plant Buy Back Fuel Gas Pressure Transmitter Alarm HIHI</t>
  </si>
  <si>
    <t>PIT-1024</t>
  </si>
  <si>
    <t>PT-1024.AHH_L</t>
  </si>
  <si>
    <t>Unit/s: Sales Gas, Plant Buyback Gas</t>
  </si>
  <si>
    <t>RESTHAVEN GAS PLANT 08-11
Pembina Pipeline Corporation                                                                                                                                                                                                                                                                                                                                                                                                                                                                                                                     SHUTDOWN KEY</t>
  </si>
  <si>
    <t>C:\Users\Travis\Desktop\PEM040001-Process SDKey (Shutdowns Master)-130729-Colored-NA.xlsm</t>
  </si>
  <si>
    <t>666TNOTB</t>
  </si>
  <si>
    <t>x</t>
  </si>
  <si>
    <t>V-891</t>
  </si>
  <si>
    <t>PIT-5006</t>
  </si>
  <si>
    <t>V-892</t>
  </si>
  <si>
    <t>V-893</t>
  </si>
  <si>
    <t>PIT-5008</t>
  </si>
  <si>
    <t>V-894</t>
  </si>
  <si>
    <t>PIT-5009</t>
  </si>
  <si>
    <t>V-895</t>
  </si>
  <si>
    <t>PIT-5010</t>
  </si>
  <si>
    <t>V-896</t>
  </si>
  <si>
    <t>PIT-5011</t>
  </si>
  <si>
    <t>V-897</t>
  </si>
  <si>
    <t>PIT-5012</t>
  </si>
  <si>
    <t>V-898</t>
  </si>
  <si>
    <t>PIT-5013</t>
  </si>
  <si>
    <t>V-899</t>
  </si>
  <si>
    <t>PIT-5014</t>
  </si>
  <si>
    <t>V-900</t>
  </si>
  <si>
    <t>PIT-5015</t>
  </si>
  <si>
    <t>V-901</t>
  </si>
  <si>
    <t>PIT-5016</t>
  </si>
  <si>
    <t>V-902</t>
  </si>
  <si>
    <t>PIT-5017</t>
  </si>
  <si>
    <t>V-903</t>
  </si>
  <si>
    <t>PIT-5018</t>
  </si>
  <si>
    <t>V-904</t>
  </si>
  <si>
    <t>PIT-5019</t>
  </si>
  <si>
    <t>V-905</t>
  </si>
  <si>
    <t>PIT-5020</t>
  </si>
  <si>
    <t>V-906</t>
  </si>
  <si>
    <t>PIT-5021</t>
  </si>
  <si>
    <t>V-907</t>
  </si>
  <si>
    <t>PIT-5022</t>
  </si>
  <si>
    <t>V-908</t>
  </si>
  <si>
    <t>PIT-5023</t>
  </si>
  <si>
    <t>V-909</t>
  </si>
  <si>
    <t>PIT-5024</t>
  </si>
  <si>
    <t>V-910</t>
  </si>
  <si>
    <t>PIT-5025</t>
  </si>
  <si>
    <t>V-911</t>
  </si>
  <si>
    <t>PIT-5026</t>
  </si>
  <si>
    <t>V-912</t>
  </si>
  <si>
    <t>PIT-5027</t>
  </si>
  <si>
    <t>V-913</t>
  </si>
  <si>
    <t>PIT-5028</t>
  </si>
  <si>
    <t>V-914</t>
  </si>
  <si>
    <t>PIT-5029</t>
  </si>
  <si>
    <t>V-915</t>
  </si>
  <si>
    <t>PIT-5030</t>
  </si>
  <si>
    <t>V-916</t>
  </si>
  <si>
    <t>PIT-5031</t>
  </si>
  <si>
    <t>V-917</t>
  </si>
  <si>
    <t>PIT-5032</t>
  </si>
  <si>
    <t>V-918</t>
  </si>
  <si>
    <t>PIT-5033</t>
  </si>
  <si>
    <t>V-919</t>
  </si>
  <si>
    <t>PIT-5034</t>
  </si>
  <si>
    <t>V-920</t>
  </si>
  <si>
    <t>PIT-5035</t>
  </si>
  <si>
    <t>V-921</t>
  </si>
  <si>
    <t>PIT-5036</t>
  </si>
  <si>
    <t>V-922</t>
  </si>
  <si>
    <t>PIT-5037</t>
  </si>
  <si>
    <t>V-923</t>
  </si>
  <si>
    <t>PIT-5038</t>
  </si>
  <si>
    <t>V-924</t>
  </si>
  <si>
    <t>PIT-5039</t>
  </si>
  <si>
    <t>V-925</t>
  </si>
  <si>
    <t>PIT-5040</t>
  </si>
  <si>
    <t>V-926</t>
  </si>
  <si>
    <t>PIT-5041</t>
  </si>
  <si>
    <t>V-927</t>
  </si>
  <si>
    <t>PIT-5042</t>
  </si>
  <si>
    <t>V-928</t>
  </si>
  <si>
    <t>PIT-5043</t>
  </si>
  <si>
    <t>V-929</t>
  </si>
  <si>
    <t>PIT-5044</t>
  </si>
  <si>
    <t>V-930</t>
  </si>
  <si>
    <t>PIT-5045</t>
  </si>
  <si>
    <t>V-931</t>
  </si>
  <si>
    <t>PIT-5046</t>
  </si>
  <si>
    <t>V-932</t>
  </si>
  <si>
    <t>PIT-5047</t>
  </si>
  <si>
    <t>V-933</t>
  </si>
  <si>
    <t>PIT-5048</t>
  </si>
  <si>
    <t>V-934</t>
  </si>
  <si>
    <t>PIT-5049</t>
  </si>
  <si>
    <t>V-935</t>
  </si>
  <si>
    <t>PIT-5050</t>
  </si>
  <si>
    <t>V-936</t>
  </si>
  <si>
    <t>PIT-5051</t>
  </si>
  <si>
    <t>V-937</t>
  </si>
  <si>
    <t>PIT-5052</t>
  </si>
  <si>
    <t>V-938</t>
  </si>
  <si>
    <t>PIT-5053</t>
  </si>
  <si>
    <t>V-939</t>
  </si>
  <si>
    <t>PIT-5054</t>
  </si>
  <si>
    <t>V-940</t>
  </si>
  <si>
    <t>PIT-5055</t>
  </si>
  <si>
    <t>V-941</t>
  </si>
  <si>
    <t>PIT-5056</t>
  </si>
  <si>
    <t>V-942</t>
  </si>
  <si>
    <t>PIT-5057</t>
  </si>
  <si>
    <t>V-943</t>
  </si>
  <si>
    <t>PIT-5058</t>
  </si>
  <si>
    <t>V-944</t>
  </si>
  <si>
    <t>PIT-5059</t>
  </si>
  <si>
    <t>V-945</t>
  </si>
  <si>
    <t>PIT-5060</t>
  </si>
  <si>
    <t>V-946</t>
  </si>
  <si>
    <t>PIT-5061</t>
  </si>
  <si>
    <t>V-947</t>
  </si>
  <si>
    <t>PIT-5062</t>
  </si>
  <si>
    <t>V-948</t>
  </si>
  <si>
    <t>PIT-5063</t>
  </si>
  <si>
    <t>V-949</t>
  </si>
  <si>
    <t>PIT-5064</t>
  </si>
  <si>
    <t>V-950</t>
  </si>
  <si>
    <t>PIT-5065</t>
  </si>
  <si>
    <t>V-951</t>
  </si>
  <si>
    <t>PIT-5066</t>
  </si>
  <si>
    <t>V-952</t>
  </si>
  <si>
    <t>PIT-5067</t>
  </si>
  <si>
    <t>V-953</t>
  </si>
  <si>
    <t>PIT-5068</t>
  </si>
  <si>
    <t>V-954</t>
  </si>
  <si>
    <t>PIT-5069</t>
  </si>
  <si>
    <t>V-955</t>
  </si>
  <si>
    <t>PIT-5070</t>
  </si>
  <si>
    <t>V-956</t>
  </si>
  <si>
    <t>PIT-5071</t>
  </si>
  <si>
    <t>V-957</t>
  </si>
  <si>
    <t>PIT-5072</t>
  </si>
  <si>
    <t>V-958</t>
  </si>
  <si>
    <t>PIT-5073</t>
  </si>
  <si>
    <t>V-959</t>
  </si>
  <si>
    <t>PIT-5074</t>
  </si>
  <si>
    <t>V-960</t>
  </si>
  <si>
    <t>PIT-5075</t>
  </si>
  <si>
    <t>V-961</t>
  </si>
  <si>
    <t>PIT-5076</t>
  </si>
  <si>
    <t>V-962</t>
  </si>
  <si>
    <t>PIT-5077</t>
  </si>
  <si>
    <t>V-963</t>
  </si>
  <si>
    <t>PIT-5078</t>
  </si>
  <si>
    <t>V-964</t>
  </si>
  <si>
    <t>PIT-5079</t>
  </si>
  <si>
    <t>V-965</t>
  </si>
  <si>
    <t>PIT-5080</t>
  </si>
  <si>
    <t>V-966</t>
  </si>
  <si>
    <t>PIT-5081</t>
  </si>
  <si>
    <t>V-967</t>
  </si>
  <si>
    <t>PIT-5082</t>
  </si>
  <si>
    <t>V-968</t>
  </si>
  <si>
    <t>PIT-5083</t>
  </si>
  <si>
    <t>V-969</t>
  </si>
  <si>
    <t>PIT-5084</t>
  </si>
  <si>
    <t>V-970</t>
  </si>
  <si>
    <t>PIT-5085</t>
  </si>
  <si>
    <t>V-971</t>
  </si>
  <si>
    <t>PIT-5086</t>
  </si>
  <si>
    <t>V-972</t>
  </si>
  <si>
    <t>PIT-5087</t>
  </si>
  <si>
    <t>V-973</t>
  </si>
  <si>
    <t>PIT-5088</t>
  </si>
  <si>
    <t>V-974</t>
  </si>
  <si>
    <t>PIT-5089</t>
  </si>
  <si>
    <t>V-975</t>
  </si>
  <si>
    <t>PIT-5090</t>
  </si>
  <si>
    <t>V-976</t>
  </si>
  <si>
    <t>PIT-5091</t>
  </si>
  <si>
    <t>V-977</t>
  </si>
  <si>
    <t>PIT-5092</t>
  </si>
  <si>
    <t>V-978</t>
  </si>
  <si>
    <t>PIT-5093</t>
  </si>
  <si>
    <t>V-979</t>
  </si>
  <si>
    <t>PIT-5094</t>
  </si>
  <si>
    <t>V-980</t>
  </si>
  <si>
    <t>PIT-5095</t>
  </si>
  <si>
    <t>V-981</t>
  </si>
  <si>
    <t>PIT-5096</t>
  </si>
  <si>
    <t>V-982</t>
  </si>
  <si>
    <t>PIT-5097</t>
  </si>
  <si>
    <t>V-983</t>
  </si>
  <si>
    <t>PIT-5098</t>
  </si>
  <si>
    <t>V-984</t>
  </si>
  <si>
    <t>PIT-5099</t>
  </si>
  <si>
    <t>V-985</t>
  </si>
  <si>
    <t>PIT-5100</t>
  </si>
  <si>
    <t>V-986</t>
  </si>
  <si>
    <t>PIT-5101</t>
  </si>
  <si>
    <t>V-987</t>
  </si>
  <si>
    <t>PIT-5102</t>
  </si>
  <si>
    <t>V-988</t>
  </si>
  <si>
    <t>PIT-5103</t>
  </si>
  <si>
    <t>V-989</t>
  </si>
  <si>
    <t>PIT-5104</t>
  </si>
  <si>
    <t>V-990</t>
  </si>
  <si>
    <t>PIT-5105</t>
  </si>
  <si>
    <t>V-991</t>
  </si>
  <si>
    <t>PIT-5106</t>
  </si>
  <si>
    <t>V-992</t>
  </si>
  <si>
    <t>PIT-5107</t>
  </si>
  <si>
    <t>V-993</t>
  </si>
  <si>
    <t>PIT-5108</t>
  </si>
  <si>
    <t>V-994</t>
  </si>
  <si>
    <t>PIT-5109</t>
  </si>
  <si>
    <t>V-995</t>
  </si>
  <si>
    <t>PIT-5110</t>
  </si>
  <si>
    <t>V-996</t>
  </si>
  <si>
    <t>PIT-5111</t>
  </si>
  <si>
    <t>V-997</t>
  </si>
  <si>
    <t>PIT-5112</t>
  </si>
  <si>
    <t>V-998</t>
  </si>
  <si>
    <t>PIT-5113</t>
  </si>
  <si>
    <t>V-999</t>
  </si>
  <si>
    <t>PIT-5114</t>
  </si>
  <si>
    <t>V-1000</t>
  </si>
  <si>
    <t>PIT-5115</t>
  </si>
  <si>
    <t>V-1001</t>
  </si>
  <si>
    <t>PIT-5116</t>
  </si>
  <si>
    <t>V-1002</t>
  </si>
  <si>
    <t>PIT-5117</t>
  </si>
  <si>
    <t>V-1003</t>
  </si>
  <si>
    <t>PIT-5118</t>
  </si>
  <si>
    <t>V-1004</t>
  </si>
  <si>
    <t>PIT-5119</t>
  </si>
  <si>
    <t>V-1005</t>
  </si>
  <si>
    <t>PIT-5120</t>
  </si>
  <si>
    <t>V-1006</t>
  </si>
  <si>
    <t>PIT-5121</t>
  </si>
  <si>
    <t>V-1007</t>
  </si>
  <si>
    <t>PIT-5122</t>
  </si>
  <si>
    <t>V-1008</t>
  </si>
  <si>
    <t>PIT-5123</t>
  </si>
  <si>
    <t>V-1009</t>
  </si>
  <si>
    <t>PIT-5124</t>
  </si>
  <si>
    <t>V-1010</t>
  </si>
  <si>
    <t>PIT-5125</t>
  </si>
  <si>
    <t>V-1011</t>
  </si>
  <si>
    <t>PIT-5126</t>
  </si>
  <si>
    <t>V-1012</t>
  </si>
  <si>
    <t>PIT-5127</t>
  </si>
  <si>
    <t>V-1013</t>
  </si>
  <si>
    <t>PIT-5128</t>
  </si>
  <si>
    <t>V-1014</t>
  </si>
  <si>
    <t>PIT-5129</t>
  </si>
  <si>
    <t>V-1015</t>
  </si>
  <si>
    <t>PIT-5130</t>
  </si>
  <si>
    <t>V-1016</t>
  </si>
  <si>
    <t>PIT-5131</t>
  </si>
  <si>
    <t>V-1017</t>
  </si>
  <si>
    <t>PIT-5132</t>
  </si>
  <si>
    <t>V-1018</t>
  </si>
  <si>
    <t>PIT-5133</t>
  </si>
  <si>
    <t>V-1019</t>
  </si>
  <si>
    <t>PIT-5134</t>
  </si>
  <si>
    <t>V-1020</t>
  </si>
  <si>
    <t>PIT-5135</t>
  </si>
  <si>
    <t>V-1021</t>
  </si>
  <si>
    <t>PIT-5136</t>
  </si>
  <si>
    <t>V-1022</t>
  </si>
  <si>
    <t>PIT-5137</t>
  </si>
  <si>
    <t>V-1023</t>
  </si>
  <si>
    <t>PIT-5138</t>
  </si>
  <si>
    <t>V-1024</t>
  </si>
  <si>
    <t>PIT-5139</t>
  </si>
  <si>
    <t>V-1025</t>
  </si>
  <si>
    <t>PIT-5140</t>
  </si>
  <si>
    <t>V-1026</t>
  </si>
  <si>
    <t>PIT-5141</t>
  </si>
  <si>
    <t>V-1027</t>
  </si>
  <si>
    <t>PIT-5142</t>
  </si>
  <si>
    <t>V-1028</t>
  </si>
  <si>
    <t>PIT-5143</t>
  </si>
  <si>
    <t>V-1029</t>
  </si>
  <si>
    <t>PIT-5144</t>
  </si>
  <si>
    <t>V-1030</t>
  </si>
  <si>
    <t>PIT-5145</t>
  </si>
  <si>
    <t>V-1031</t>
  </si>
  <si>
    <t>PIT-5146</t>
  </si>
  <si>
    <t>V-1032</t>
  </si>
  <si>
    <t>PIT-5147</t>
  </si>
  <si>
    <t>V-1033</t>
  </si>
  <si>
    <t>PIT-5148</t>
  </si>
  <si>
    <t>V-1034</t>
  </si>
  <si>
    <t>PIT-5149</t>
  </si>
  <si>
    <t>V-1035</t>
  </si>
  <si>
    <t>PIT-5150</t>
  </si>
  <si>
    <t>V-1036</t>
  </si>
  <si>
    <t>PIT-5151</t>
  </si>
  <si>
    <t>V-1037</t>
  </si>
  <si>
    <t>PIT-5152</t>
  </si>
  <si>
    <t>V-1038</t>
  </si>
  <si>
    <t>PIT-5153</t>
  </si>
  <si>
    <t>V-1039</t>
  </si>
  <si>
    <t>PIT-5154</t>
  </si>
  <si>
    <t>V-1040</t>
  </si>
  <si>
    <t>PIT-5155</t>
  </si>
  <si>
    <t>V-1041</t>
  </si>
  <si>
    <t>PIT-5156</t>
  </si>
  <si>
    <t>V-1042</t>
  </si>
  <si>
    <t>PIT-5157</t>
  </si>
  <si>
    <t>V-1043</t>
  </si>
  <si>
    <t>PIT-5158</t>
  </si>
  <si>
    <t>V-1044</t>
  </si>
  <si>
    <t>PIT-5159</t>
  </si>
  <si>
    <t>V-1045</t>
  </si>
  <si>
    <t>PIT-5160</t>
  </si>
  <si>
    <t>V-1046</t>
  </si>
  <si>
    <t>PIT-5161</t>
  </si>
  <si>
    <t>V-1047</t>
  </si>
  <si>
    <t>PIT-5162</t>
  </si>
  <si>
    <t>V-1048</t>
  </si>
  <si>
    <t>PIT-5163</t>
  </si>
  <si>
    <t>V-1049</t>
  </si>
  <si>
    <t>PIT-5164</t>
  </si>
  <si>
    <t>V-1050</t>
  </si>
  <si>
    <t>PIT-5165</t>
  </si>
  <si>
    <t>V-1051</t>
  </si>
  <si>
    <t>PIT-5166</t>
  </si>
  <si>
    <t>V-1052</t>
  </si>
  <si>
    <t>PIT-5167</t>
  </si>
  <si>
    <t>V-1053</t>
  </si>
  <si>
    <t>PIT-5168</t>
  </si>
  <si>
    <t>V-1054</t>
  </si>
  <si>
    <t>PIT-5169</t>
  </si>
  <si>
    <t>V-1055</t>
  </si>
  <si>
    <t>PIT-5170</t>
  </si>
  <si>
    <t>V-1056</t>
  </si>
  <si>
    <t>PIT-5171</t>
  </si>
  <si>
    <t>V-1057</t>
  </si>
  <si>
    <t>PIT-5172</t>
  </si>
  <si>
    <t>V-1058</t>
  </si>
  <si>
    <t>PIT-5173</t>
  </si>
  <si>
    <t>V-1059</t>
  </si>
  <si>
    <t>PIT-5174</t>
  </si>
  <si>
    <t>V-1060</t>
  </si>
  <si>
    <t>PIT-5175</t>
  </si>
  <si>
    <t>V-1061</t>
  </si>
  <si>
    <t>PIT-5176</t>
  </si>
  <si>
    <t>V-1062</t>
  </si>
  <si>
    <t>PIT-5177</t>
  </si>
  <si>
    <t>V-1063</t>
  </si>
  <si>
    <t>PIT-5178</t>
  </si>
  <si>
    <t>V-1064</t>
  </si>
  <si>
    <t>PIT-5179</t>
  </si>
  <si>
    <t>V-1065</t>
  </si>
  <si>
    <t>PIT-5180</t>
  </si>
  <si>
    <t>V-1066</t>
  </si>
  <si>
    <t>PIT-5181</t>
  </si>
  <si>
    <t>V-1067</t>
  </si>
  <si>
    <t>PIT-5182</t>
  </si>
  <si>
    <t>V-1068</t>
  </si>
  <si>
    <t>PIT-5183</t>
  </si>
  <si>
    <t>V-1069</t>
  </si>
  <si>
    <t>PIT-5184</t>
  </si>
  <si>
    <t>V-1070</t>
  </si>
  <si>
    <t>PIT-5185</t>
  </si>
  <si>
    <t>V-1071</t>
  </si>
  <si>
    <t>PIT-5186</t>
  </si>
  <si>
    <t>V-1072</t>
  </si>
  <si>
    <t>PIT-5187</t>
  </si>
  <si>
    <t>V-1073</t>
  </si>
  <si>
    <t>PIT-5188</t>
  </si>
  <si>
    <t>V-1074</t>
  </si>
  <si>
    <t>PIT-5189</t>
  </si>
  <si>
    <t>V-1075</t>
  </si>
  <si>
    <t>PIT-5190</t>
  </si>
  <si>
    <t>V-1076</t>
  </si>
  <si>
    <t>PIT-5191</t>
  </si>
  <si>
    <t>V-1077</t>
  </si>
  <si>
    <t>PIT-5192</t>
  </si>
  <si>
    <t>V-1078</t>
  </si>
  <si>
    <t>PIT-5193</t>
  </si>
  <si>
    <t>V-1079</t>
  </si>
  <si>
    <t>PIT-5194</t>
  </si>
  <si>
    <t>V-1080</t>
  </si>
  <si>
    <t>PIT-5195</t>
  </si>
  <si>
    <t>V-1081</t>
  </si>
  <si>
    <t>PIT-5196</t>
  </si>
  <si>
    <t>V-1082</t>
  </si>
  <si>
    <t>PIT-5197</t>
  </si>
  <si>
    <t>V-1083</t>
  </si>
  <si>
    <t>PIT-5198</t>
  </si>
  <si>
    <t>V-1084</t>
  </si>
  <si>
    <t>PIT-5199</t>
  </si>
  <si>
    <t>V-1085</t>
  </si>
  <si>
    <t>PIT-5200</t>
  </si>
  <si>
    <t>V-1086</t>
  </si>
  <si>
    <t>PIT-5201</t>
  </si>
  <si>
    <t>V-1087</t>
  </si>
  <si>
    <t>PIT-5202</t>
  </si>
  <si>
    <t>V-1088</t>
  </si>
  <si>
    <t>PIT-5203</t>
  </si>
  <si>
    <t>V-1089</t>
  </si>
  <si>
    <t>PIT-5204</t>
  </si>
  <si>
    <t>V-1090</t>
  </si>
  <si>
    <t>PIT-5205</t>
  </si>
  <si>
    <t>V-1091</t>
  </si>
  <si>
    <t>PIT-5206</t>
  </si>
  <si>
    <t>V-1092</t>
  </si>
  <si>
    <t>PIT-5207</t>
  </si>
  <si>
    <t>V-1093</t>
  </si>
  <si>
    <t>PIT-5208</t>
  </si>
  <si>
    <t>V-1094</t>
  </si>
  <si>
    <t>PIT-5209</t>
  </si>
  <si>
    <t>V-1095</t>
  </si>
  <si>
    <t>PIT-5210</t>
  </si>
  <si>
    <t>V-1096</t>
  </si>
  <si>
    <t>PIT-5211</t>
  </si>
  <si>
    <t>V-1097</t>
  </si>
  <si>
    <t>PIT-5212</t>
  </si>
  <si>
    <t>V-1098</t>
  </si>
  <si>
    <t>PIT-5213</t>
  </si>
  <si>
    <t>V-1099</t>
  </si>
  <si>
    <t>PIT-5214</t>
  </si>
  <si>
    <t>V-1100</t>
  </si>
  <si>
    <t>PIT-5215</t>
  </si>
  <si>
    <t>V-1101</t>
  </si>
  <si>
    <t>PIT-5216</t>
  </si>
  <si>
    <t>V-1102</t>
  </si>
  <si>
    <t>PIT-5217</t>
  </si>
  <si>
    <t>V-1103</t>
  </si>
  <si>
    <t>PIT-5218</t>
  </si>
  <si>
    <t>V-1104</t>
  </si>
  <si>
    <t>PIT-5219</t>
  </si>
  <si>
    <t>V-1105</t>
  </si>
  <si>
    <t>PIT-5220</t>
  </si>
  <si>
    <t>V-1106</t>
  </si>
  <si>
    <t>PIT-5221</t>
  </si>
  <si>
    <t>V-1107</t>
  </si>
  <si>
    <t>PIT-5222</t>
  </si>
  <si>
    <t>V-1108</t>
  </si>
  <si>
    <t>PIT-5223</t>
  </si>
  <si>
    <t>V-1109</t>
  </si>
  <si>
    <t>PIT-5224</t>
  </si>
  <si>
    <t>V-1110</t>
  </si>
  <si>
    <t>PIT-5225</t>
  </si>
  <si>
    <t>V-1111</t>
  </si>
  <si>
    <t>PIT-5226</t>
  </si>
  <si>
    <t>V-1112</t>
  </si>
  <si>
    <t>PIT-5227</t>
  </si>
  <si>
    <t>V-1113</t>
  </si>
  <si>
    <t>PIT-5228</t>
  </si>
  <si>
    <t>V-1114</t>
  </si>
  <si>
    <t>PIT-5229</t>
  </si>
  <si>
    <t>V-1115</t>
  </si>
  <si>
    <t>PIT-5230</t>
  </si>
  <si>
    <t>V-1116</t>
  </si>
  <si>
    <t>PIT-5231</t>
  </si>
  <si>
    <t>V-1117</t>
  </si>
  <si>
    <t>PIT-5232</t>
  </si>
  <si>
    <t>V-1118</t>
  </si>
  <si>
    <t>PIT-5233</t>
  </si>
  <si>
    <t>V-1119</t>
  </si>
  <si>
    <t>PIT-5234</t>
  </si>
  <si>
    <t>V-1120</t>
  </si>
  <si>
    <t>PIT-5235</t>
  </si>
  <si>
    <t>V-1121</t>
  </si>
  <si>
    <t>PIT-5236</t>
  </si>
  <si>
    <t>V-1122</t>
  </si>
  <si>
    <t>PIT-5237</t>
  </si>
  <si>
    <t>V-1123</t>
  </si>
  <si>
    <t>PIT-5238</t>
  </si>
  <si>
    <t>V-1124</t>
  </si>
  <si>
    <t>PIT-5239</t>
  </si>
  <si>
    <t>V-1125</t>
  </si>
  <si>
    <t>PIT-5240</t>
  </si>
  <si>
    <t>V-1126</t>
  </si>
  <si>
    <t>PIT-5241</t>
  </si>
  <si>
    <t>V-1127</t>
  </si>
  <si>
    <t>PIT-5242</t>
  </si>
  <si>
    <t>V-1128</t>
  </si>
  <si>
    <t>PIT-5243</t>
  </si>
  <si>
    <t>V-1129</t>
  </si>
  <si>
    <t>PIT-5244</t>
  </si>
  <si>
    <t>V-1130</t>
  </si>
  <si>
    <t>PIT-5245</t>
  </si>
  <si>
    <t>V-1131</t>
  </si>
  <si>
    <t>PIT-5246</t>
  </si>
  <si>
    <t>V-1132</t>
  </si>
  <si>
    <t>PIT-5247</t>
  </si>
  <si>
    <t>V-1133</t>
  </si>
  <si>
    <t>PIT-5248</t>
  </si>
  <si>
    <t>V-1134</t>
  </si>
  <si>
    <t>PIT-5249</t>
  </si>
  <si>
    <t>V-1135</t>
  </si>
  <si>
    <t>PIT-5250</t>
  </si>
  <si>
    <t>V-1136</t>
  </si>
  <si>
    <t>PIT-5251</t>
  </si>
  <si>
    <t>V-1137</t>
  </si>
  <si>
    <t>PIT-5252</t>
  </si>
  <si>
    <t>V-1138</t>
  </si>
  <si>
    <t>PIT-5253</t>
  </si>
  <si>
    <t>V-1139</t>
  </si>
  <si>
    <t>PIT-5254</t>
  </si>
  <si>
    <t>V-1140</t>
  </si>
  <si>
    <t>PIT-5255</t>
  </si>
  <si>
    <t>V-1141</t>
  </si>
  <si>
    <t>PIT-5256</t>
  </si>
  <si>
    <t>V-1142</t>
  </si>
  <si>
    <t>PIT-5257</t>
  </si>
  <si>
    <t>V-1143</t>
  </si>
  <si>
    <t>PIT-5258</t>
  </si>
  <si>
    <t>V-1144</t>
  </si>
  <si>
    <t>PIT-5259</t>
  </si>
  <si>
    <t>V-1145</t>
  </si>
  <si>
    <t>PIT-5260</t>
  </si>
  <si>
    <t>V-1146</t>
  </si>
  <si>
    <t>PIT-5261</t>
  </si>
  <si>
    <t>V-1147</t>
  </si>
  <si>
    <t>PIT-5262</t>
  </si>
  <si>
    <t>V-1148</t>
  </si>
  <si>
    <t>PIT-5263</t>
  </si>
  <si>
    <t>V-1149</t>
  </si>
  <si>
    <t>PIT-5264</t>
  </si>
  <si>
    <t>V-1150</t>
  </si>
  <si>
    <t>PIT-5265</t>
  </si>
  <si>
    <t>V-1151</t>
  </si>
  <si>
    <t>PIT-5266</t>
  </si>
  <si>
    <t>V-1152</t>
  </si>
  <si>
    <t>PIT-5267</t>
  </si>
  <si>
    <t>V-1153</t>
  </si>
  <si>
    <t>PIT-5268</t>
  </si>
  <si>
    <t>V-1154</t>
  </si>
  <si>
    <t>PIT-5269</t>
  </si>
  <si>
    <t>V-1155</t>
  </si>
  <si>
    <t>PIT-5270</t>
  </si>
  <si>
    <t>V-1156</t>
  </si>
  <si>
    <t>PIT-5271</t>
  </si>
  <si>
    <t>V-1157</t>
  </si>
  <si>
    <t>PIT-5272</t>
  </si>
  <si>
    <t>V-1158</t>
  </si>
  <si>
    <t>PIT-5273</t>
  </si>
  <si>
    <t>V-1159</t>
  </si>
  <si>
    <t>PIT-5274</t>
  </si>
  <si>
    <t>V-1160</t>
  </si>
  <si>
    <t>PIT-5275</t>
  </si>
  <si>
    <t>V-1161</t>
  </si>
  <si>
    <t>PIT-5276</t>
  </si>
  <si>
    <t>V-1162</t>
  </si>
  <si>
    <t>PIT-5277</t>
  </si>
  <si>
    <t>V-1163</t>
  </si>
  <si>
    <t>PIT-5278</t>
  </si>
  <si>
    <t>V-1164</t>
  </si>
  <si>
    <t>PIT-5279</t>
  </si>
  <si>
    <t>V-1165</t>
  </si>
  <si>
    <t>PIT-5280</t>
  </si>
  <si>
    <t>V-1166</t>
  </si>
  <si>
    <t>PIT-5281</t>
  </si>
  <si>
    <t>V-1167</t>
  </si>
  <si>
    <t>PIT-5282</t>
  </si>
  <si>
    <t>V-1168</t>
  </si>
  <si>
    <t>PIT-5283</t>
  </si>
  <si>
    <t>V-1169</t>
  </si>
  <si>
    <t>PIT-5284</t>
  </si>
  <si>
    <t>V-1170</t>
  </si>
  <si>
    <t>PIT-5285</t>
  </si>
  <si>
    <t>V-1171</t>
  </si>
  <si>
    <t>PIT-5286</t>
  </si>
  <si>
    <t>V-1172</t>
  </si>
  <si>
    <t>PIT-5287</t>
  </si>
  <si>
    <t>V-1173</t>
  </si>
  <si>
    <t>PIT-5288</t>
  </si>
  <si>
    <t>V-1174</t>
  </si>
  <si>
    <t>PIT-5289</t>
  </si>
  <si>
    <t>V-1175</t>
  </si>
  <si>
    <t>PIT-5290</t>
  </si>
  <si>
    <t>V-1176</t>
  </si>
  <si>
    <t>PIT-5291</t>
  </si>
  <si>
    <t>V-1177</t>
  </si>
  <si>
    <t>PIT-5292</t>
  </si>
  <si>
    <t>V-1178</t>
  </si>
  <si>
    <t>PIT-5293</t>
  </si>
  <si>
    <t>V-1179</t>
  </si>
  <si>
    <t>PIT-5294</t>
  </si>
  <si>
    <t>V-1180</t>
  </si>
  <si>
    <t>PIT-5295</t>
  </si>
  <si>
    <t>V-1181</t>
  </si>
  <si>
    <t>PIT-5296</t>
  </si>
  <si>
    <t>V-1182</t>
  </si>
  <si>
    <t>PIT-5297</t>
  </si>
  <si>
    <t>V-1183</t>
  </si>
  <si>
    <t>PIT-5298</t>
  </si>
  <si>
    <t>V-1184</t>
  </si>
  <si>
    <t>PIT-5299</t>
  </si>
  <si>
    <t>V-1185</t>
  </si>
  <si>
    <t>PIT-5300</t>
  </si>
  <si>
    <t>V-1186</t>
  </si>
  <si>
    <t>PIT-5301</t>
  </si>
  <si>
    <t>V-1187</t>
  </si>
  <si>
    <t>PIT-5302</t>
  </si>
  <si>
    <t>V-1188</t>
  </si>
  <si>
    <t>PIT-5303</t>
  </si>
  <si>
    <t>V-1189</t>
  </si>
  <si>
    <t>PIT-5304</t>
  </si>
  <si>
    <t>V-1190</t>
  </si>
  <si>
    <t>PIT-5305</t>
  </si>
  <si>
    <t>V-1191</t>
  </si>
  <si>
    <t>PIT-5306</t>
  </si>
  <si>
    <t>V-1192</t>
  </si>
  <si>
    <t>PIT-5307</t>
  </si>
  <si>
    <t>V-1193</t>
  </si>
  <si>
    <t>PIT-5308</t>
  </si>
  <si>
    <t>V-1194</t>
  </si>
  <si>
    <t>PIT-5309</t>
  </si>
  <si>
    <t>V-1195</t>
  </si>
  <si>
    <t>PIT-5310</t>
  </si>
  <si>
    <t>V-1196</t>
  </si>
  <si>
    <t>PIT-5311</t>
  </si>
  <si>
    <t>V-1197</t>
  </si>
  <si>
    <t>PIT-5312</t>
  </si>
  <si>
    <t>V-1198</t>
  </si>
  <si>
    <t>PIT-5313</t>
  </si>
  <si>
    <t>V-1199</t>
  </si>
  <si>
    <t>PIT-5314</t>
  </si>
  <si>
    <t>V-1200</t>
  </si>
  <si>
    <t>PIT-5315</t>
  </si>
  <si>
    <t>V-1201</t>
  </si>
  <si>
    <t>PIT-5316</t>
  </si>
  <si>
    <t>V-1202</t>
  </si>
  <si>
    <t>PIT-5317</t>
  </si>
  <si>
    <t>V-1203</t>
  </si>
  <si>
    <t>PIT-5318</t>
  </si>
  <si>
    <t>V-1204</t>
  </si>
  <si>
    <t>PIT-5319</t>
  </si>
  <si>
    <t>V-1205</t>
  </si>
  <si>
    <t>PIT-5320</t>
  </si>
  <si>
    <t>V-1206</t>
  </si>
  <si>
    <t>PIT-5321</t>
  </si>
  <si>
    <t>V-1207</t>
  </si>
  <si>
    <t>PIT-5322</t>
  </si>
  <si>
    <t>V-1208</t>
  </si>
  <si>
    <t>PIT-5323</t>
  </si>
  <si>
    <t>V-1209</t>
  </si>
  <si>
    <t>PIT-5324</t>
  </si>
  <si>
    <t>V-1210</t>
  </si>
  <si>
    <t>PIT-5325</t>
  </si>
  <si>
    <t>V-1211</t>
  </si>
  <si>
    <t>PIT-5326</t>
  </si>
  <si>
    <t>V-1212</t>
  </si>
  <si>
    <t>PIT-5327</t>
  </si>
  <si>
    <t>V-1213</t>
  </si>
  <si>
    <t>PIT-5328</t>
  </si>
  <si>
    <t>V-1214</t>
  </si>
  <si>
    <t>PIT-5329</t>
  </si>
  <si>
    <t>V-1215</t>
  </si>
  <si>
    <t>PIT-5330</t>
  </si>
  <si>
    <t>V-1216</t>
  </si>
  <si>
    <t>PIT-5331</t>
  </si>
  <si>
    <t>V-1217</t>
  </si>
  <si>
    <t>PIT-5332</t>
  </si>
  <si>
    <t>V-1218</t>
  </si>
  <si>
    <t>PIT-5333</t>
  </si>
  <si>
    <t>V-1219</t>
  </si>
  <si>
    <t>PIT-5334</t>
  </si>
  <si>
    <t>V-1220</t>
  </si>
  <si>
    <t>PIT-5335</t>
  </si>
  <si>
    <t>V-1221</t>
  </si>
  <si>
    <t>PIT-5336</t>
  </si>
  <si>
    <t>V-1222</t>
  </si>
  <si>
    <t>PIT-5337</t>
  </si>
  <si>
    <t>V-1223</t>
  </si>
  <si>
    <t>PIT-5338</t>
  </si>
  <si>
    <t>V-1224</t>
  </si>
  <si>
    <t>PIT-5339</t>
  </si>
  <si>
    <t>V-1225</t>
  </si>
  <si>
    <t>PIT-5340</t>
  </si>
  <si>
    <t>V-1226</t>
  </si>
  <si>
    <t>PIT-5341</t>
  </si>
  <si>
    <t>V-1227</t>
  </si>
  <si>
    <t>PIT-5342</t>
  </si>
  <si>
    <t>V-1228</t>
  </si>
  <si>
    <t>PIT-5343</t>
  </si>
  <si>
    <t>V-1229</t>
  </si>
  <si>
    <t>PIT-5344</t>
  </si>
  <si>
    <t>V-1230</t>
  </si>
  <si>
    <t>PIT-5345</t>
  </si>
  <si>
    <t>V-1231</t>
  </si>
  <si>
    <t>PIT-5346</t>
  </si>
  <si>
    <t>V-1232</t>
  </si>
  <si>
    <t>PIT-5347</t>
  </si>
  <si>
    <t>V-1233</t>
  </si>
  <si>
    <t>PIT-5348</t>
  </si>
  <si>
    <t>V-1234</t>
  </si>
  <si>
    <t>PIT-5349</t>
  </si>
  <si>
    <t>V-1235</t>
  </si>
  <si>
    <t>PIT-5350</t>
  </si>
  <si>
    <t>V-1236</t>
  </si>
  <si>
    <t>PIT-5351</t>
  </si>
  <si>
    <t>V-1237</t>
  </si>
  <si>
    <t>PIT-5352</t>
  </si>
  <si>
    <t>V-1238</t>
  </si>
  <si>
    <t>PIT-5353</t>
  </si>
  <si>
    <t>V-1239</t>
  </si>
  <si>
    <t>PIT-5354</t>
  </si>
  <si>
    <t>V-1240</t>
  </si>
  <si>
    <t>PIT-5355</t>
  </si>
  <si>
    <t>V-1241</t>
  </si>
  <si>
    <t>PIT-5356</t>
  </si>
  <si>
    <t>V-1242</t>
  </si>
  <si>
    <t>PIT-5357</t>
  </si>
  <si>
    <t>V-1243</t>
  </si>
  <si>
    <t>PIT-5358</t>
  </si>
  <si>
    <t>V-1244</t>
  </si>
  <si>
    <t>PIT-5359</t>
  </si>
  <si>
    <t>V-1245</t>
  </si>
  <si>
    <t>PIT-5360</t>
  </si>
  <si>
    <t>V-1246</t>
  </si>
  <si>
    <t>PIT-5361</t>
  </si>
  <si>
    <t>V-1247</t>
  </si>
  <si>
    <t>PIT-5362</t>
  </si>
  <si>
    <t>V-1248</t>
  </si>
  <si>
    <t>PIT-5363</t>
  </si>
  <si>
    <t>V-1249</t>
  </si>
  <si>
    <t>PIT-5364</t>
  </si>
  <si>
    <t>V-1250</t>
  </si>
  <si>
    <t>PIT-5365</t>
  </si>
  <si>
    <t>V-1251</t>
  </si>
  <si>
    <t>PIT-5366</t>
  </si>
  <si>
    <t>V-1252</t>
  </si>
  <si>
    <t>PIT-5367</t>
  </si>
  <si>
    <t>V-1253</t>
  </si>
  <si>
    <t>PIT-5368</t>
  </si>
  <si>
    <t>V-1254</t>
  </si>
  <si>
    <t>PIT-5369</t>
  </si>
  <si>
    <t>V-1255</t>
  </si>
  <si>
    <t>PIT-5370</t>
  </si>
  <si>
    <t>V-1256</t>
  </si>
  <si>
    <t>PIT-5371</t>
  </si>
  <si>
    <t>V-1257</t>
  </si>
  <si>
    <t>PIT-5372</t>
  </si>
  <si>
    <t>V-1258</t>
  </si>
  <si>
    <t>PIT-5373</t>
  </si>
  <si>
    <t>V-1259</t>
  </si>
  <si>
    <t>PIT-5374</t>
  </si>
  <si>
    <t>V-1260</t>
  </si>
  <si>
    <t>PIT-5375</t>
  </si>
  <si>
    <t>V-1261</t>
  </si>
  <si>
    <t>PIT-5376</t>
  </si>
  <si>
    <t>V-1262</t>
  </si>
  <si>
    <t>PIT-5377</t>
  </si>
  <si>
    <t>V-1263</t>
  </si>
  <si>
    <t>PIT-5378</t>
  </si>
  <si>
    <t>V-1264</t>
  </si>
  <si>
    <t>PIT-5379</t>
  </si>
  <si>
    <t>V-1265</t>
  </si>
  <si>
    <t>PIT-5380</t>
  </si>
  <si>
    <t>V-1266</t>
  </si>
  <si>
    <t>PIT-5381</t>
  </si>
  <si>
    <t>V-1267</t>
  </si>
  <si>
    <t>PIT-5382</t>
  </si>
  <si>
    <t>V-1268</t>
  </si>
  <si>
    <t>PIT-5383</t>
  </si>
  <si>
    <t>V-1269</t>
  </si>
  <si>
    <t>PIT-5384</t>
  </si>
  <si>
    <t>V-1270</t>
  </si>
  <si>
    <t>PIT-5385</t>
  </si>
  <si>
    <t>V-1271</t>
  </si>
  <si>
    <t>PIT-5386</t>
  </si>
  <si>
    <t>V-1272</t>
  </si>
  <si>
    <t>PIT-5387</t>
  </si>
  <si>
    <t>V-1273</t>
  </si>
  <si>
    <t>PIT-5388</t>
  </si>
  <si>
    <t>V-1274</t>
  </si>
  <si>
    <t>PIT-5389</t>
  </si>
  <si>
    <t>V-1275</t>
  </si>
  <si>
    <t>PIT-5390</t>
  </si>
  <si>
    <t>V-1276</t>
  </si>
  <si>
    <t>PIT-5391</t>
  </si>
  <si>
    <t>V-1277</t>
  </si>
  <si>
    <t>PIT-5392</t>
  </si>
  <si>
    <t>V-1278</t>
  </si>
  <si>
    <t>PIT-5393</t>
  </si>
  <si>
    <t>V-1279</t>
  </si>
  <si>
    <t>PIT-5394</t>
  </si>
  <si>
    <t>V-1280</t>
  </si>
  <si>
    <t>PIT-5395</t>
  </si>
  <si>
    <t>V-1281</t>
  </si>
  <si>
    <t>PIT-5396</t>
  </si>
  <si>
    <t>V-1282</t>
  </si>
  <si>
    <t>PIT-5397</t>
  </si>
  <si>
    <t>V-1283</t>
  </si>
  <si>
    <t>PIT-5398</t>
  </si>
  <si>
    <t>V-1284</t>
  </si>
  <si>
    <t>PIT-5399</t>
  </si>
  <si>
    <t>V-1285</t>
  </si>
  <si>
    <t>PIT-5400</t>
  </si>
  <si>
    <t>V-1286</t>
  </si>
  <si>
    <t>PIT-5401</t>
  </si>
  <si>
    <t>V-1287</t>
  </si>
  <si>
    <t>PIT-5402</t>
  </si>
  <si>
    <t>V-1288</t>
  </si>
  <si>
    <t>PIT-5403</t>
  </si>
  <si>
    <t>V-1289</t>
  </si>
  <si>
    <t>PIT-5404</t>
  </si>
  <si>
    <t>V-1290</t>
  </si>
  <si>
    <t>PIT-5405</t>
  </si>
  <si>
    <t>V-1291</t>
  </si>
  <si>
    <t>PIT-5406</t>
  </si>
  <si>
    <t>V-1292</t>
  </si>
  <si>
    <t>PIT-5407</t>
  </si>
  <si>
    <t>V-1293</t>
  </si>
  <si>
    <t>PIT-5408</t>
  </si>
  <si>
    <t>V-1294</t>
  </si>
  <si>
    <t>PIT-5409</t>
  </si>
  <si>
    <t>V-1295</t>
  </si>
  <si>
    <t>PIT-5410</t>
  </si>
  <si>
    <t>V-1296</t>
  </si>
  <si>
    <t>PIT-5411</t>
  </si>
  <si>
    <t>V-1297</t>
  </si>
  <si>
    <t>PIT-5412</t>
  </si>
  <si>
    <t>V-1298</t>
  </si>
  <si>
    <t>PIT-5413</t>
  </si>
  <si>
    <t>V-1299</t>
  </si>
  <si>
    <t>PIT-5414</t>
  </si>
  <si>
    <t>V-1300</t>
  </si>
  <si>
    <t>PIT-5415</t>
  </si>
  <si>
    <t>V-1301</t>
  </si>
  <si>
    <t>PIT-5416</t>
  </si>
  <si>
    <t>V-1302</t>
  </si>
  <si>
    <t>PIT-5417</t>
  </si>
  <si>
    <t>V-1303</t>
  </si>
  <si>
    <t>PIT-5418</t>
  </si>
  <si>
    <t>V-1304</t>
  </si>
  <si>
    <t>PIT-5419</t>
  </si>
  <si>
    <t>V-1305</t>
  </si>
  <si>
    <t>PIT-5420</t>
  </si>
  <si>
    <t>V-1306</t>
  </si>
  <si>
    <t>PIT-5421</t>
  </si>
  <si>
    <t>V-1307</t>
  </si>
  <si>
    <t>PIT-5422</t>
  </si>
  <si>
    <t>V-1308</t>
  </si>
  <si>
    <t>PIT-5423</t>
  </si>
  <si>
    <t>V-1309</t>
  </si>
  <si>
    <t>PIT-5424</t>
  </si>
  <si>
    <t>V-1310</t>
  </si>
  <si>
    <t>PIT-5425</t>
  </si>
  <si>
    <t>V-1311</t>
  </si>
  <si>
    <t>PIT-5426</t>
  </si>
  <si>
    <t>V-1312</t>
  </si>
  <si>
    <t>PIT-5427</t>
  </si>
  <si>
    <t>V-1313</t>
  </si>
  <si>
    <t>PIT-5428</t>
  </si>
  <si>
    <t>V-1314</t>
  </si>
  <si>
    <t>PIT-5429</t>
  </si>
  <si>
    <t>V-1315</t>
  </si>
  <si>
    <t>PIT-5430</t>
  </si>
  <si>
    <t>V-1316</t>
  </si>
  <si>
    <t>PIT-5431</t>
  </si>
  <si>
    <t>V-1317</t>
  </si>
  <si>
    <t>PIT-5432</t>
  </si>
  <si>
    <t>V-1318</t>
  </si>
  <si>
    <t>PIT-5433</t>
  </si>
  <si>
    <t>V-1319</t>
  </si>
  <si>
    <t>PIT-5434</t>
  </si>
  <si>
    <t>V-1320</t>
  </si>
  <si>
    <t>PIT-5435</t>
  </si>
  <si>
    <t>V-1321</t>
  </si>
  <si>
    <t>PIT-5436</t>
  </si>
  <si>
    <t>V-1322</t>
  </si>
  <si>
    <t>PIT-5437</t>
  </si>
  <si>
    <t>V-1323</t>
  </si>
  <si>
    <t>PIT-5438</t>
  </si>
  <si>
    <t>V-1324</t>
  </si>
  <si>
    <t>PIT-5439</t>
  </si>
  <si>
    <t>V-1325</t>
  </si>
  <si>
    <t>PIT-5440</t>
  </si>
  <si>
    <t>V-1326</t>
  </si>
  <si>
    <t>PIT-5441</t>
  </si>
  <si>
    <t>V-1327</t>
  </si>
  <si>
    <t>PIT-5442</t>
  </si>
  <si>
    <t>V-1328</t>
  </si>
  <si>
    <t>PIT-5443</t>
  </si>
  <si>
    <t>V-1329</t>
  </si>
  <si>
    <t>PIT-5444</t>
  </si>
  <si>
    <t>V-1330</t>
  </si>
  <si>
    <t>PIT-5445</t>
  </si>
  <si>
    <t>V-1331</t>
  </si>
  <si>
    <t>PIT-5446</t>
  </si>
  <si>
    <t>V-1332</t>
  </si>
  <si>
    <t>PIT-5447</t>
  </si>
  <si>
    <t>V-1333</t>
  </si>
  <si>
    <t>PIT-5448</t>
  </si>
  <si>
    <t>V-1334</t>
  </si>
  <si>
    <t>PIT-5449</t>
  </si>
  <si>
    <t>V-1335</t>
  </si>
  <si>
    <t>PIT-5450</t>
  </si>
  <si>
    <t>V-1336</t>
  </si>
  <si>
    <t>PIT-5451</t>
  </si>
  <si>
    <t>V-1337</t>
  </si>
  <si>
    <t>PIT-5452</t>
  </si>
  <si>
    <t>V-1338</t>
  </si>
  <si>
    <t>PIT-5453</t>
  </si>
  <si>
    <t>V-1339</t>
  </si>
  <si>
    <t>PIT-5454</t>
  </si>
  <si>
    <t>V-1340</t>
  </si>
  <si>
    <t>PIT-5455</t>
  </si>
  <si>
    <t>V-1341</t>
  </si>
  <si>
    <t>PIT-5456</t>
  </si>
  <si>
    <t>V-1342</t>
  </si>
  <si>
    <t>PIT-5457</t>
  </si>
  <si>
    <t>V-1343</t>
  </si>
  <si>
    <t>PIT-5458</t>
  </si>
  <si>
    <t>V-1344</t>
  </si>
  <si>
    <t>PIT-5459</t>
  </si>
  <si>
    <t>V-1345</t>
  </si>
  <si>
    <t>PIT-5460</t>
  </si>
  <si>
    <t>V-1346</t>
  </si>
  <si>
    <t>PIT-5461</t>
  </si>
  <si>
    <t>V-1347</t>
  </si>
  <si>
    <t>PIT-5462</t>
  </si>
  <si>
    <t>V-1348</t>
  </si>
  <si>
    <t>PIT-5463</t>
  </si>
  <si>
    <t>V-1349</t>
  </si>
  <si>
    <t>PIT-5464</t>
  </si>
  <si>
    <t>V-1350</t>
  </si>
  <si>
    <t>PIT-5465</t>
  </si>
  <si>
    <t>V-1351</t>
  </si>
  <si>
    <t>PIT-5466</t>
  </si>
  <si>
    <t>V-1352</t>
  </si>
  <si>
    <t>PIT-5467</t>
  </si>
  <si>
    <t>V-1353</t>
  </si>
  <si>
    <t>PIT-5468</t>
  </si>
  <si>
    <t>V-1354</t>
  </si>
  <si>
    <t>PIT-5469</t>
  </si>
  <si>
    <t>V-1355</t>
  </si>
  <si>
    <t>PIT-5470</t>
  </si>
  <si>
    <t>V-1356</t>
  </si>
  <si>
    <t>PIT-5471</t>
  </si>
  <si>
    <t>V-1357</t>
  </si>
  <si>
    <t>PIT-5472</t>
  </si>
  <si>
    <t>V-1358</t>
  </si>
  <si>
    <t>PIT-5473</t>
  </si>
  <si>
    <t>V-1359</t>
  </si>
  <si>
    <t>PIT-5474</t>
  </si>
  <si>
    <t>V-1360</t>
  </si>
  <si>
    <t>PIT-5475</t>
  </si>
  <si>
    <t>V-1361</t>
  </si>
  <si>
    <t>PIT-5476</t>
  </si>
  <si>
    <t>V-1362</t>
  </si>
  <si>
    <t>PIT-5477</t>
  </si>
  <si>
    <t>V-1363</t>
  </si>
  <si>
    <t>PIT-5478</t>
  </si>
  <si>
    <t>V-1364</t>
  </si>
  <si>
    <t>PIT-5479</t>
  </si>
  <si>
    <t>V-1365</t>
  </si>
  <si>
    <t>PIT-5480</t>
  </si>
  <si>
    <t>V-1366</t>
  </si>
  <si>
    <t>PIT-5481</t>
  </si>
  <si>
    <t>V-1367</t>
  </si>
  <si>
    <t>PIT-5482</t>
  </si>
  <si>
    <t>V-1368</t>
  </si>
  <si>
    <t>PIT-5483</t>
  </si>
  <si>
    <t>V-1369</t>
  </si>
  <si>
    <t>PIT-5484</t>
  </si>
  <si>
    <t>V-1370</t>
  </si>
  <si>
    <t>PIT-5485</t>
  </si>
  <si>
    <t>V-1371</t>
  </si>
  <si>
    <t>PIT-5486</t>
  </si>
  <si>
    <t>V-1372</t>
  </si>
  <si>
    <t>PIT-5487</t>
  </si>
  <si>
    <t>V-1373</t>
  </si>
  <si>
    <t>PIT-5488</t>
  </si>
  <si>
    <t>V-1374</t>
  </si>
  <si>
    <t>PIT-5489</t>
  </si>
  <si>
    <t>V-1375</t>
  </si>
  <si>
    <t>PIT-5490</t>
  </si>
  <si>
    <t>V-1376</t>
  </si>
  <si>
    <t>PIT-5491</t>
  </si>
  <si>
    <t>V-1377</t>
  </si>
  <si>
    <t>PIT-5492</t>
  </si>
  <si>
    <t>V-1378</t>
  </si>
  <si>
    <t>PIT-5493</t>
  </si>
  <si>
    <t>V-1379</t>
  </si>
  <si>
    <t>PIT-5494</t>
  </si>
  <si>
    <t>V-1380</t>
  </si>
  <si>
    <t>PIT-5495</t>
  </si>
  <si>
    <t>V-1381</t>
  </si>
  <si>
    <t>PIT-5496</t>
  </si>
  <si>
    <t>V-1382</t>
  </si>
  <si>
    <t>PIT-5497</t>
  </si>
  <si>
    <t>V-1383</t>
  </si>
  <si>
    <t>PIT-5498</t>
  </si>
  <si>
    <t>V-1384</t>
  </si>
  <si>
    <t>PIT-5499</t>
  </si>
  <si>
    <t>V-1385</t>
  </si>
  <si>
    <t>PIT-5500</t>
  </si>
  <si>
    <t>V-1386</t>
  </si>
  <si>
    <t>PIT-5501</t>
  </si>
  <si>
    <t>V-1387</t>
  </si>
  <si>
    <t>PIT-5502</t>
  </si>
  <si>
    <t>V-1388</t>
  </si>
  <si>
    <t>PIT-5503</t>
  </si>
  <si>
    <t>V-1389</t>
  </si>
  <si>
    <t>PIT-5504</t>
  </si>
  <si>
    <t>V-1390</t>
  </si>
  <si>
    <t>PIT-5505</t>
  </si>
  <si>
    <t>V-1391</t>
  </si>
  <si>
    <t>PIT-5506</t>
  </si>
  <si>
    <t>V-1392</t>
  </si>
  <si>
    <t>PIT-5507</t>
  </si>
  <si>
    <t>V-1393</t>
  </si>
  <si>
    <t>PIT-5508</t>
  </si>
  <si>
    <t>V-1394</t>
  </si>
  <si>
    <t>PIT-5509</t>
  </si>
  <si>
    <t>V-1395</t>
  </si>
  <si>
    <t>PIT-5510</t>
  </si>
  <si>
    <t>V-1396</t>
  </si>
  <si>
    <t>PIT-5511</t>
  </si>
  <si>
    <t>V-1397</t>
  </si>
  <si>
    <t>PIT-5512</t>
  </si>
  <si>
    <t>V-1398</t>
  </si>
  <si>
    <t>PIT-5513</t>
  </si>
  <si>
    <t>V-1399</t>
  </si>
  <si>
    <t>PIT-5514</t>
  </si>
  <si>
    <t>V-1400</t>
  </si>
  <si>
    <t>PIT-5515</t>
  </si>
  <si>
    <t>V-1401</t>
  </si>
  <si>
    <t>PIT-5516</t>
  </si>
  <si>
    <t>V-1402</t>
  </si>
  <si>
    <t>PIT-5517</t>
  </si>
  <si>
    <t>V-1403</t>
  </si>
  <si>
    <t>PIT-5518</t>
  </si>
  <si>
    <t>V-1404</t>
  </si>
  <si>
    <t>PIT-5519</t>
  </si>
  <si>
    <t>V-1405</t>
  </si>
  <si>
    <t>PIT-5520</t>
  </si>
  <si>
    <t>V-1406</t>
  </si>
  <si>
    <t>PIT-5521</t>
  </si>
  <si>
    <t>V-1407</t>
  </si>
  <si>
    <t>PIT-5522</t>
  </si>
  <si>
    <t>V-1408</t>
  </si>
  <si>
    <t>PIT-5523</t>
  </si>
  <si>
    <t>V-1409</t>
  </si>
  <si>
    <t>PIT-5524</t>
  </si>
  <si>
    <t>V-1410</t>
  </si>
  <si>
    <t>PIT-5525</t>
  </si>
  <si>
    <t>V-1411</t>
  </si>
  <si>
    <t>PIT-5526</t>
  </si>
  <si>
    <t>V-1412</t>
  </si>
  <si>
    <t>PIT-5527</t>
  </si>
  <si>
    <t>V-1413</t>
  </si>
  <si>
    <t>PIT-5528</t>
  </si>
  <si>
    <t>V-1414</t>
  </si>
  <si>
    <t>PIT-5529</t>
  </si>
  <si>
    <t>V-1415</t>
  </si>
  <si>
    <t>PIT-5530</t>
  </si>
  <si>
    <t>V-1416</t>
  </si>
  <si>
    <t>PIT-5531</t>
  </si>
  <si>
    <t>V-1417</t>
  </si>
  <si>
    <t>PIT-5532</t>
  </si>
  <si>
    <t>V-1418</t>
  </si>
  <si>
    <t>PIT-5533</t>
  </si>
  <si>
    <t>V-1419</t>
  </si>
  <si>
    <t>PIT-5534</t>
  </si>
  <si>
    <t>V-1420</t>
  </si>
  <si>
    <t>PIT-5535</t>
  </si>
  <si>
    <t>V-1421</t>
  </si>
  <si>
    <t>PIT-5536</t>
  </si>
  <si>
    <t>V-1422</t>
  </si>
  <si>
    <t>PIT-5537</t>
  </si>
  <si>
    <t>V-1423</t>
  </si>
  <si>
    <t>PIT-5538</t>
  </si>
  <si>
    <t>V-1424</t>
  </si>
  <si>
    <t>PIT-5539</t>
  </si>
  <si>
    <t>V-1425</t>
  </si>
  <si>
    <t>PIT-5540</t>
  </si>
  <si>
    <t>V-1426</t>
  </si>
  <si>
    <t>PIT-5541</t>
  </si>
  <si>
    <t>V-1427</t>
  </si>
  <si>
    <t>PIT-5542</t>
  </si>
  <si>
    <t>V-1428</t>
  </si>
  <si>
    <t>PIT-5543</t>
  </si>
  <si>
    <t>V-1429</t>
  </si>
  <si>
    <t>PIT-5544</t>
  </si>
  <si>
    <t>V-1430</t>
  </si>
  <si>
    <t>PIT-5545</t>
  </si>
  <si>
    <t>V-1431</t>
  </si>
  <si>
    <t>PIT-5546</t>
  </si>
  <si>
    <t>V-1432</t>
  </si>
  <si>
    <t>PIT-5547</t>
  </si>
  <si>
    <t>V-1433</t>
  </si>
  <si>
    <t>PIT-5548</t>
  </si>
  <si>
    <t>V-1434</t>
  </si>
  <si>
    <t>PIT-5549</t>
  </si>
  <si>
    <t>V-1435</t>
  </si>
  <si>
    <t>PIT-5550</t>
  </si>
  <si>
    <t>V-1436</t>
  </si>
  <si>
    <t>PIT-5551</t>
  </si>
  <si>
    <t>V-1437</t>
  </si>
  <si>
    <t>PIT-5552</t>
  </si>
  <si>
    <t>V-1438</t>
  </si>
  <si>
    <t>PIT-5553</t>
  </si>
  <si>
    <t>V-1439</t>
  </si>
  <si>
    <t>PIT-5554</t>
  </si>
  <si>
    <t>V-1440</t>
  </si>
  <si>
    <t>PIT-5555</t>
  </si>
  <si>
    <t>V-1441</t>
  </si>
  <si>
    <t>PIT-5556</t>
  </si>
  <si>
    <t>V-1442</t>
  </si>
  <si>
    <t>PIT-5557</t>
  </si>
  <si>
    <t>V-1443</t>
  </si>
  <si>
    <t>PIT-5558</t>
  </si>
  <si>
    <t>V-1444</t>
  </si>
  <si>
    <t>PIT-5559</t>
  </si>
  <si>
    <t>V-1445</t>
  </si>
  <si>
    <t>PIT-5560</t>
  </si>
  <si>
    <t>V-1446</t>
  </si>
  <si>
    <t>PIT-5561</t>
  </si>
  <si>
    <t>V-1447</t>
  </si>
  <si>
    <t>PIT-5562</t>
  </si>
  <si>
    <t>V-1448</t>
  </si>
  <si>
    <t>PIT-5563</t>
  </si>
  <si>
    <t>V-1449</t>
  </si>
  <si>
    <t>PIT-5564</t>
  </si>
  <si>
    <t>V-1450</t>
  </si>
  <si>
    <t>PIT-5565</t>
  </si>
  <si>
    <t>V-1451</t>
  </si>
  <si>
    <t>PIT-5566</t>
  </si>
  <si>
    <t>V-1452</t>
  </si>
  <si>
    <t>PIT-5567</t>
  </si>
  <si>
    <t>V-1453</t>
  </si>
  <si>
    <t>PIT-5568</t>
  </si>
  <si>
    <t>V-1454</t>
  </si>
  <si>
    <t>PIT-5569</t>
  </si>
  <si>
    <t>V-1455</t>
  </si>
  <si>
    <t>PIT-5570</t>
  </si>
  <si>
    <t>V-1456</t>
  </si>
  <si>
    <t>PIT-5571</t>
  </si>
  <si>
    <t>V-1457</t>
  </si>
  <si>
    <t>PIT-5572</t>
  </si>
  <si>
    <t>V-1458</t>
  </si>
  <si>
    <t>PIT-5573</t>
  </si>
  <si>
    <t>V-1459</t>
  </si>
  <si>
    <t>PIT-5574</t>
  </si>
  <si>
    <t>V-1460</t>
  </si>
  <si>
    <t>PIT-5575</t>
  </si>
  <si>
    <t>V-1461</t>
  </si>
  <si>
    <t>PIT-5576</t>
  </si>
  <si>
    <t>V-1462</t>
  </si>
  <si>
    <t>PIT-5577</t>
  </si>
  <si>
    <t>V-1463</t>
  </si>
  <si>
    <t>PIT-5578</t>
  </si>
  <si>
    <t>V-1464</t>
  </si>
  <si>
    <t>PIT-5579</t>
  </si>
  <si>
    <t>V-1465</t>
  </si>
  <si>
    <t>PIT-5580</t>
  </si>
  <si>
    <t>V-1466</t>
  </si>
  <si>
    <t>PIT-5581</t>
  </si>
  <si>
    <t>V-1467</t>
  </si>
  <si>
    <t>PIT-5582</t>
  </si>
  <si>
    <t>V-1468</t>
  </si>
  <si>
    <t>PIT-5583</t>
  </si>
  <si>
    <t>V-1469</t>
  </si>
  <si>
    <t>PIT-5584</t>
  </si>
  <si>
    <t>V-1470</t>
  </si>
  <si>
    <t>PIT-5585</t>
  </si>
  <si>
    <t>V-1471</t>
  </si>
  <si>
    <t>PIT-5586</t>
  </si>
  <si>
    <t>V-1472</t>
  </si>
  <si>
    <t>PIT-5587</t>
  </si>
  <si>
    <t>V-1473</t>
  </si>
  <si>
    <t>PIT-5588</t>
  </si>
  <si>
    <t>V-1474</t>
  </si>
  <si>
    <t>PIT-5589</t>
  </si>
  <si>
    <t>V-1475</t>
  </si>
  <si>
    <t>PIT-5590</t>
  </si>
  <si>
    <t>V-1476</t>
  </si>
  <si>
    <t>PIT-5591</t>
  </si>
  <si>
    <t>V-1477</t>
  </si>
  <si>
    <t>PIT-5592</t>
  </si>
  <si>
    <t>V-1478</t>
  </si>
  <si>
    <t>PIT-5593</t>
  </si>
  <si>
    <t>V-1479</t>
  </si>
  <si>
    <t>PIT-5594</t>
  </si>
  <si>
    <t>V-1480</t>
  </si>
  <si>
    <t>PIT-5595</t>
  </si>
  <si>
    <t>V-1481</t>
  </si>
  <si>
    <t>PIT-5596</t>
  </si>
  <si>
    <t>V-1482</t>
  </si>
  <si>
    <t>PIT-5597</t>
  </si>
  <si>
    <t>V-1483</t>
  </si>
  <si>
    <t>PIT-5598</t>
  </si>
  <si>
    <t>V-1484</t>
  </si>
  <si>
    <t>PIT-5599</t>
  </si>
  <si>
    <t>V-1485</t>
  </si>
  <si>
    <t>PIT-5600</t>
  </si>
  <si>
    <t>V-1486</t>
  </si>
  <si>
    <t>PIT-5601</t>
  </si>
  <si>
    <t>V-1487</t>
  </si>
  <si>
    <t>PIT-5602</t>
  </si>
  <si>
    <t>V-1488</t>
  </si>
  <si>
    <t>PIT-5603</t>
  </si>
  <si>
    <t>V-1489</t>
  </si>
  <si>
    <t>PIT-5604</t>
  </si>
  <si>
    <t>V-1490</t>
  </si>
  <si>
    <t>PIT-5605</t>
  </si>
  <si>
    <t>V-1491</t>
  </si>
  <si>
    <t>PIT-5606</t>
  </si>
  <si>
    <t>V-1492</t>
  </si>
  <si>
    <t>PIT-5607</t>
  </si>
  <si>
    <t>V-1493</t>
  </si>
  <si>
    <t>PIT-5608</t>
  </si>
  <si>
    <t>V-1494</t>
  </si>
  <si>
    <t>PIT-5609</t>
  </si>
  <si>
    <t>V-1495</t>
  </si>
  <si>
    <t>PIT-5610</t>
  </si>
  <si>
    <t>V-1496</t>
  </si>
  <si>
    <t>PIT-5611</t>
  </si>
  <si>
    <t>V-1497</t>
  </si>
  <si>
    <t>PIT-5612</t>
  </si>
  <si>
    <t>V-1498</t>
  </si>
  <si>
    <t>PIT-5613</t>
  </si>
  <si>
    <t>V-1499</t>
  </si>
  <si>
    <t>PIT-5614</t>
  </si>
  <si>
    <t>V-1500</t>
  </si>
  <si>
    <t>PIT-5615</t>
  </si>
  <si>
    <t>V-1501</t>
  </si>
  <si>
    <t>PIT-5616</t>
  </si>
  <si>
    <t>V-1502</t>
  </si>
  <si>
    <t>PIT-5617</t>
  </si>
  <si>
    <t>V-1503</t>
  </si>
  <si>
    <t>PIT-5618</t>
  </si>
  <si>
    <t>V-1504</t>
  </si>
  <si>
    <t>PIT-5619</t>
  </si>
  <si>
    <t>V-1505</t>
  </si>
  <si>
    <t>PIT-5620</t>
  </si>
  <si>
    <t>V-1506</t>
  </si>
  <si>
    <t>PIT-5621</t>
  </si>
  <si>
    <t>V-1507</t>
  </si>
  <si>
    <t>PIT-5622</t>
  </si>
  <si>
    <t>V-1508</t>
  </si>
  <si>
    <t>PIT-5623</t>
  </si>
  <si>
    <t>V-1509</t>
  </si>
  <si>
    <t>PIT-5624</t>
  </si>
  <si>
    <t>V-1510</t>
  </si>
  <si>
    <t>PIT-5625</t>
  </si>
  <si>
    <t>V-1511</t>
  </si>
  <si>
    <t>PIT-5626</t>
  </si>
  <si>
    <t>V-1512</t>
  </si>
  <si>
    <t>PIT-5627</t>
  </si>
  <si>
    <t>V-1513</t>
  </si>
  <si>
    <t>PIT-5628</t>
  </si>
  <si>
    <t>V-1514</t>
  </si>
  <si>
    <t>PIT-5629</t>
  </si>
  <si>
    <t>V-1515</t>
  </si>
  <si>
    <t>PIT-5630</t>
  </si>
  <si>
    <t>V-1516</t>
  </si>
  <si>
    <t>PIT-5631</t>
  </si>
  <si>
    <t>V-1517</t>
  </si>
  <si>
    <t>PIT-5632</t>
  </si>
  <si>
    <t>V-1518</t>
  </si>
  <si>
    <t>PIT-5633</t>
  </si>
  <si>
    <t>V-1519</t>
  </si>
  <si>
    <t>PIT-5634</t>
  </si>
  <si>
    <t>V-1520</t>
  </si>
  <si>
    <t>PIT-5635</t>
  </si>
  <si>
    <t>V-1521</t>
  </si>
  <si>
    <t>PIT-5636</t>
  </si>
  <si>
    <t>V-1522</t>
  </si>
  <si>
    <t>PIT-5637</t>
  </si>
  <si>
    <t>V-1523</t>
  </si>
  <si>
    <t>PIT-5638</t>
  </si>
  <si>
    <t>V-1524</t>
  </si>
  <si>
    <t>PIT-5639</t>
  </si>
  <si>
    <t>V-1525</t>
  </si>
  <si>
    <t>PIT-5640</t>
  </si>
  <si>
    <t>V-1526</t>
  </si>
  <si>
    <t>PIT-5641</t>
  </si>
  <si>
    <t>V-1527</t>
  </si>
  <si>
    <t>PIT-5642</t>
  </si>
  <si>
    <t>V-1528</t>
  </si>
  <si>
    <t>PIT-5643</t>
  </si>
  <si>
    <t>V-1529</t>
  </si>
  <si>
    <t>PIT-5644</t>
  </si>
  <si>
    <t>V-1530</t>
  </si>
  <si>
    <t>PIT-5645</t>
  </si>
  <si>
    <t>V-1531</t>
  </si>
  <si>
    <t>PIT-5646</t>
  </si>
  <si>
    <t>V-1532</t>
  </si>
  <si>
    <t>PIT-5647</t>
  </si>
  <si>
    <t>V-1533</t>
  </si>
  <si>
    <t>PIT-5648</t>
  </si>
  <si>
    <t>V-1534</t>
  </si>
  <si>
    <t>PIT-5649</t>
  </si>
  <si>
    <t>V-1535</t>
  </si>
  <si>
    <t>PIT-5650</t>
  </si>
  <si>
    <t>V-1536</t>
  </si>
  <si>
    <t>PIT-5651</t>
  </si>
  <si>
    <t>V-1537</t>
  </si>
  <si>
    <t>PIT-5652</t>
  </si>
  <si>
    <t>V-1538</t>
  </si>
  <si>
    <t>PIT-5653</t>
  </si>
  <si>
    <t>V-1539</t>
  </si>
  <si>
    <t>PIT-5654</t>
  </si>
  <si>
    <t>V-1540</t>
  </si>
  <si>
    <t>PIT-5655</t>
  </si>
  <si>
    <t>V-1541</t>
  </si>
  <si>
    <t>PIT-5656</t>
  </si>
  <si>
    <t>V-1542</t>
  </si>
  <si>
    <t>PIT-5657</t>
  </si>
  <si>
    <t>V-1543</t>
  </si>
  <si>
    <t>PIT-5658</t>
  </si>
  <si>
    <t>V-1544</t>
  </si>
  <si>
    <t>PIT-5659</t>
  </si>
  <si>
    <t>V-1545</t>
  </si>
  <si>
    <t>PIT-5660</t>
  </si>
  <si>
    <t>V-1546</t>
  </si>
  <si>
    <t>PIT-5661</t>
  </si>
  <si>
    <t>V-1547</t>
  </si>
  <si>
    <t>PIT-5662</t>
  </si>
  <si>
    <t>V-1548</t>
  </si>
  <si>
    <t>PIT-5663</t>
  </si>
  <si>
    <t>V-1549</t>
  </si>
  <si>
    <t>PIT-5664</t>
  </si>
  <si>
    <t>V-1550</t>
  </si>
  <si>
    <t>PIT-5665</t>
  </si>
  <si>
    <t>V-1551</t>
  </si>
  <si>
    <t>PIT-5666</t>
  </si>
  <si>
    <t>V-1552</t>
  </si>
  <si>
    <t>PIT-5667</t>
  </si>
  <si>
    <t>V-1553</t>
  </si>
  <si>
    <t>PIT-5668</t>
  </si>
  <si>
    <t>V-1554</t>
  </si>
  <si>
    <t>PIT-5669</t>
  </si>
  <si>
    <t>V-1555</t>
  </si>
  <si>
    <t>PIT-5670</t>
  </si>
  <si>
    <t>V-1556</t>
  </si>
  <si>
    <t>PIT-5671</t>
  </si>
  <si>
    <t>V-1557</t>
  </si>
  <si>
    <t>PIT-5672</t>
  </si>
  <si>
    <t>V-1558</t>
  </si>
  <si>
    <t>PIT-5673</t>
  </si>
  <si>
    <t>V-1559</t>
  </si>
  <si>
    <t>PIT-5674</t>
  </si>
  <si>
    <t>V-1560</t>
  </si>
  <si>
    <t>PIT-5675</t>
  </si>
  <si>
    <t>V-1561</t>
  </si>
  <si>
    <t>PIT-5676</t>
  </si>
  <si>
    <t>V-1562</t>
  </si>
  <si>
    <t>PIT-5677</t>
  </si>
  <si>
    <t>V-1563</t>
  </si>
  <si>
    <t>PIT-5678</t>
  </si>
  <si>
    <t>V-1564</t>
  </si>
  <si>
    <t>PIT-5679</t>
  </si>
  <si>
    <t>V-1565</t>
  </si>
  <si>
    <t>PIT-5680</t>
  </si>
  <si>
    <t>V-1566</t>
  </si>
  <si>
    <t>PIT-5681</t>
  </si>
  <si>
    <t>V-1567</t>
  </si>
  <si>
    <t>PIT-5682</t>
  </si>
  <si>
    <t>V-1568</t>
  </si>
  <si>
    <t>PIT-5683</t>
  </si>
  <si>
    <t>V-1569</t>
  </si>
  <si>
    <t>PIT-5684</t>
  </si>
  <si>
    <t>V-1570</t>
  </si>
  <si>
    <t>PIT-5685</t>
  </si>
  <si>
    <t>V-1571</t>
  </si>
  <si>
    <t>PIT-5686</t>
  </si>
  <si>
    <t>V-1572</t>
  </si>
  <si>
    <t>PIT-5687</t>
  </si>
  <si>
    <t>V-1573</t>
  </si>
  <si>
    <t>PIT-5688</t>
  </si>
  <si>
    <t>V-1574</t>
  </si>
  <si>
    <t>PIT-5689</t>
  </si>
  <si>
    <t>V-1575</t>
  </si>
  <si>
    <t>PIT-5690</t>
  </si>
  <si>
    <t>V-1576</t>
  </si>
  <si>
    <t>PIT-5691</t>
  </si>
  <si>
    <t>V-1577</t>
  </si>
  <si>
    <t>PIT-5692</t>
  </si>
  <si>
    <t>V-1578</t>
  </si>
  <si>
    <t>PIT-5693</t>
  </si>
  <si>
    <t>V-1579</t>
  </si>
  <si>
    <t>PIT-5694</t>
  </si>
  <si>
    <t>V-1580</t>
  </si>
  <si>
    <t>PIT-5695</t>
  </si>
  <si>
    <t>V-1581</t>
  </si>
  <si>
    <t>PIT-5696</t>
  </si>
  <si>
    <t>V-1582</t>
  </si>
  <si>
    <t>PIT-5697</t>
  </si>
  <si>
    <t>V-1583</t>
  </si>
  <si>
    <t>PIT-5698</t>
  </si>
  <si>
    <t>V-1584</t>
  </si>
  <si>
    <t>PIT-5699</t>
  </si>
  <si>
    <t>V-1585</t>
  </si>
  <si>
    <t>PIT-5700</t>
  </si>
  <si>
    <t>V-1586</t>
  </si>
  <si>
    <t>PIT-5701</t>
  </si>
  <si>
    <t>V-1587</t>
  </si>
  <si>
    <t>PIT-5702</t>
  </si>
  <si>
    <t>V-1588</t>
  </si>
  <si>
    <t>PIT-5703</t>
  </si>
  <si>
    <t>V-1589</t>
  </si>
  <si>
    <t>PIT-5704</t>
  </si>
  <si>
    <t>V-1590</t>
  </si>
  <si>
    <t>PIT-5705</t>
  </si>
  <si>
    <t>V-1591</t>
  </si>
  <si>
    <t>PIT-5706</t>
  </si>
  <si>
    <t>V-1592</t>
  </si>
  <si>
    <t>PIT-5707</t>
  </si>
  <si>
    <t>V-1593</t>
  </si>
  <si>
    <t>PIT-5708</t>
  </si>
  <si>
    <t>V-1594</t>
  </si>
  <si>
    <t>PIT-5709</t>
  </si>
  <si>
    <t>V-1595</t>
  </si>
  <si>
    <t>PIT-5710</t>
  </si>
  <si>
    <t>V-1596</t>
  </si>
  <si>
    <t>PIT-5711</t>
  </si>
  <si>
    <t>V-1597</t>
  </si>
  <si>
    <t>PIT-5712</t>
  </si>
  <si>
    <t>V-1598</t>
  </si>
  <si>
    <t>PIT-5713</t>
  </si>
  <si>
    <t>V-1599</t>
  </si>
  <si>
    <t>PIT-5714</t>
  </si>
  <si>
    <t>V-1600</t>
  </si>
  <si>
    <t>PIT-5715</t>
  </si>
  <si>
    <t>V-1601</t>
  </si>
  <si>
    <t>PIT-5716</t>
  </si>
  <si>
    <t>V-1602</t>
  </si>
  <si>
    <t>PIT-5717</t>
  </si>
  <si>
    <t>V-1603</t>
  </si>
  <si>
    <t>PIT-5718</t>
  </si>
  <si>
    <t>V-1604</t>
  </si>
  <si>
    <t>PIT-5719</t>
  </si>
  <si>
    <t>V-1605</t>
  </si>
  <si>
    <t>PIT-5720</t>
  </si>
  <si>
    <t>V-1606</t>
  </si>
  <si>
    <t>PIT-5721</t>
  </si>
  <si>
    <t>V-1607</t>
  </si>
  <si>
    <t>PIT-5722</t>
  </si>
  <si>
    <t>V-1608</t>
  </si>
  <si>
    <t>PIT-5723</t>
  </si>
  <si>
    <t>V-1609</t>
  </si>
  <si>
    <t>PIT-5724</t>
  </si>
  <si>
    <t>V-1610</t>
  </si>
  <si>
    <t>PIT-5725</t>
  </si>
  <si>
    <t>V-1611</t>
  </si>
  <si>
    <t>PIT-5726</t>
  </si>
  <si>
    <t>V-1612</t>
  </si>
  <si>
    <t>PIT-5727</t>
  </si>
  <si>
    <t>V-1613</t>
  </si>
  <si>
    <t>PIT-5728</t>
  </si>
  <si>
    <t>V-1614</t>
  </si>
  <si>
    <t>PIT-5729</t>
  </si>
  <si>
    <t>V-1615</t>
  </si>
  <si>
    <t>PIT-5730</t>
  </si>
  <si>
    <t>V-1616</t>
  </si>
  <si>
    <t>PIT-5731</t>
  </si>
  <si>
    <t>V-1617</t>
  </si>
  <si>
    <t>PIT-5732</t>
  </si>
  <si>
    <t>V-1618</t>
  </si>
  <si>
    <t>PIT-5733</t>
  </si>
  <si>
    <t>V-1619</t>
  </si>
  <si>
    <t>PIT-5734</t>
  </si>
  <si>
    <t>V-1620</t>
  </si>
  <si>
    <t>PIT-5735</t>
  </si>
  <si>
    <t>V-1621</t>
  </si>
  <si>
    <t>PIT-5736</t>
  </si>
  <si>
    <t>V-1622</t>
  </si>
  <si>
    <t>PIT-5737</t>
  </si>
  <si>
    <t>V-1623</t>
  </si>
  <si>
    <t>PIT-5738</t>
  </si>
  <si>
    <t>V-1624</t>
  </si>
  <si>
    <t>PIT-5739</t>
  </si>
  <si>
    <t>V-1625</t>
  </si>
  <si>
    <t>PIT-5740</t>
  </si>
  <si>
    <t>V-1626</t>
  </si>
  <si>
    <t>PIT-5741</t>
  </si>
  <si>
    <t>V-1627</t>
  </si>
  <si>
    <t>PIT-5742</t>
  </si>
  <si>
    <t>V-1628</t>
  </si>
  <si>
    <t>PIT-5743</t>
  </si>
  <si>
    <t>V-1629</t>
  </si>
  <si>
    <t>PIT-5744</t>
  </si>
  <si>
    <t>V-1630</t>
  </si>
  <si>
    <t>PIT-5745</t>
  </si>
  <si>
    <t>V-1631</t>
  </si>
  <si>
    <t>PIT-5746</t>
  </si>
  <si>
    <t>V-1632</t>
  </si>
  <si>
    <t>PIT-5747</t>
  </si>
  <si>
    <t>V-1633</t>
  </si>
  <si>
    <t>PIT-5748</t>
  </si>
  <si>
    <t>V-1634</t>
  </si>
  <si>
    <t>PIT-5749</t>
  </si>
  <si>
    <t>V-1635</t>
  </si>
  <si>
    <t>PIT-5750</t>
  </si>
  <si>
    <t>V-1636</t>
  </si>
  <si>
    <t>PIT-5751</t>
  </si>
  <si>
    <t>V-1637</t>
  </si>
  <si>
    <t>PIT-5752</t>
  </si>
  <si>
    <t>V-1638</t>
  </si>
  <si>
    <t>PIT-5753</t>
  </si>
  <si>
    <t>V-1639</t>
  </si>
  <si>
    <t>PIT-5754</t>
  </si>
  <si>
    <t>V-1640</t>
  </si>
  <si>
    <t>PIT-5755</t>
  </si>
  <si>
    <t>V-1641</t>
  </si>
  <si>
    <t>PIT-5756</t>
  </si>
  <si>
    <t>V-1642</t>
  </si>
  <si>
    <t>PIT-5757</t>
  </si>
  <si>
    <t>V-1643</t>
  </si>
  <si>
    <t>PIT-5758</t>
  </si>
  <si>
    <t>V-1644</t>
  </si>
  <si>
    <t>PIT-5759</t>
  </si>
  <si>
    <t>V-1645</t>
  </si>
  <si>
    <t>PIT-5760</t>
  </si>
  <si>
    <t>V-1646</t>
  </si>
  <si>
    <t>PIT-5761</t>
  </si>
  <si>
    <t>V-1647</t>
  </si>
  <si>
    <t>PIT-5762</t>
  </si>
  <si>
    <t>V-1648</t>
  </si>
  <si>
    <t>PIT-5763</t>
  </si>
  <si>
    <t>V-1649</t>
  </si>
  <si>
    <t>PIT-5764</t>
  </si>
  <si>
    <t>V-1650</t>
  </si>
  <si>
    <t>PIT-5765</t>
  </si>
  <si>
    <t>V-1651</t>
  </si>
  <si>
    <t>PIT-5766</t>
  </si>
  <si>
    <t>V-1652</t>
  </si>
  <si>
    <t>PIT-5767</t>
  </si>
  <si>
    <t>V-1653</t>
  </si>
  <si>
    <t>PIT-5768</t>
  </si>
  <si>
    <t>V-1654</t>
  </si>
  <si>
    <t>PIT-5769</t>
  </si>
  <si>
    <t>V-1655</t>
  </si>
  <si>
    <t>PIT-5770</t>
  </si>
  <si>
    <t>V-1656</t>
  </si>
  <si>
    <t>PIT-5771</t>
  </si>
  <si>
    <t>V-1657</t>
  </si>
  <si>
    <t>PIT-5772</t>
  </si>
  <si>
    <t>V-1658</t>
  </si>
  <si>
    <t>PIT-5773</t>
  </si>
  <si>
    <t>V-1659</t>
  </si>
  <si>
    <t>PIT-5774</t>
  </si>
  <si>
    <t>V-1660</t>
  </si>
  <si>
    <t>PIT-5775</t>
  </si>
  <si>
    <t>V-1661</t>
  </si>
  <si>
    <t>PIT-5776</t>
  </si>
  <si>
    <t>V-1662</t>
  </si>
  <si>
    <t>PIT-5777</t>
  </si>
  <si>
    <t>V-1663</t>
  </si>
  <si>
    <t>PIT-5778</t>
  </si>
  <si>
    <t>V-1664</t>
  </si>
  <si>
    <t>PIT-5779</t>
  </si>
  <si>
    <t>V-1665</t>
  </si>
  <si>
    <t>PIT-5780</t>
  </si>
  <si>
    <t>V-1666</t>
  </si>
  <si>
    <t>PIT-5781</t>
  </si>
  <si>
    <t>V-1667</t>
  </si>
  <si>
    <t>PIT-5782</t>
  </si>
  <si>
    <t>V-1668</t>
  </si>
  <si>
    <t>PIT-5783</t>
  </si>
  <si>
    <t>V-1669</t>
  </si>
  <si>
    <t>PIT-5784</t>
  </si>
  <si>
    <t>V-1670</t>
  </si>
  <si>
    <t>PIT-5785</t>
  </si>
  <si>
    <t>V-1671</t>
  </si>
  <si>
    <t>PIT-5786</t>
  </si>
  <si>
    <t>V-1672</t>
  </si>
  <si>
    <t>PIT-5787</t>
  </si>
  <si>
    <t>V-1673</t>
  </si>
  <si>
    <t>PIT-5788</t>
  </si>
  <si>
    <t>V-1674</t>
  </si>
  <si>
    <t>PIT-5789</t>
  </si>
  <si>
    <t>V-1675</t>
  </si>
  <si>
    <t>PIT-5790</t>
  </si>
  <si>
    <t>V-1676</t>
  </si>
  <si>
    <t>PIT-5791</t>
  </si>
  <si>
    <t>V-1677</t>
  </si>
  <si>
    <t>PIT-5792</t>
  </si>
  <si>
    <t>V-1678</t>
  </si>
  <si>
    <t>PIT-5793</t>
  </si>
  <si>
    <t>V-1679</t>
  </si>
  <si>
    <t>PIT-5794</t>
  </si>
  <si>
    <t>V-1680</t>
  </si>
  <si>
    <t>PIT-5795</t>
  </si>
  <si>
    <t>V-1681</t>
  </si>
  <si>
    <t>PIT-5796</t>
  </si>
  <si>
    <t>V-1682</t>
  </si>
  <si>
    <t>PIT-5797</t>
  </si>
  <si>
    <t>V-1683</t>
  </si>
  <si>
    <t>PIT-5798</t>
  </si>
  <si>
    <t>V-1684</t>
  </si>
  <si>
    <t>PIT-5799</t>
  </si>
  <si>
    <t>V-1685</t>
  </si>
  <si>
    <t>PIT-5800</t>
  </si>
  <si>
    <t>V-1686</t>
  </si>
  <si>
    <t>PIT-5801</t>
  </si>
  <si>
    <t>V-1687</t>
  </si>
  <si>
    <t>PIT-5802</t>
  </si>
  <si>
    <t>V-1688</t>
  </si>
  <si>
    <t>PIT-5803</t>
  </si>
  <si>
    <t>V-1689</t>
  </si>
  <si>
    <t>PIT-5804</t>
  </si>
  <si>
    <t>PEM040-001-SDK-2</t>
  </si>
  <si>
    <t>PEM040-001-SDK-3</t>
  </si>
  <si>
    <t>PEM040-001-SDK-4</t>
  </si>
  <si>
    <t>PEM040-001-SDK-5</t>
  </si>
  <si>
    <t>PEM040-001-SDK-6</t>
  </si>
  <si>
    <t>PEM040-001-SDK-7</t>
  </si>
  <si>
    <t>PEM040-001-SDK-8</t>
  </si>
  <si>
    <t>PEM040-001-SDK-9</t>
  </si>
  <si>
    <t>PEM040-001-SDK-10</t>
  </si>
  <si>
    <t>PEM040-001-SDK-11</t>
  </si>
  <si>
    <t>PEM040-001-SDK-12</t>
  </si>
  <si>
    <t>PEM040-001-SDK-13</t>
  </si>
  <si>
    <t>PEM040-001-SDK-14</t>
  </si>
  <si>
    <t>PEM040-001-SDK-15</t>
  </si>
  <si>
    <t>PEM040-001-SDK-16</t>
  </si>
  <si>
    <t>PEM040-001-SDK-17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</si>
</sst>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;[Red]0"/>
    <numFmt numFmtId="166" formatCode="0.0;[Red]0.0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20"/>
      <name val="Tahoma"/>
      <family val="2"/>
    </font>
    <font>
      <sz val="10"/>
      <name val="Arial"/>
      <family val="2"/>
    </font>
    <font>
      <b/>
      <sz val="12"/>
      <name val="Arial"/>
      <family val="2"/>
    </font>
    <font>
      <b/>
      <sz val="20"/>
      <name val="Tahoma"/>
      <family val="2"/>
    </font>
    <font>
      <b/>
      <sz val="24"/>
      <name val="Tahoma"/>
      <family val="2"/>
    </font>
    <font>
      <sz val="8"/>
      <name val="Tahoma"/>
      <family val="2"/>
    </font>
    <font>
      <sz val="10"/>
      <name val="Tahoma"/>
      <family val="2"/>
    </font>
    <font>
      <sz val="12"/>
      <name val="Tahoma"/>
      <family val="2"/>
    </font>
    <font>
      <sz val="10"/>
      <name val="Geneva"/>
    </font>
    <font>
      <sz val="10"/>
      <color indexed="8"/>
      <name val="Arial"/>
      <family val="2"/>
    </font>
    <font>
      <sz val="14"/>
      <name val="Arial"/>
      <family val="2"/>
    </font>
    <font>
      <sz val="14"/>
      <name val="Helv"/>
    </font>
    <font>
      <b/>
      <sz val="14"/>
      <name val="Helv"/>
    </font>
    <font>
      <b/>
      <sz val="14"/>
      <name val="Arial"/>
      <family val="2"/>
    </font>
    <font>
      <sz val="11"/>
      <color indexed="8"/>
      <name val="Calibri"/>
      <family val="2"/>
    </font>
    <font>
      <sz val="9"/>
      <color rgb="FF000000"/>
      <name val="Calibri"/>
      <family val="2"/>
    </font>
    <font>
      <sz val="18"/>
      <color rgb="FF000000"/>
      <name val="Calibri"/>
      <family val="2"/>
    </font>
    <font>
      <sz val="14"/>
      <color theme="1"/>
      <name val="Arial"/>
      <family val="2"/>
    </font>
    <font>
      <sz val="14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9">
    <xf numFmtId="0" fontId="0" fillId="0" borderId="0"/>
    <xf numFmtId="0" fontId="2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9" fillId="0" borderId="0"/>
    <xf numFmtId="0" fontId="12" fillId="0" borderId="0"/>
  </cellStyleXfs>
  <cellXfs count="436">
    <xf numFmtId="0" fontId="0" fillId="0" borderId="0" xfId="0"/>
    <xf numFmtId="0" fontId="3" fillId="0" borderId="1" xfId="1" applyFont="1" applyBorder="1"/>
    <xf numFmtId="0" fontId="3" fillId="0" borderId="2" xfId="1" applyFont="1" applyBorder="1"/>
    <xf numFmtId="0" fontId="3" fillId="0" borderId="0" xfId="1" applyFont="1"/>
    <xf numFmtId="0" fontId="3" fillId="0" borderId="4" xfId="1" applyFont="1" applyBorder="1"/>
    <xf numFmtId="0" fontId="3" fillId="0" borderId="0" xfId="1" applyFont="1" applyBorder="1"/>
    <xf numFmtId="0" fontId="3" fillId="0" borderId="0" xfId="2" applyFont="1" applyBorder="1"/>
    <xf numFmtId="49" fontId="3" fillId="0" borderId="0" xfId="2" applyNumberFormat="1" applyFont="1" applyBorder="1"/>
    <xf numFmtId="0" fontId="9" fillId="0" borderId="0" xfId="1" applyFont="1" applyAlignment="1">
      <alignment horizontal="center"/>
    </xf>
    <xf numFmtId="0" fontId="9" fillId="0" borderId="0" xfId="1" applyFont="1"/>
    <xf numFmtId="0" fontId="9" fillId="0" borderId="12" xfId="1" applyFont="1" applyFill="1" applyBorder="1" applyAlignment="1">
      <alignment horizontal="center"/>
    </xf>
    <xf numFmtId="164" fontId="9" fillId="0" borderId="0" xfId="1" applyNumberFormat="1" applyFont="1" applyAlignment="1">
      <alignment horizontal="center"/>
    </xf>
    <xf numFmtId="49" fontId="9" fillId="0" borderId="0" xfId="1" applyNumberFormat="1" applyFont="1" applyAlignment="1">
      <alignment horizontal="center"/>
    </xf>
    <xf numFmtId="0" fontId="9" fillId="0" borderId="17" xfId="1" applyFont="1" applyFill="1" applyBorder="1" applyAlignment="1">
      <alignment horizontal="center"/>
    </xf>
    <xf numFmtId="0" fontId="9" fillId="0" borderId="28" xfId="1" applyFont="1" applyFill="1" applyBorder="1" applyAlignment="1">
      <alignment horizontal="center"/>
    </xf>
    <xf numFmtId="0" fontId="13" fillId="0" borderId="1" xfId="1" applyFont="1" applyFill="1" applyBorder="1" applyAlignment="1">
      <alignment horizontal="center" vertical="center"/>
    </xf>
    <xf numFmtId="0" fontId="13" fillId="0" borderId="2" xfId="1" applyFont="1" applyFill="1" applyBorder="1" applyAlignment="1">
      <alignment horizontal="center" vertical="center"/>
    </xf>
    <xf numFmtId="0" fontId="13" fillId="0" borderId="2" xfId="1" applyFont="1" applyFill="1" applyBorder="1"/>
    <xf numFmtId="0" fontId="14" fillId="0" borderId="30" xfId="6" applyFont="1" applyFill="1" applyBorder="1" applyAlignment="1" applyProtection="1">
      <alignment horizontal="center" vertical="center" wrapText="1"/>
      <protection hidden="1"/>
    </xf>
    <xf numFmtId="0" fontId="15" fillId="0" borderId="31" xfId="6" applyFont="1" applyFill="1" applyBorder="1" applyAlignment="1" applyProtection="1">
      <alignment horizontal="center"/>
      <protection hidden="1"/>
    </xf>
    <xf numFmtId="0" fontId="14" fillId="0" borderId="32" xfId="6" applyFont="1" applyFill="1" applyBorder="1" applyAlignment="1" applyProtection="1">
      <alignment horizontal="center" vertical="center" wrapText="1"/>
      <protection hidden="1"/>
    </xf>
    <xf numFmtId="0" fontId="13" fillId="0" borderId="0" xfId="1" applyFont="1" applyFill="1" applyBorder="1" applyAlignment="1">
      <alignment horizontal="center" vertical="center"/>
    </xf>
    <xf numFmtId="0" fontId="13" fillId="0" borderId="4" xfId="1" applyFont="1" applyFill="1" applyBorder="1" applyAlignment="1">
      <alignment horizontal="center" vertical="center"/>
    </xf>
    <xf numFmtId="0" fontId="15" fillId="0" borderId="35" xfId="6" applyFont="1" applyFill="1" applyBorder="1" applyAlignment="1" applyProtection="1">
      <alignment horizontal="center" vertical="center"/>
      <protection hidden="1"/>
    </xf>
    <xf numFmtId="0" fontId="15" fillId="0" borderId="36" xfId="6" applyFont="1" applyFill="1" applyBorder="1" applyAlignment="1" applyProtection="1">
      <alignment horizontal="center" vertical="center"/>
      <protection hidden="1"/>
    </xf>
    <xf numFmtId="0" fontId="15" fillId="0" borderId="37" xfId="6" applyFont="1" applyFill="1" applyBorder="1" applyAlignment="1" applyProtection="1">
      <alignment horizontal="center" vertical="center"/>
      <protection hidden="1"/>
    </xf>
    <xf numFmtId="0" fontId="16" fillId="0" borderId="0" xfId="7" applyNumberFormat="1" applyFont="1" applyFill="1" applyBorder="1" applyAlignment="1" applyProtection="1">
      <alignment horizontal="center" vertical="center"/>
      <protection locked="0"/>
    </xf>
    <xf numFmtId="0" fontId="13" fillId="0" borderId="0" xfId="1" applyFont="1" applyFill="1" applyBorder="1"/>
    <xf numFmtId="0" fontId="13" fillId="0" borderId="0" xfId="7" applyNumberFormat="1" applyFont="1" applyFill="1" applyBorder="1" applyAlignment="1" applyProtection="1">
      <alignment horizontal="center" vertical="center" textRotation="90"/>
      <protection locked="0"/>
    </xf>
    <xf numFmtId="0" fontId="13" fillId="0" borderId="0" xfId="1" applyFont="1" applyFill="1" applyBorder="1" applyAlignment="1">
      <alignment vertical="center"/>
    </xf>
    <xf numFmtId="0" fontId="16" fillId="0" borderId="0" xfId="1" applyFont="1" applyFill="1" applyBorder="1" applyAlignment="1">
      <alignment horizontal="center" vertical="center" textRotation="90"/>
    </xf>
    <xf numFmtId="0" fontId="13" fillId="0" borderId="0" xfId="1" applyNumberFormat="1" applyFont="1" applyFill="1" applyBorder="1" applyAlignment="1">
      <alignment horizontal="center" textRotation="90"/>
    </xf>
    <xf numFmtId="0" fontId="13" fillId="0" borderId="0" xfId="1" applyFont="1" applyFill="1" applyBorder="1" applyAlignment="1">
      <alignment horizontal="center" textRotation="90"/>
    </xf>
    <xf numFmtId="0" fontId="13" fillId="0" borderId="0" xfId="1" quotePrefix="1" applyFont="1" applyFill="1" applyBorder="1" applyAlignment="1">
      <alignment horizontal="center" textRotation="90"/>
    </xf>
    <xf numFmtId="0" fontId="13" fillId="0" borderId="0" xfId="1" applyFont="1" applyFill="1" applyBorder="1" applyAlignment="1">
      <alignment horizontal="center" vertical="center" textRotation="90"/>
    </xf>
    <xf numFmtId="0" fontId="13" fillId="0" borderId="0" xfId="1" quotePrefix="1" applyFont="1" applyFill="1" applyBorder="1" applyAlignment="1">
      <alignment horizontal="center" vertical="center" textRotation="90"/>
    </xf>
    <xf numFmtId="0" fontId="13" fillId="0" borderId="0" xfId="1" applyFont="1" applyFill="1" applyBorder="1" applyAlignment="1">
      <alignment vertical="center" textRotation="90"/>
    </xf>
    <xf numFmtId="0" fontId="13" fillId="0" borderId="0" xfId="1" quotePrefix="1" applyFont="1" applyFill="1" applyBorder="1" applyAlignment="1">
      <alignment vertical="center" textRotation="90"/>
    </xf>
    <xf numFmtId="0" fontId="13" fillId="0" borderId="0" xfId="1" applyNumberFormat="1" applyFont="1" applyFill="1" applyBorder="1" applyAlignment="1">
      <alignment vertical="center" textRotation="90"/>
    </xf>
    <xf numFmtId="0" fontId="13" fillId="0" borderId="0" xfId="7" applyNumberFormat="1" applyFont="1" applyFill="1" applyBorder="1" applyAlignment="1" applyProtection="1">
      <alignment vertical="center" textRotation="90"/>
      <protection locked="0"/>
    </xf>
    <xf numFmtId="0" fontId="13" fillId="0" borderId="0" xfId="7" applyFont="1" applyFill="1" applyBorder="1" applyAlignment="1" applyProtection="1">
      <alignment horizontal="center" vertical="center" textRotation="90"/>
      <protection locked="0"/>
    </xf>
    <xf numFmtId="0" fontId="16" fillId="0" borderId="0" xfId="1" applyFont="1" applyFill="1" applyBorder="1"/>
    <xf numFmtId="0" fontId="16" fillId="0" borderId="42" xfId="1" applyFont="1" applyFill="1" applyBorder="1" applyAlignment="1">
      <alignment horizontal="center" vertical="center"/>
    </xf>
    <xf numFmtId="0" fontId="16" fillId="0" borderId="43" xfId="1" applyFont="1" applyFill="1" applyBorder="1" applyAlignment="1">
      <alignment horizontal="center" vertical="center"/>
    </xf>
    <xf numFmtId="0" fontId="16" fillId="0" borderId="45" xfId="1" applyFont="1" applyFill="1" applyBorder="1" applyAlignment="1">
      <alignment horizontal="center" vertical="center"/>
    </xf>
    <xf numFmtId="0" fontId="15" fillId="0" borderId="0" xfId="6" applyFont="1" applyFill="1" applyBorder="1" applyAlignment="1" applyProtection="1">
      <alignment horizontal="center" wrapText="1"/>
      <protection locked="0"/>
    </xf>
    <xf numFmtId="0" fontId="15" fillId="0" borderId="0" xfId="1" applyFont="1" applyFill="1" applyBorder="1" applyAlignment="1" applyProtection="1">
      <alignment horizontal="center" wrapText="1"/>
      <protection locked="0"/>
    </xf>
    <xf numFmtId="0" fontId="15" fillId="0" borderId="0" xfId="1" applyFont="1" applyFill="1" applyBorder="1" applyAlignment="1" applyProtection="1">
      <alignment horizontal="center" vertical="center" wrapText="1"/>
      <protection locked="0"/>
    </xf>
    <xf numFmtId="0" fontId="17" fillId="0" borderId="48" xfId="8" applyFont="1" applyFill="1" applyBorder="1" applyAlignment="1">
      <alignment horizontal="center" wrapText="1"/>
    </xf>
    <xf numFmtId="0" fontId="13" fillId="0" borderId="7" xfId="1" applyNumberFormat="1" applyFont="1" applyFill="1" applyBorder="1" applyAlignment="1">
      <alignment horizontal="center" vertical="center" wrapText="1"/>
    </xf>
    <xf numFmtId="0" fontId="13" fillId="0" borderId="7" xfId="1" applyFont="1" applyFill="1" applyBorder="1" applyAlignment="1">
      <alignment horizontal="center" vertical="center"/>
    </xf>
    <xf numFmtId="0" fontId="13" fillId="0" borderId="8" xfId="1" applyFont="1" applyFill="1" applyBorder="1" applyAlignment="1">
      <alignment horizontal="center" vertical="center"/>
    </xf>
    <xf numFmtId="0" fontId="13" fillId="0" borderId="17" xfId="1" applyFont="1" applyFill="1" applyBorder="1" applyAlignment="1">
      <alignment horizontal="center" vertical="center"/>
    </xf>
    <xf numFmtId="15" fontId="13" fillId="0" borderId="17" xfId="1" applyNumberFormat="1" applyFont="1" applyFill="1" applyBorder="1" applyAlignment="1">
      <alignment horizontal="center" vertical="center"/>
    </xf>
    <xf numFmtId="15" fontId="13" fillId="0" borderId="14" xfId="1" applyNumberFormat="1" applyFont="1" applyFill="1" applyBorder="1" applyAlignment="1">
      <alignment horizontal="center" vertical="center"/>
    </xf>
    <xf numFmtId="165" fontId="13" fillId="0" borderId="0" xfId="1" applyNumberFormat="1" applyFont="1" applyFill="1" applyAlignment="1">
      <alignment horizontal="center" vertical="center"/>
    </xf>
    <xf numFmtId="0" fontId="13" fillId="0" borderId="0" xfId="1" applyFont="1" applyFill="1" applyAlignment="1">
      <alignment horizontal="center" vertical="center"/>
    </xf>
    <xf numFmtId="0" fontId="13" fillId="0" borderId="0" xfId="1" applyFont="1" applyFill="1"/>
    <xf numFmtId="0" fontId="13" fillId="0" borderId="0" xfId="1" applyFont="1" applyFill="1" applyAlignment="1">
      <alignment horizontal="center"/>
    </xf>
    <xf numFmtId="0" fontId="16" fillId="0" borderId="0" xfId="1" applyFont="1" applyFill="1"/>
    <xf numFmtId="0" fontId="13" fillId="0" borderId="4" xfId="1" applyFont="1" applyFill="1" applyBorder="1"/>
    <xf numFmtId="0" fontId="13" fillId="0" borderId="1" xfId="1" applyFont="1" applyFill="1" applyBorder="1"/>
    <xf numFmtId="0" fontId="13" fillId="0" borderId="5" xfId="1" applyFont="1" applyFill="1" applyBorder="1"/>
    <xf numFmtId="0" fontId="16" fillId="2" borderId="42" xfId="1" applyFont="1" applyFill="1" applyBorder="1" applyAlignment="1">
      <alignment horizontal="center" vertical="center"/>
    </xf>
    <xf numFmtId="0" fontId="13" fillId="2" borderId="2" xfId="1" applyFont="1" applyFill="1" applyBorder="1" applyAlignment="1">
      <alignment horizontal="center" vertical="center"/>
    </xf>
    <xf numFmtId="0" fontId="13" fillId="2" borderId="2" xfId="1" applyFont="1" applyFill="1" applyBorder="1"/>
    <xf numFmtId="0" fontId="13" fillId="2" borderId="2" xfId="1" applyFont="1" applyFill="1" applyBorder="1" applyAlignment="1">
      <alignment horizontal="center"/>
    </xf>
    <xf numFmtId="0" fontId="13" fillId="2" borderId="4" xfId="1" applyFont="1" applyFill="1" applyBorder="1" applyAlignment="1">
      <alignment horizontal="center" vertical="center"/>
    </xf>
    <xf numFmtId="0" fontId="13" fillId="2" borderId="0" xfId="1" applyFont="1" applyFill="1" applyBorder="1" applyAlignment="1">
      <alignment horizontal="center" vertical="center"/>
    </xf>
    <xf numFmtId="0" fontId="13" fillId="2" borderId="0" xfId="1" applyFont="1" applyFill="1" applyBorder="1" applyAlignment="1"/>
    <xf numFmtId="0" fontId="13" fillId="2" borderId="0" xfId="1" applyFont="1" applyFill="1" applyBorder="1" applyAlignment="1">
      <alignment horizontal="center"/>
    </xf>
    <xf numFmtId="0" fontId="13" fillId="2" borderId="0" xfId="1" applyFont="1" applyFill="1" applyBorder="1"/>
    <xf numFmtId="0" fontId="13" fillId="2" borderId="0" xfId="1" applyFont="1" applyFill="1" applyBorder="1" applyAlignment="1">
      <alignment vertical="center"/>
    </xf>
    <xf numFmtId="0" fontId="16" fillId="2" borderId="0" xfId="1" applyFont="1" applyFill="1" applyBorder="1" applyAlignment="1">
      <alignment horizontal="center" vertical="center" textRotation="90"/>
    </xf>
    <xf numFmtId="0" fontId="16" fillId="2" borderId="0" xfId="1" applyFont="1" applyFill="1" applyBorder="1" applyAlignment="1">
      <alignment horizontal="center" vertical="center"/>
    </xf>
    <xf numFmtId="0" fontId="16" fillId="2" borderId="57" xfId="1" applyFont="1" applyFill="1" applyBorder="1" applyAlignment="1">
      <alignment horizontal="center" vertical="center"/>
    </xf>
    <xf numFmtId="0" fontId="13" fillId="2" borderId="1" xfId="1" applyFont="1" applyFill="1" applyBorder="1" applyAlignment="1">
      <alignment horizontal="center" vertical="center"/>
    </xf>
    <xf numFmtId="0" fontId="16" fillId="2" borderId="40" xfId="1" applyFont="1" applyFill="1" applyBorder="1" applyAlignment="1">
      <alignment horizontal="left" vertical="center"/>
    </xf>
    <xf numFmtId="0" fontId="20" fillId="0" borderId="30" xfId="0" applyFont="1" applyBorder="1" applyAlignment="1">
      <alignment horizontal="center"/>
    </xf>
    <xf numFmtId="0" fontId="20" fillId="0" borderId="33" xfId="0" applyFont="1" applyBorder="1" applyAlignment="1">
      <alignment horizontal="center"/>
    </xf>
    <xf numFmtId="0" fontId="20" fillId="0" borderId="0" xfId="0" applyFont="1"/>
    <xf numFmtId="0" fontId="20" fillId="0" borderId="19" xfId="0" applyFont="1" applyBorder="1" applyAlignment="1">
      <alignment horizontal="center"/>
    </xf>
    <xf numFmtId="0" fontId="20" fillId="0" borderId="16" xfId="0" applyFont="1" applyBorder="1" applyAlignment="1">
      <alignment horizontal="center"/>
    </xf>
    <xf numFmtId="0" fontId="20" fillId="0" borderId="19" xfId="0" applyFont="1" applyBorder="1" applyAlignment="1">
      <alignment horizontal="center" vertical="center" textRotation="90"/>
    </xf>
    <xf numFmtId="0" fontId="20" fillId="0" borderId="16" xfId="0" applyFont="1" applyBorder="1" applyAlignment="1">
      <alignment horizontal="center" vertical="center" textRotation="90"/>
    </xf>
    <xf numFmtId="0" fontId="20" fillId="0" borderId="22" xfId="0" applyFont="1" applyBorder="1" applyAlignment="1">
      <alignment horizontal="center" vertical="center" textRotation="90"/>
    </xf>
    <xf numFmtId="0" fontId="20" fillId="0" borderId="19" xfId="0" applyFont="1" applyBorder="1" applyAlignment="1">
      <alignment horizontal="center" textRotation="90"/>
    </xf>
    <xf numFmtId="0" fontId="20" fillId="0" borderId="16" xfId="0" applyFont="1" applyBorder="1" applyAlignment="1">
      <alignment horizontal="center" textRotation="90"/>
    </xf>
    <xf numFmtId="0" fontId="20" fillId="0" borderId="22" xfId="0" applyFont="1" applyBorder="1" applyAlignment="1">
      <alignment horizontal="center" textRotation="90"/>
    </xf>
    <xf numFmtId="0" fontId="20" fillId="0" borderId="35" xfId="0" applyFont="1" applyBorder="1" applyAlignment="1">
      <alignment horizontal="center" vertical="center" textRotation="90"/>
    </xf>
    <xf numFmtId="0" fontId="20" fillId="0" borderId="39" xfId="0" applyFont="1" applyBorder="1" applyAlignment="1">
      <alignment horizontal="center" vertical="center" textRotation="90"/>
    </xf>
    <xf numFmtId="0" fontId="20" fillId="0" borderId="36" xfId="0" applyFont="1" applyBorder="1" applyAlignment="1">
      <alignment horizontal="center" vertical="center" textRotation="90"/>
    </xf>
    <xf numFmtId="0" fontId="20" fillId="0" borderId="31" xfId="0" applyFont="1" applyBorder="1" applyAlignment="1">
      <alignment horizontal="center"/>
    </xf>
    <xf numFmtId="0" fontId="20" fillId="0" borderId="22" xfId="0" applyFont="1" applyBorder="1" applyAlignment="1">
      <alignment horizont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1" xfId="0" applyFont="1" applyBorder="1" applyAlignment="1">
      <alignment vertical="center"/>
    </xf>
    <xf numFmtId="0" fontId="20" fillId="0" borderId="32" xfId="0" applyFont="1" applyBorder="1" applyAlignment="1">
      <alignment vertical="center"/>
    </xf>
    <xf numFmtId="0" fontId="20" fillId="0" borderId="30" xfId="0" applyFont="1" applyBorder="1" applyAlignment="1">
      <alignment vertical="center"/>
    </xf>
    <xf numFmtId="0" fontId="20" fillId="0" borderId="0" xfId="0" applyFont="1" applyAlignment="1">
      <alignment vertical="center"/>
    </xf>
    <xf numFmtId="0" fontId="20" fillId="0" borderId="13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0" fontId="20" fillId="0" borderId="17" xfId="0" applyFont="1" applyBorder="1" applyAlignment="1">
      <alignment vertical="center"/>
    </xf>
    <xf numFmtId="0" fontId="20" fillId="0" borderId="46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horizontal="center" vertical="center"/>
    </xf>
    <xf numFmtId="0" fontId="20" fillId="0" borderId="22" xfId="0" applyFont="1" applyBorder="1" applyAlignment="1">
      <alignment vertical="center"/>
    </xf>
    <xf numFmtId="0" fontId="20" fillId="0" borderId="38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0" xfId="0" applyFont="1" applyAlignment="1">
      <alignment horizontal="center"/>
    </xf>
    <xf numFmtId="0" fontId="20" fillId="0" borderId="23" xfId="0" applyFont="1" applyBorder="1" applyAlignment="1">
      <alignment vertical="center"/>
    </xf>
    <xf numFmtId="0" fontId="16" fillId="0" borderId="10" xfId="1" applyFont="1" applyFill="1" applyBorder="1" applyAlignment="1">
      <alignment horizontal="center" vertical="center"/>
    </xf>
    <xf numFmtId="0" fontId="16" fillId="0" borderId="9" xfId="1" applyFont="1" applyFill="1" applyBorder="1" applyAlignment="1">
      <alignment horizontal="center" vertical="center"/>
    </xf>
    <xf numFmtId="0" fontId="13" fillId="0" borderId="0" xfId="1" applyFont="1" applyFill="1" applyBorder="1" applyAlignment="1"/>
    <xf numFmtId="0" fontId="13" fillId="0" borderId="0" xfId="1" applyFont="1" applyFill="1" applyBorder="1" applyAlignment="1">
      <alignment horizontal="center"/>
    </xf>
    <xf numFmtId="0" fontId="3" fillId="0" borderId="4" xfId="1" applyFont="1" applyFill="1" applyBorder="1"/>
    <xf numFmtId="0" fontId="3" fillId="0" borderId="0" xfId="1" applyFont="1" applyFill="1" applyBorder="1"/>
    <xf numFmtId="0" fontId="6" fillId="0" borderId="0" xfId="1" applyFont="1" applyFill="1" applyBorder="1"/>
    <xf numFmtId="0" fontId="3" fillId="0" borderId="5" xfId="1" applyFont="1" applyFill="1" applyBorder="1"/>
    <xf numFmtId="0" fontId="3" fillId="0" borderId="0" xfId="1" applyFont="1" applyFill="1"/>
    <xf numFmtId="0" fontId="2" fillId="0" borderId="0" xfId="1" applyFill="1"/>
    <xf numFmtId="0" fontId="7" fillId="0" borderId="0" xfId="1" applyFont="1" applyFill="1" applyBorder="1"/>
    <xf numFmtId="0" fontId="3" fillId="0" borderId="4" xfId="1" applyFont="1" applyFill="1" applyBorder="1" applyAlignment="1">
      <alignment vertical="center"/>
    </xf>
    <xf numFmtId="0" fontId="3" fillId="0" borderId="0" xfId="1" applyFont="1" applyFill="1" applyBorder="1" applyAlignment="1">
      <alignment vertical="center"/>
    </xf>
    <xf numFmtId="0" fontId="6" fillId="0" borderId="0" xfId="1" applyFont="1" applyFill="1" applyBorder="1" applyAlignment="1">
      <alignment vertical="center"/>
    </xf>
    <xf numFmtId="0" fontId="3" fillId="0" borderId="5" xfId="1" applyFont="1" applyFill="1" applyBorder="1" applyAlignment="1">
      <alignment vertical="center"/>
    </xf>
    <xf numFmtId="0" fontId="8" fillId="0" borderId="0" xfId="1" applyFont="1" applyFill="1" applyBorder="1"/>
    <xf numFmtId="0" fontId="8" fillId="0" borderId="1" xfId="1" applyFont="1" applyFill="1" applyBorder="1"/>
    <xf numFmtId="0" fontId="8" fillId="0" borderId="2" xfId="1" applyFont="1" applyFill="1" applyBorder="1"/>
    <xf numFmtId="0" fontId="8" fillId="0" borderId="3" xfId="1" applyFont="1" applyFill="1" applyBorder="1"/>
    <xf numFmtId="0" fontId="9" fillId="0" borderId="0" xfId="1" applyFont="1" applyFill="1" applyAlignment="1">
      <alignment horizontal="center"/>
    </xf>
    <xf numFmtId="0" fontId="9" fillId="0" borderId="0" xfId="1" applyFont="1" applyFill="1"/>
    <xf numFmtId="0" fontId="8" fillId="0" borderId="4" xfId="1" applyFont="1" applyFill="1" applyBorder="1"/>
    <xf numFmtId="0" fontId="8" fillId="0" borderId="5" xfId="1" applyFont="1" applyFill="1" applyBorder="1"/>
    <xf numFmtId="0" fontId="9" fillId="0" borderId="10" xfId="1" applyFont="1" applyFill="1" applyBorder="1"/>
    <xf numFmtId="0" fontId="9" fillId="0" borderId="10" xfId="1" applyFont="1" applyFill="1" applyBorder="1" applyAlignment="1">
      <alignment horizontal="center"/>
    </xf>
    <xf numFmtId="0" fontId="9" fillId="0" borderId="11" xfId="1" applyFont="1" applyFill="1" applyBorder="1" applyAlignment="1">
      <alignment horizontal="center"/>
    </xf>
    <xf numFmtId="164" fontId="9" fillId="0" borderId="0" xfId="1" applyNumberFormat="1" applyFont="1" applyFill="1" applyAlignment="1">
      <alignment horizontal="center"/>
    </xf>
    <xf numFmtId="49" fontId="9" fillId="0" borderId="0" xfId="1" applyNumberFormat="1" applyFont="1" applyFill="1" applyAlignment="1">
      <alignment horizontal="center"/>
    </xf>
    <xf numFmtId="0" fontId="9" fillId="0" borderId="13" xfId="2" applyFont="1" applyFill="1" applyBorder="1" applyAlignment="1">
      <alignment horizontal="center"/>
    </xf>
    <xf numFmtId="0" fontId="9" fillId="0" borderId="14" xfId="2" applyFont="1" applyFill="1" applyBorder="1" applyAlignment="1">
      <alignment horizontal="left"/>
    </xf>
    <xf numFmtId="0" fontId="9" fillId="0" borderId="15" xfId="2" applyFont="1" applyFill="1" applyBorder="1" applyAlignment="1">
      <alignment horizontal="center"/>
    </xf>
    <xf numFmtId="0" fontId="9" fillId="0" borderId="16" xfId="2" applyFont="1" applyFill="1" applyBorder="1" applyAlignment="1">
      <alignment horizontal="center"/>
    </xf>
    <xf numFmtId="15" fontId="9" fillId="0" borderId="17" xfId="2" applyNumberFormat="1" applyFont="1" applyFill="1" applyBorder="1" applyAlignment="1">
      <alignment horizontal="center"/>
    </xf>
    <xf numFmtId="0" fontId="9" fillId="0" borderId="17" xfId="2" applyFont="1" applyFill="1" applyBorder="1" applyAlignment="1">
      <alignment horizontal="center"/>
    </xf>
    <xf numFmtId="0" fontId="9" fillId="0" borderId="18" xfId="1" applyFont="1" applyFill="1" applyBorder="1" applyAlignment="1">
      <alignment horizontal="center"/>
    </xf>
    <xf numFmtId="0" fontId="9" fillId="0" borderId="4" xfId="1" applyFont="1" applyFill="1" applyBorder="1"/>
    <xf numFmtId="0" fontId="9" fillId="0" borderId="0" xfId="1" applyFont="1" applyFill="1" applyBorder="1"/>
    <xf numFmtId="0" fontId="9" fillId="0" borderId="19" xfId="2" applyFont="1" applyFill="1" applyBorder="1" applyAlignment="1">
      <alignment horizontal="center"/>
    </xf>
    <xf numFmtId="0" fontId="9" fillId="0" borderId="20" xfId="1" applyFont="1" applyFill="1" applyBorder="1" applyAlignment="1">
      <alignment horizontal="center"/>
    </xf>
    <xf numFmtId="0" fontId="9" fillId="0" borderId="14" xfId="1" applyFont="1" applyFill="1" applyBorder="1" applyAlignment="1">
      <alignment horizontal="left"/>
    </xf>
    <xf numFmtId="0" fontId="3" fillId="0" borderId="21" xfId="1" applyFont="1" applyFill="1" applyBorder="1" applyAlignment="1">
      <alignment horizontal="center"/>
    </xf>
    <xf numFmtId="0" fontId="3" fillId="0" borderId="15" xfId="1" applyFont="1" applyFill="1" applyBorder="1" applyAlignment="1">
      <alignment horizontal="center"/>
    </xf>
    <xf numFmtId="0" fontId="3" fillId="0" borderId="16" xfId="1" applyFont="1" applyFill="1" applyBorder="1" applyAlignment="1">
      <alignment horizontal="center"/>
    </xf>
    <xf numFmtId="0" fontId="3" fillId="0" borderId="22" xfId="1" applyFont="1" applyFill="1" applyBorder="1" applyAlignment="1">
      <alignment horizontal="center"/>
    </xf>
    <xf numFmtId="0" fontId="3" fillId="0" borderId="20" xfId="1" applyFont="1" applyFill="1" applyBorder="1" applyAlignment="1">
      <alignment horizontal="center"/>
    </xf>
    <xf numFmtId="0" fontId="9" fillId="0" borderId="19" xfId="1" applyFont="1" applyFill="1" applyBorder="1" applyAlignment="1">
      <alignment horizontal="center"/>
    </xf>
    <xf numFmtId="0" fontId="9" fillId="0" borderId="23" xfId="1" applyFont="1" applyFill="1" applyBorder="1" applyAlignment="1">
      <alignment horizontal="left"/>
    </xf>
    <xf numFmtId="0" fontId="9" fillId="0" borderId="15" xfId="1" applyFont="1" applyFill="1" applyBorder="1" applyAlignment="1">
      <alignment horizontal="center"/>
    </xf>
    <xf numFmtId="0" fontId="9" fillId="0" borderId="16" xfId="1" applyFont="1" applyFill="1" applyBorder="1" applyAlignment="1">
      <alignment horizontal="center"/>
    </xf>
    <xf numFmtId="0" fontId="3" fillId="0" borderId="6" xfId="1" applyFont="1" applyFill="1" applyBorder="1"/>
    <xf numFmtId="0" fontId="3" fillId="0" borderId="7" xfId="1" applyFont="1" applyFill="1" applyBorder="1"/>
    <xf numFmtId="0" fontId="8" fillId="0" borderId="7" xfId="1" applyFont="1" applyFill="1" applyBorder="1"/>
    <xf numFmtId="0" fontId="8" fillId="0" borderId="6" xfId="1" applyFont="1" applyFill="1" applyBorder="1"/>
    <xf numFmtId="0" fontId="10" fillId="0" borderId="7" xfId="1" applyFont="1" applyFill="1" applyBorder="1"/>
    <xf numFmtId="0" fontId="8" fillId="0" borderId="8" xfId="1" applyFont="1" applyFill="1" applyBorder="1"/>
    <xf numFmtId="0" fontId="9" fillId="0" borderId="24" xfId="1" applyFont="1" applyFill="1" applyBorder="1" applyAlignment="1">
      <alignment horizontal="center"/>
    </xf>
    <xf numFmtId="0" fontId="9" fillId="0" borderId="25" xfId="1" applyFont="1" applyFill="1" applyBorder="1" applyAlignment="1">
      <alignment horizontal="left"/>
    </xf>
    <xf numFmtId="0" fontId="9" fillId="0" borderId="26" xfId="1" applyFont="1" applyFill="1" applyBorder="1" applyAlignment="1">
      <alignment horizontal="center"/>
    </xf>
    <xf numFmtId="0" fontId="9" fillId="0" borderId="27" xfId="1" applyFont="1" applyFill="1" applyBorder="1" applyAlignment="1">
      <alignment horizontal="center"/>
    </xf>
    <xf numFmtId="15" fontId="9" fillId="0" borderId="28" xfId="2" applyNumberFormat="1" applyFont="1" applyFill="1" applyBorder="1" applyAlignment="1">
      <alignment horizontal="center"/>
    </xf>
    <xf numFmtId="0" fontId="3" fillId="0" borderId="27" xfId="1" applyFont="1" applyFill="1" applyBorder="1" applyAlignment="1">
      <alignment horizontal="center"/>
    </xf>
    <xf numFmtId="0" fontId="3" fillId="0" borderId="28" xfId="1" applyFont="1" applyFill="1" applyBorder="1" applyAlignment="1">
      <alignment horizontal="center"/>
    </xf>
    <xf numFmtId="0" fontId="3" fillId="0" borderId="29" xfId="1" applyFont="1" applyFill="1" applyBorder="1" applyAlignment="1">
      <alignment horizontal="center"/>
    </xf>
    <xf numFmtId="0" fontId="3" fillId="0" borderId="0" xfId="1" applyFont="1" applyFill="1" applyAlignment="1">
      <alignment horizontal="right"/>
    </xf>
    <xf numFmtId="0" fontId="3" fillId="0" borderId="2" xfId="1" applyFont="1" applyFill="1" applyBorder="1"/>
    <xf numFmtId="0" fontId="3" fillId="0" borderId="3" xfId="1" applyFont="1" applyFill="1" applyBorder="1"/>
    <xf numFmtId="0" fontId="20" fillId="0" borderId="14" xfId="0" applyFont="1" applyBorder="1" applyAlignment="1">
      <alignment vertical="center"/>
    </xf>
    <xf numFmtId="0" fontId="20" fillId="0" borderId="34" xfId="0" applyFont="1" applyBorder="1" applyAlignment="1">
      <alignment vertical="center"/>
    </xf>
    <xf numFmtId="0" fontId="2" fillId="0" borderId="0" xfId="1" applyFont="1" applyFill="1" applyBorder="1"/>
    <xf numFmtId="1" fontId="2" fillId="0" borderId="0" xfId="1" applyNumberFormat="1" applyFont="1" applyFill="1" applyBorder="1" applyAlignment="1">
      <alignment horizontal="center"/>
    </xf>
    <xf numFmtId="0" fontId="2" fillId="0" borderId="0" xfId="1" applyFont="1" applyFill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36" xfId="0" applyFont="1" applyBorder="1" applyAlignment="1">
      <alignment horizontal="center"/>
    </xf>
    <xf numFmtId="0" fontId="20" fillId="0" borderId="35" xfId="0" applyFont="1" applyBorder="1" applyAlignment="1">
      <alignment horizontal="center"/>
    </xf>
    <xf numFmtId="0" fontId="21" fillId="0" borderId="17" xfId="1" applyFont="1" applyFill="1" applyBorder="1" applyAlignment="1">
      <alignment horizontal="center" vertical="center"/>
    </xf>
    <xf numFmtId="15" fontId="21" fillId="0" borderId="17" xfId="1" applyNumberFormat="1" applyFont="1" applyFill="1" applyBorder="1" applyAlignment="1">
      <alignment horizontal="center" vertical="center"/>
    </xf>
    <xf numFmtId="15" fontId="21" fillId="0" borderId="14" xfId="1" applyNumberFormat="1" applyFont="1" applyFill="1" applyBorder="1" applyAlignment="1">
      <alignment horizontal="center" vertical="center"/>
    </xf>
    <xf numFmtId="0" fontId="20" fillId="0" borderId="0" xfId="0" applyFont="1" applyBorder="1" applyAlignment="1">
      <alignment horizontal="center"/>
    </xf>
    <xf numFmtId="0" fontId="20" fillId="0" borderId="0" xfId="0" applyFont="1" applyBorder="1" applyAlignment="1">
      <alignment horizontal="center" vertical="center" textRotation="90"/>
    </xf>
    <xf numFmtId="0" fontId="20" fillId="0" borderId="0" xfId="0" applyFont="1" applyBorder="1" applyAlignment="1">
      <alignment horizontal="center" textRotation="90"/>
    </xf>
    <xf numFmtId="0" fontId="16" fillId="0" borderId="44" xfId="1" applyFont="1" applyFill="1" applyBorder="1" applyAlignment="1">
      <alignment horizontal="center" vertical="center"/>
    </xf>
    <xf numFmtId="0" fontId="16" fillId="0" borderId="10" xfId="1" applyFont="1" applyFill="1" applyBorder="1" applyAlignment="1">
      <alignment horizontal="center" vertical="center"/>
    </xf>
    <xf numFmtId="0" fontId="16" fillId="0" borderId="9" xfId="1" applyFont="1" applyFill="1" applyBorder="1" applyAlignment="1">
      <alignment horizontal="center" vertical="center"/>
    </xf>
    <xf numFmtId="0" fontId="13" fillId="0" borderId="0" xfId="1" applyFont="1" applyFill="1" applyBorder="1" applyAlignment="1"/>
    <xf numFmtId="0" fontId="13" fillId="0" borderId="2" xfId="1" applyFont="1" applyFill="1" applyBorder="1" applyAlignment="1">
      <alignment horizontal="center"/>
    </xf>
    <xf numFmtId="0" fontId="13" fillId="0" borderId="0" xfId="1" applyFont="1" applyFill="1" applyBorder="1" applyAlignment="1">
      <alignment horizontal="center"/>
    </xf>
    <xf numFmtId="0" fontId="16" fillId="0" borderId="0" xfId="1" applyFont="1" applyFill="1" applyBorder="1" applyAlignment="1">
      <alignment horizontal="center" vertical="center"/>
    </xf>
    <xf numFmtId="0" fontId="16" fillId="0" borderId="51" xfId="6" applyFont="1" applyFill="1" applyBorder="1" applyAlignment="1" applyProtection="1">
      <alignment horizontal="center"/>
      <protection hidden="1"/>
    </xf>
    <xf numFmtId="0" fontId="16" fillId="0" borderId="49" xfId="6" applyFont="1" applyFill="1" applyBorder="1" applyAlignment="1" applyProtection="1">
      <alignment horizontal="center"/>
      <protection hidden="1"/>
    </xf>
    <xf numFmtId="0" fontId="16" fillId="0" borderId="56" xfId="6" applyFont="1" applyFill="1" applyBorder="1" applyAlignment="1" applyProtection="1">
      <alignment horizontal="center" vertical="center"/>
      <protection hidden="1"/>
    </xf>
    <xf numFmtId="0" fontId="16" fillId="0" borderId="26" xfId="6" applyFont="1" applyFill="1" applyBorder="1" applyAlignment="1" applyProtection="1">
      <alignment horizontal="center" vertical="center"/>
      <protection hidden="1"/>
    </xf>
    <xf numFmtId="0" fontId="16" fillId="0" borderId="29" xfId="6" applyFont="1" applyFill="1" applyBorder="1" applyAlignment="1" applyProtection="1">
      <alignment horizontal="center" vertical="center"/>
      <protection hidden="1"/>
    </xf>
    <xf numFmtId="0" fontId="16" fillId="0" borderId="19" xfId="1" applyFont="1" applyFill="1" applyBorder="1" applyAlignment="1">
      <alignment horizontal="center" vertical="center" textRotation="90" wrapText="1"/>
    </xf>
    <xf numFmtId="0" fontId="16" fillId="0" borderId="22" xfId="1" applyFont="1" applyFill="1" applyBorder="1" applyAlignment="1">
      <alignment horizontal="center" vertical="center" textRotation="90" wrapText="1"/>
    </xf>
    <xf numFmtId="0" fontId="16" fillId="0" borderId="23" xfId="1" applyFont="1" applyFill="1" applyBorder="1" applyAlignment="1">
      <alignment horizontal="center" vertical="center" textRotation="90" wrapText="1"/>
    </xf>
    <xf numFmtId="0" fontId="16" fillId="0" borderId="30" xfId="6" applyFont="1" applyFill="1" applyBorder="1" applyAlignment="1" applyProtection="1">
      <alignment horizontal="center" vertical="center" textRotation="90" wrapText="1"/>
      <protection hidden="1"/>
    </xf>
    <xf numFmtId="0" fontId="16" fillId="0" borderId="31" xfId="6" applyFont="1" applyFill="1" applyBorder="1" applyAlignment="1" applyProtection="1">
      <alignment horizontal="center" vertical="center" textRotation="90" wrapText="1"/>
      <protection hidden="1"/>
    </xf>
    <xf numFmtId="0" fontId="16" fillId="0" borderId="34" xfId="6" applyFont="1" applyFill="1" applyBorder="1" applyAlignment="1" applyProtection="1">
      <alignment horizontal="center" vertical="center" textRotation="90" wrapText="1"/>
      <protection hidden="1"/>
    </xf>
    <xf numFmtId="0" fontId="16" fillId="0" borderId="19" xfId="6" applyFont="1" applyFill="1" applyBorder="1" applyAlignment="1" applyProtection="1">
      <alignment horizontal="center" vertical="center" textRotation="90" wrapText="1"/>
      <protection hidden="1"/>
    </xf>
    <xf numFmtId="0" fontId="16" fillId="0" borderId="22" xfId="6" applyFont="1" applyFill="1" applyBorder="1" applyAlignment="1" applyProtection="1">
      <alignment horizontal="center" vertical="center" textRotation="90" wrapText="1"/>
      <protection hidden="1"/>
    </xf>
    <xf numFmtId="0" fontId="16" fillId="0" borderId="23" xfId="6" applyFont="1" applyFill="1" applyBorder="1" applyAlignment="1" applyProtection="1">
      <alignment horizontal="center" vertical="center" textRotation="90" wrapText="1"/>
      <protection hidden="1"/>
    </xf>
    <xf numFmtId="0" fontId="16" fillId="0" borderId="31" xfId="1" applyFont="1" applyFill="1" applyBorder="1" applyAlignment="1">
      <alignment horizontal="center" vertical="center"/>
    </xf>
    <xf numFmtId="0" fontId="16" fillId="0" borderId="22" xfId="1" applyFont="1" applyFill="1" applyBorder="1" applyAlignment="1">
      <alignment horizontal="center" vertical="center"/>
    </xf>
    <xf numFmtId="0" fontId="16" fillId="0" borderId="36" xfId="1" applyFont="1" applyFill="1" applyBorder="1" applyAlignment="1">
      <alignment horizontal="center" vertical="center"/>
    </xf>
    <xf numFmtId="0" fontId="16" fillId="0" borderId="58" xfId="1" applyFont="1" applyFill="1" applyBorder="1" applyAlignment="1">
      <alignment horizontal="center" vertical="center"/>
    </xf>
    <xf numFmtId="0" fontId="16" fillId="0" borderId="57" xfId="1" applyFont="1" applyFill="1" applyBorder="1" applyAlignment="1">
      <alignment horizontal="center" vertical="center"/>
    </xf>
    <xf numFmtId="0" fontId="16" fillId="0" borderId="44" xfId="1" applyFont="1" applyFill="1" applyBorder="1" applyAlignment="1">
      <alignment horizontal="center" vertical="center"/>
    </xf>
    <xf numFmtId="0" fontId="16" fillId="0" borderId="51" xfId="6" applyFont="1" applyFill="1" applyBorder="1" applyAlignment="1" applyProtection="1">
      <alignment horizontal="center" vertical="center" textRotation="90"/>
      <protection hidden="1"/>
    </xf>
    <xf numFmtId="0" fontId="16" fillId="0" borderId="49" xfId="6" applyFont="1" applyFill="1" applyBorder="1" applyAlignment="1" applyProtection="1">
      <alignment horizontal="center" vertical="center" textRotation="90"/>
      <protection hidden="1"/>
    </xf>
    <xf numFmtId="0" fontId="16" fillId="0" borderId="50" xfId="6" applyFont="1" applyFill="1" applyBorder="1" applyAlignment="1" applyProtection="1">
      <alignment horizontal="center" vertical="center" textRotation="90"/>
      <protection hidden="1"/>
    </xf>
    <xf numFmtId="165" fontId="16" fillId="0" borderId="30" xfId="1" applyNumberFormat="1" applyFont="1" applyFill="1" applyBorder="1" applyAlignment="1">
      <alignment horizontal="center" vertical="center"/>
    </xf>
    <xf numFmtId="0" fontId="16" fillId="0" borderId="19" xfId="1" applyFont="1" applyFill="1" applyBorder="1" applyAlignment="1">
      <alignment horizontal="center" vertical="center"/>
    </xf>
    <xf numFmtId="0" fontId="16" fillId="0" borderId="35" xfId="1" applyFont="1" applyFill="1" applyBorder="1" applyAlignment="1">
      <alignment horizontal="center" vertical="center"/>
    </xf>
    <xf numFmtId="0" fontId="16" fillId="0" borderId="31" xfId="1" applyFont="1" applyFill="1" applyBorder="1" applyAlignment="1">
      <alignment horizontal="center" vertical="center" wrapText="1"/>
    </xf>
    <xf numFmtId="0" fontId="16" fillId="0" borderId="34" xfId="1" applyFont="1" applyFill="1" applyBorder="1" applyAlignment="1">
      <alignment horizontal="center" vertical="center"/>
    </xf>
    <xf numFmtId="0" fontId="16" fillId="0" borderId="23" xfId="1" applyFont="1" applyFill="1" applyBorder="1" applyAlignment="1">
      <alignment horizontal="center" vertical="center"/>
    </xf>
    <xf numFmtId="0" fontId="16" fillId="0" borderId="40" xfId="1" applyFont="1" applyFill="1" applyBorder="1" applyAlignment="1">
      <alignment horizontal="center" vertical="center"/>
    </xf>
    <xf numFmtId="0" fontId="16" fillId="2" borderId="1" xfId="1" applyFont="1" applyFill="1" applyBorder="1" applyAlignment="1">
      <alignment horizontal="left" vertical="center"/>
    </xf>
    <xf numFmtId="0" fontId="16" fillId="2" borderId="2" xfId="1" applyFont="1" applyFill="1" applyBorder="1" applyAlignment="1">
      <alignment horizontal="left" vertical="center"/>
    </xf>
    <xf numFmtId="0" fontId="16" fillId="2" borderId="40" xfId="1" applyFont="1" applyFill="1" applyBorder="1" applyAlignment="1">
      <alignment horizontal="left" vertical="center"/>
    </xf>
    <xf numFmtId="0" fontId="16" fillId="2" borderId="21" xfId="1" applyFont="1" applyFill="1" applyBorder="1" applyAlignment="1">
      <alignment horizontal="left" vertical="center"/>
    </xf>
    <xf numFmtId="0" fontId="16" fillId="0" borderId="35" xfId="1" applyFont="1" applyFill="1" applyBorder="1" applyAlignment="1">
      <alignment horizontal="center" vertical="center" textRotation="90" wrapText="1"/>
    </xf>
    <xf numFmtId="0" fontId="16" fillId="0" borderId="36" xfId="1" applyFont="1" applyFill="1" applyBorder="1" applyAlignment="1">
      <alignment horizontal="center" vertical="center" textRotation="90" wrapText="1"/>
    </xf>
    <xf numFmtId="0" fontId="16" fillId="0" borderId="40" xfId="1" applyFont="1" applyFill="1" applyBorder="1" applyAlignment="1">
      <alignment horizontal="center" vertical="center" textRotation="90" wrapText="1"/>
    </xf>
    <xf numFmtId="0" fontId="5" fillId="0" borderId="1" xfId="1" applyFont="1" applyFill="1" applyBorder="1" applyAlignment="1">
      <alignment horizontal="center" vertical="center" wrapText="1"/>
    </xf>
    <xf numFmtId="0" fontId="5" fillId="0" borderId="2" xfId="1" applyFont="1" applyFill="1" applyBorder="1" applyAlignment="1">
      <alignment horizontal="center" vertical="center" wrapText="1"/>
    </xf>
    <xf numFmtId="0" fontId="5" fillId="0" borderId="3" xfId="1" applyFont="1" applyFill="1" applyBorder="1" applyAlignment="1">
      <alignment horizontal="center" vertical="center" wrapText="1"/>
    </xf>
    <xf numFmtId="0" fontId="5" fillId="0" borderId="4" xfId="1" applyFont="1" applyFill="1" applyBorder="1" applyAlignment="1">
      <alignment horizontal="center" vertical="center" wrapText="1"/>
    </xf>
    <xf numFmtId="0" fontId="5" fillId="0" borderId="0" xfId="1" applyFont="1" applyFill="1" applyBorder="1" applyAlignment="1">
      <alignment horizontal="center" vertical="center" wrapText="1"/>
    </xf>
    <xf numFmtId="0" fontId="5" fillId="0" borderId="5" xfId="1" applyFont="1" applyFill="1" applyBorder="1" applyAlignment="1">
      <alignment horizontal="center" vertical="center" wrapText="1"/>
    </xf>
    <xf numFmtId="0" fontId="5" fillId="0" borderId="6" xfId="1" applyFont="1" applyFill="1" applyBorder="1" applyAlignment="1">
      <alignment horizontal="center" vertical="center" wrapText="1"/>
    </xf>
    <xf numFmtId="0" fontId="5" fillId="0" borderId="7" xfId="1" applyFont="1" applyFill="1" applyBorder="1" applyAlignment="1">
      <alignment horizontal="center" vertical="center" wrapText="1"/>
    </xf>
    <xf numFmtId="0" fontId="5" fillId="0" borderId="8" xfId="1" applyFont="1" applyFill="1" applyBorder="1" applyAlignment="1">
      <alignment horizontal="center" vertical="center" wrapText="1"/>
    </xf>
    <xf numFmtId="0" fontId="3" fillId="0" borderId="9" xfId="1" applyFont="1" applyFill="1" applyBorder="1" applyAlignment="1">
      <alignment horizontal="center"/>
    </xf>
    <xf numFmtId="0" fontId="3" fillId="0" borderId="10" xfId="1" applyFont="1" applyFill="1" applyBorder="1" applyAlignment="1">
      <alignment horizontal="center"/>
    </xf>
    <xf numFmtId="0" fontId="3" fillId="0" borderId="11" xfId="1" applyFont="1" applyFill="1" applyBorder="1" applyAlignment="1">
      <alignment horizontal="center"/>
    </xf>
    <xf numFmtId="0" fontId="16" fillId="0" borderId="2" xfId="1" applyFont="1" applyFill="1" applyBorder="1" applyAlignment="1">
      <alignment horizontal="center" vertical="center"/>
    </xf>
    <xf numFmtId="0" fontId="16" fillId="0" borderId="3" xfId="1" applyFont="1" applyFill="1" applyBorder="1" applyAlignment="1">
      <alignment horizontal="center" vertical="center"/>
    </xf>
    <xf numFmtId="0" fontId="16" fillId="0" borderId="0" xfId="1" applyFont="1" applyFill="1" applyBorder="1" applyAlignment="1">
      <alignment horizontal="center" vertical="center"/>
    </xf>
    <xf numFmtId="0" fontId="16" fillId="0" borderId="5" xfId="1" applyFont="1" applyFill="1" applyBorder="1" applyAlignment="1">
      <alignment horizontal="center" vertical="center"/>
    </xf>
    <xf numFmtId="0" fontId="16" fillId="0" borderId="7" xfId="1" applyFont="1" applyFill="1" applyBorder="1" applyAlignment="1">
      <alignment horizontal="center" vertical="center"/>
    </xf>
    <xf numFmtId="0" fontId="16" fillId="0" borderId="8" xfId="1" applyFont="1" applyFill="1" applyBorder="1" applyAlignment="1">
      <alignment horizontal="center" vertical="center"/>
    </xf>
    <xf numFmtId="0" fontId="13" fillId="0" borderId="34" xfId="1" applyFont="1" applyFill="1" applyBorder="1" applyAlignment="1">
      <alignment horizontal="center" vertical="center"/>
    </xf>
    <xf numFmtId="0" fontId="13" fillId="0" borderId="50" xfId="1" applyFont="1" applyFill="1" applyBorder="1" applyAlignment="1">
      <alignment horizontal="center" vertical="center"/>
    </xf>
    <xf numFmtId="166" fontId="21" fillId="0" borderId="19" xfId="1" applyNumberFormat="1" applyFont="1" applyFill="1" applyBorder="1" applyAlignment="1">
      <alignment horizontal="center" vertical="center"/>
    </xf>
    <xf numFmtId="166" fontId="21" fillId="0" borderId="22" xfId="1" applyNumberFormat="1" applyFont="1" applyFill="1" applyBorder="1" applyAlignment="1">
      <alignment horizontal="center" vertical="center"/>
    </xf>
    <xf numFmtId="0" fontId="21" fillId="0" borderId="17" xfId="1" applyFont="1" applyFill="1" applyBorder="1" applyAlignment="1">
      <alignment horizontal="left" vertical="center"/>
    </xf>
    <xf numFmtId="49" fontId="16" fillId="0" borderId="21" xfId="1" applyNumberFormat="1" applyFont="1" applyFill="1" applyBorder="1" applyAlignment="1">
      <alignment horizontal="center" vertical="center"/>
    </xf>
    <xf numFmtId="0" fontId="16" fillId="0" borderId="21" xfId="1" applyFont="1" applyFill="1" applyBorder="1" applyAlignment="1">
      <alignment horizontal="center" vertical="center"/>
    </xf>
    <xf numFmtId="0" fontId="16" fillId="0" borderId="52" xfId="1" applyFont="1" applyFill="1" applyBorder="1" applyAlignment="1">
      <alignment horizontal="center" vertical="center"/>
    </xf>
    <xf numFmtId="0" fontId="16" fillId="0" borderId="53" xfId="1" applyFont="1" applyFill="1" applyBorder="1" applyAlignment="1">
      <alignment horizontal="center" vertical="center"/>
    </xf>
    <xf numFmtId="0" fontId="16" fillId="0" borderId="39" xfId="1" applyFont="1" applyFill="1" applyBorder="1" applyAlignment="1">
      <alignment horizontal="center" vertical="center"/>
    </xf>
    <xf numFmtId="0" fontId="16" fillId="0" borderId="6" xfId="1" applyFont="1" applyFill="1" applyBorder="1" applyAlignment="1">
      <alignment horizontal="center" vertical="center"/>
    </xf>
    <xf numFmtId="0" fontId="16" fillId="0" borderId="54" xfId="1" applyFont="1" applyFill="1" applyBorder="1" applyAlignment="1">
      <alignment horizontal="center" vertical="center"/>
    </xf>
    <xf numFmtId="0" fontId="16" fillId="0" borderId="40" xfId="1" applyNumberFormat="1" applyFont="1" applyFill="1" applyBorder="1" applyAlignment="1">
      <alignment horizontal="center" vertical="center"/>
    </xf>
    <xf numFmtId="0" fontId="16" fillId="0" borderId="21" xfId="1" applyNumberFormat="1" applyFont="1" applyFill="1" applyBorder="1" applyAlignment="1">
      <alignment horizontal="center" vertical="center"/>
    </xf>
    <xf numFmtId="0" fontId="16" fillId="0" borderId="39" xfId="1" applyNumberFormat="1" applyFont="1" applyFill="1" applyBorder="1" applyAlignment="1">
      <alignment horizontal="center" vertical="center"/>
    </xf>
    <xf numFmtId="0" fontId="16" fillId="0" borderId="55" xfId="1" applyNumberFormat="1" applyFont="1" applyFill="1" applyBorder="1" applyAlignment="1">
      <alignment horizontal="center" vertical="center"/>
    </xf>
    <xf numFmtId="0" fontId="16" fillId="0" borderId="7" xfId="1" applyNumberFormat="1" applyFont="1" applyFill="1" applyBorder="1" applyAlignment="1">
      <alignment horizontal="center" vertical="center"/>
    </xf>
    <xf numFmtId="0" fontId="16" fillId="0" borderId="54" xfId="1" applyNumberFormat="1" applyFont="1" applyFill="1" applyBorder="1" applyAlignment="1">
      <alignment horizontal="center" vertical="center"/>
    </xf>
    <xf numFmtId="0" fontId="16" fillId="0" borderId="55" xfId="1" applyFont="1" applyFill="1" applyBorder="1" applyAlignment="1">
      <alignment horizontal="center" vertical="center"/>
    </xf>
    <xf numFmtId="0" fontId="13" fillId="0" borderId="49" xfId="1" applyFont="1" applyFill="1" applyBorder="1" applyAlignment="1">
      <alignment horizontal="center" vertical="center"/>
    </xf>
    <xf numFmtId="0" fontId="13" fillId="0" borderId="51" xfId="1" applyFont="1" applyFill="1" applyBorder="1" applyAlignment="1">
      <alignment horizontal="center" vertical="center"/>
    </xf>
    <xf numFmtId="0" fontId="13" fillId="0" borderId="33" xfId="1" applyFont="1" applyFill="1" applyBorder="1" applyAlignment="1">
      <alignment horizontal="center" vertical="center"/>
    </xf>
    <xf numFmtId="165" fontId="16" fillId="0" borderId="9" xfId="1" applyNumberFormat="1" applyFont="1" applyFill="1" applyBorder="1" applyAlignment="1">
      <alignment horizontal="center" vertical="center"/>
    </xf>
    <xf numFmtId="0" fontId="16" fillId="0" borderId="10" xfId="1" applyFont="1" applyFill="1" applyBorder="1" applyAlignment="1">
      <alignment horizontal="center" vertical="center"/>
    </xf>
    <xf numFmtId="0" fontId="16" fillId="0" borderId="11" xfId="1" applyFont="1" applyFill="1" applyBorder="1" applyAlignment="1">
      <alignment horizontal="center" vertical="center"/>
    </xf>
    <xf numFmtId="0" fontId="16" fillId="0" borderId="9" xfId="1" applyFont="1" applyFill="1" applyBorder="1" applyAlignment="1">
      <alignment horizontal="center" vertical="center"/>
    </xf>
    <xf numFmtId="0" fontId="16" fillId="0" borderId="1" xfId="1" applyFont="1" applyFill="1" applyBorder="1" applyAlignment="1">
      <alignment horizontal="center" vertical="center" wrapText="1"/>
    </xf>
    <xf numFmtId="0" fontId="16" fillId="0" borderId="2" xfId="1" applyFont="1" applyFill="1" applyBorder="1" applyAlignment="1">
      <alignment horizontal="center" vertical="center" wrapText="1"/>
    </xf>
    <xf numFmtId="0" fontId="16" fillId="0" borderId="3" xfId="1" applyFont="1" applyFill="1" applyBorder="1" applyAlignment="1">
      <alignment horizontal="center" vertical="center" wrapText="1"/>
    </xf>
    <xf numFmtId="0" fontId="16" fillId="0" borderId="4" xfId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center" vertical="center" wrapText="1"/>
    </xf>
    <xf numFmtId="0" fontId="16" fillId="0" borderId="5" xfId="1" applyFont="1" applyFill="1" applyBorder="1" applyAlignment="1">
      <alignment horizontal="center" vertical="center" wrapText="1"/>
    </xf>
    <xf numFmtId="0" fontId="16" fillId="0" borderId="6" xfId="1" applyFont="1" applyFill="1" applyBorder="1" applyAlignment="1">
      <alignment horizontal="center" vertical="center" wrapText="1"/>
    </xf>
    <xf numFmtId="0" fontId="16" fillId="0" borderId="7" xfId="1" applyFont="1" applyFill="1" applyBorder="1" applyAlignment="1">
      <alignment horizontal="center" vertical="center" wrapText="1"/>
    </xf>
    <xf numFmtId="0" fontId="16" fillId="0" borderId="8" xfId="1" applyFont="1" applyFill="1" applyBorder="1" applyAlignment="1">
      <alignment horizontal="center" vertical="center" wrapText="1"/>
    </xf>
    <xf numFmtId="166" fontId="13" fillId="0" borderId="19" xfId="1" applyNumberFormat="1" applyFont="1" applyFill="1" applyBorder="1" applyAlignment="1">
      <alignment horizontal="center" vertical="center"/>
    </xf>
    <xf numFmtId="166" fontId="13" fillId="0" borderId="22" xfId="1" applyNumberFormat="1" applyFont="1" applyFill="1" applyBorder="1" applyAlignment="1">
      <alignment horizontal="center" vertical="center"/>
    </xf>
    <xf numFmtId="0" fontId="13" fillId="0" borderId="17" xfId="1" applyFont="1" applyFill="1" applyBorder="1" applyAlignment="1">
      <alignment horizontal="left" vertical="center"/>
    </xf>
    <xf numFmtId="0" fontId="16" fillId="0" borderId="1" xfId="1" applyFont="1" applyFill="1" applyBorder="1" applyAlignment="1">
      <alignment horizontal="center" vertical="center"/>
    </xf>
    <xf numFmtId="0" fontId="13" fillId="0" borderId="2" xfId="1" applyFont="1" applyFill="1" applyBorder="1" applyAlignment="1"/>
    <xf numFmtId="0" fontId="13" fillId="0" borderId="3" xfId="1" applyFont="1" applyFill="1" applyBorder="1" applyAlignment="1"/>
    <xf numFmtId="0" fontId="13" fillId="0" borderId="4" xfId="1" applyFont="1" applyFill="1" applyBorder="1" applyAlignment="1"/>
    <xf numFmtId="0" fontId="13" fillId="0" borderId="0" xfId="1" applyFont="1" applyFill="1" applyBorder="1" applyAlignment="1"/>
    <xf numFmtId="0" fontId="13" fillId="0" borderId="5" xfId="1" applyFont="1" applyFill="1" applyBorder="1" applyAlignment="1"/>
    <xf numFmtId="0" fontId="13" fillId="0" borderId="6" xfId="1" applyFont="1" applyFill="1" applyBorder="1" applyAlignment="1"/>
    <xf numFmtId="0" fontId="13" fillId="0" borderId="7" xfId="1" applyFont="1" applyFill="1" applyBorder="1" applyAlignment="1"/>
    <xf numFmtId="0" fontId="13" fillId="0" borderId="8" xfId="1" applyFont="1" applyFill="1" applyBorder="1" applyAlignment="1"/>
    <xf numFmtId="0" fontId="13" fillId="0" borderId="2" xfId="1" applyFont="1" applyFill="1" applyBorder="1" applyAlignment="1">
      <alignment horizontal="center"/>
    </xf>
    <xf numFmtId="0" fontId="13" fillId="0" borderId="3" xfId="1" applyFont="1" applyFill="1" applyBorder="1" applyAlignment="1">
      <alignment horizontal="center"/>
    </xf>
    <xf numFmtId="0" fontId="13" fillId="0" borderId="0" xfId="1" applyFont="1" applyFill="1" applyBorder="1" applyAlignment="1">
      <alignment horizontal="center"/>
    </xf>
    <xf numFmtId="0" fontId="13" fillId="0" borderId="5" xfId="1" applyFont="1" applyFill="1" applyBorder="1" applyAlignment="1">
      <alignment horizontal="center"/>
    </xf>
    <xf numFmtId="0" fontId="13" fillId="0" borderId="7" xfId="1" applyFont="1" applyFill="1" applyBorder="1" applyAlignment="1">
      <alignment horizontal="center"/>
    </xf>
    <xf numFmtId="0" fontId="13" fillId="0" borderId="8" xfId="1" applyFont="1" applyFill="1" applyBorder="1" applyAlignment="1">
      <alignment horizontal="center"/>
    </xf>
    <xf numFmtId="0" fontId="16" fillId="0" borderId="4" xfId="1" applyFont="1" applyFill="1" applyBorder="1" applyAlignment="1">
      <alignment horizontal="center" vertical="center"/>
    </xf>
    <xf numFmtId="0" fontId="15" fillId="0" borderId="30" xfId="6" applyFont="1" applyFill="1" applyBorder="1" applyAlignment="1" applyProtection="1">
      <alignment horizontal="center" vertical="center" textRotation="90" wrapText="1"/>
      <protection hidden="1"/>
    </xf>
    <xf numFmtId="0" fontId="15" fillId="0" borderId="31" xfId="6" applyFont="1" applyFill="1" applyBorder="1" applyAlignment="1" applyProtection="1">
      <alignment horizontal="center" vertical="center" textRotation="90" wrapText="1"/>
      <protection hidden="1"/>
    </xf>
    <xf numFmtId="0" fontId="15" fillId="0" borderId="32" xfId="6" applyFont="1" applyFill="1" applyBorder="1" applyAlignment="1" applyProtection="1">
      <alignment horizontal="center" vertical="center" textRotation="90" wrapText="1"/>
      <protection hidden="1"/>
    </xf>
    <xf numFmtId="0" fontId="15" fillId="0" borderId="19" xfId="6" applyFont="1" applyFill="1" applyBorder="1" applyAlignment="1" applyProtection="1">
      <alignment horizontal="center" vertical="center" textRotation="90" wrapText="1"/>
      <protection hidden="1"/>
    </xf>
    <xf numFmtId="0" fontId="15" fillId="0" borderId="22" xfId="6" applyFont="1" applyFill="1" applyBorder="1" applyAlignment="1" applyProtection="1">
      <alignment horizontal="center" vertical="center" textRotation="90" wrapText="1"/>
      <protection hidden="1"/>
    </xf>
    <xf numFmtId="0" fontId="15" fillId="0" borderId="38" xfId="6" applyFont="1" applyFill="1" applyBorder="1" applyAlignment="1" applyProtection="1">
      <alignment horizontal="center" vertical="center" textRotation="90" wrapText="1"/>
      <protection hidden="1"/>
    </xf>
    <xf numFmtId="0" fontId="16" fillId="0" borderId="38" xfId="1" applyFont="1" applyFill="1" applyBorder="1" applyAlignment="1">
      <alignment horizontal="center" vertical="center" textRotation="90" wrapText="1"/>
    </xf>
    <xf numFmtId="0" fontId="16" fillId="0" borderId="37" xfId="1" applyFont="1" applyFill="1" applyBorder="1" applyAlignment="1">
      <alignment horizontal="center" vertical="center" textRotation="90" wrapText="1"/>
    </xf>
    <xf numFmtId="0" fontId="16" fillId="0" borderId="24" xfId="1" applyFont="1" applyFill="1" applyBorder="1" applyAlignment="1">
      <alignment horizontal="center" vertical="center"/>
    </xf>
    <xf numFmtId="0" fontId="16" fillId="0" borderId="28" xfId="1" applyFont="1" applyFill="1" applyBorder="1" applyAlignment="1">
      <alignment horizontal="center" vertical="center"/>
    </xf>
    <xf numFmtId="0" fontId="16" fillId="0" borderId="25" xfId="1" applyFont="1" applyFill="1" applyBorder="1" applyAlignment="1">
      <alignment horizontal="center" vertical="center"/>
    </xf>
    <xf numFmtId="0" fontId="16" fillId="0" borderId="41" xfId="1" applyFont="1" applyFill="1" applyBorder="1" applyAlignment="1">
      <alignment horizontal="center" vertical="center"/>
    </xf>
    <xf numFmtId="0" fontId="16" fillId="0" borderId="32" xfId="1" applyFont="1" applyFill="1" applyBorder="1" applyAlignment="1">
      <alignment horizontal="center" vertical="center"/>
    </xf>
    <xf numFmtId="0" fontId="16" fillId="0" borderId="38" xfId="1" applyFont="1" applyFill="1" applyBorder="1" applyAlignment="1">
      <alignment horizontal="center" vertical="center"/>
    </xf>
    <xf numFmtId="0" fontId="20" fillId="0" borderId="19" xfId="0" applyFont="1" applyFill="1" applyBorder="1" applyAlignment="1">
      <alignment horizontal="center" vertical="center"/>
    </xf>
    <xf numFmtId="0" fontId="20" fillId="0" borderId="22" xfId="0" applyFont="1" applyFill="1" applyBorder="1" applyAlignment="1">
      <alignment horizontal="center" vertical="center"/>
    </xf>
    <xf numFmtId="0" fontId="20" fillId="0" borderId="22" xfId="0" applyFont="1" applyFill="1" applyBorder="1" applyAlignment="1">
      <alignment vertical="center"/>
    </xf>
    <xf numFmtId="0" fontId="20" fillId="0" borderId="23" xfId="0" applyFont="1" applyFill="1" applyBorder="1" applyAlignment="1">
      <alignment vertical="center"/>
    </xf>
    <xf numFmtId="0" fontId="20" fillId="0" borderId="19" xfId="0" applyFont="1" applyFill="1" applyBorder="1" applyAlignment="1">
      <alignment vertical="center"/>
    </xf>
    <xf numFmtId="0" fontId="20" fillId="0" borderId="38" xfId="0" applyFont="1" applyFill="1" applyBorder="1" applyAlignment="1">
      <alignment vertical="center"/>
    </xf>
    <xf numFmtId="0" fontId="20" fillId="0" borderId="16" xfId="0" applyFont="1" applyFill="1" applyBorder="1" applyAlignment="1">
      <alignment horizontal="center" vertical="center"/>
    </xf>
    <xf numFmtId="0" fontId="20" fillId="0" borderId="38" xfId="0" applyFont="1" applyFill="1" applyBorder="1" applyAlignment="1">
      <alignment horizontal="center" vertical="center"/>
    </xf>
    <xf numFmtId="0" fontId="20" fillId="0" borderId="23" xfId="0" applyFont="1" applyFill="1" applyBorder="1" applyAlignment="1">
      <alignment horizontal="center" vertical="center"/>
    </xf>
    <xf numFmtId="0" fontId="20" fillId="0" borderId="16" xfId="0" applyFont="1" applyFill="1" applyBorder="1" applyAlignment="1">
      <alignment vertical="center"/>
    </xf>
    <xf numFmtId="0" fontId="20" fillId="0" borderId="24" xfId="0" applyFont="1" applyFill="1" applyBorder="1" applyAlignment="1">
      <alignment horizontal="center" vertical="center"/>
    </xf>
    <xf numFmtId="0" fontId="20" fillId="0" borderId="28" xfId="0" applyFont="1" applyFill="1" applyBorder="1" applyAlignment="1">
      <alignment horizontal="center" vertical="center"/>
    </xf>
    <xf numFmtId="0" fontId="20" fillId="0" borderId="28" xfId="0" applyFont="1" applyFill="1" applyBorder="1" applyAlignment="1">
      <alignment vertical="center"/>
    </xf>
    <xf numFmtId="0" fontId="20" fillId="0" borderId="25" xfId="0" applyFont="1" applyFill="1" applyBorder="1" applyAlignment="1">
      <alignment vertical="center"/>
    </xf>
    <xf numFmtId="0" fontId="20" fillId="0" borderId="24" xfId="0" applyFont="1" applyFill="1" applyBorder="1" applyAlignment="1">
      <alignment vertical="center"/>
    </xf>
    <xf numFmtId="0" fontId="20" fillId="0" borderId="45" xfId="0" applyFont="1" applyFill="1" applyBorder="1" applyAlignment="1">
      <alignment vertical="center"/>
    </xf>
    <xf numFmtId="0" fontId="20" fillId="0" borderId="27" xfId="0" applyFont="1" applyFill="1" applyBorder="1" applyAlignment="1">
      <alignment horizontal="center" vertical="center"/>
    </xf>
    <xf numFmtId="0" fontId="20" fillId="0" borderId="45" xfId="0" applyFont="1" applyFill="1" applyBorder="1" applyAlignment="1">
      <alignment horizontal="center" vertical="center"/>
    </xf>
    <xf numFmtId="0" fontId="20" fillId="0" borderId="25" xfId="0" applyFont="1" applyFill="1" applyBorder="1" applyAlignment="1">
      <alignment horizontal="center" vertical="center"/>
    </xf>
    <xf numFmtId="0" fontId="20" fillId="0" borderId="27" xfId="0" applyFont="1" applyFill="1" applyBorder="1" applyAlignment="1">
      <alignment vertical="center"/>
    </xf>
    <xf numFmtId="0" fontId="20" fillId="0" borderId="13" xfId="0" applyFont="1" applyFill="1" applyBorder="1" applyAlignment="1">
      <alignment horizontal="center" vertical="center"/>
    </xf>
    <xf numFmtId="0" fontId="20" fillId="0" borderId="17" xfId="0" applyFont="1" applyFill="1" applyBorder="1" applyAlignment="1">
      <alignment horizontal="center" vertical="center"/>
    </xf>
    <xf numFmtId="0" fontId="20" fillId="0" borderId="17" xfId="0" applyFont="1" applyFill="1" applyBorder="1" applyAlignment="1">
      <alignment vertical="center"/>
    </xf>
    <xf numFmtId="0" fontId="20" fillId="0" borderId="14" xfId="0" applyFont="1" applyFill="1" applyBorder="1" applyAlignment="1">
      <alignment vertical="center"/>
    </xf>
    <xf numFmtId="0" fontId="20" fillId="0" borderId="13" xfId="0" applyFont="1" applyFill="1" applyBorder="1" applyAlignment="1">
      <alignment vertical="center"/>
    </xf>
    <xf numFmtId="0" fontId="20" fillId="0" borderId="46" xfId="0" applyFont="1" applyFill="1" applyBorder="1" applyAlignment="1">
      <alignment vertical="center"/>
    </xf>
    <xf numFmtId="0" fontId="20" fillId="0" borderId="47" xfId="0" applyFont="1" applyFill="1" applyBorder="1" applyAlignment="1">
      <alignment horizontal="center" vertical="center"/>
    </xf>
    <xf numFmtId="0" fontId="20" fillId="0" borderId="46" xfId="0" applyFont="1" applyFill="1" applyBorder="1" applyAlignment="1">
      <alignment horizontal="center" vertical="center"/>
    </xf>
    <xf numFmtId="0" fontId="20" fillId="0" borderId="14" xfId="0" applyFont="1" applyFill="1" applyBorder="1" applyAlignment="1">
      <alignment horizontal="center" vertical="center"/>
    </xf>
    <xf numFmtId="0" fontId="20" fillId="0" borderId="47" xfId="0" applyFont="1" applyFill="1" applyBorder="1" applyAlignment="1">
      <alignment vertical="center"/>
    </xf>
    <xf numFmtId="0" fontId="20" fillId="0" borderId="35" xfId="0" applyFont="1" applyFill="1" applyBorder="1" applyAlignment="1">
      <alignment horizontal="center" vertical="center"/>
    </xf>
    <xf numFmtId="0" fontId="20" fillId="0" borderId="36" xfId="0" applyFont="1" applyFill="1" applyBorder="1" applyAlignment="1">
      <alignment horizontal="center" vertical="center"/>
    </xf>
    <xf numFmtId="0" fontId="20" fillId="0" borderId="36" xfId="0" applyFont="1" applyFill="1" applyBorder="1" applyAlignment="1">
      <alignment vertical="center"/>
    </xf>
    <xf numFmtId="0" fontId="20" fillId="0" borderId="40" xfId="0" applyFont="1" applyFill="1" applyBorder="1" applyAlignment="1">
      <alignment vertical="center"/>
    </xf>
    <xf numFmtId="0" fontId="20" fillId="0" borderId="35" xfId="0" applyFont="1" applyFill="1" applyBorder="1" applyAlignment="1">
      <alignment vertical="center"/>
    </xf>
    <xf numFmtId="0" fontId="20" fillId="0" borderId="37" xfId="0" applyFont="1" applyFill="1" applyBorder="1" applyAlignment="1">
      <alignment vertical="center"/>
    </xf>
    <xf numFmtId="0" fontId="20" fillId="0" borderId="39" xfId="0" applyFont="1" applyFill="1" applyBorder="1" applyAlignment="1">
      <alignment horizontal="center" vertical="center"/>
    </xf>
    <xf numFmtId="0" fontId="20" fillId="0" borderId="37" xfId="0" applyFont="1" applyFill="1" applyBorder="1" applyAlignment="1">
      <alignment horizontal="center" vertical="center"/>
    </xf>
    <xf numFmtId="0" fontId="20" fillId="0" borderId="40" xfId="0" applyFont="1" applyFill="1" applyBorder="1" applyAlignment="1">
      <alignment horizontal="center" vertical="center"/>
    </xf>
    <xf numFmtId="0" fontId="20" fillId="0" borderId="39" xfId="0" applyFont="1" applyFill="1" applyBorder="1" applyAlignment="1">
      <alignment vertical="center"/>
    </xf>
    <xf numFmtId="0" fontId="20" fillId="0" borderId="30" xfId="0" applyFont="1" applyFill="1" applyBorder="1" applyAlignment="1">
      <alignment horizontal="center" vertical="center"/>
    </xf>
    <xf numFmtId="0" fontId="20" fillId="0" borderId="31" xfId="0" applyFont="1" applyFill="1" applyBorder="1" applyAlignment="1">
      <alignment horizontal="center" vertical="center"/>
    </xf>
    <xf numFmtId="0" fontId="20" fillId="0" borderId="31" xfId="0" applyFont="1" applyFill="1" applyBorder="1" applyAlignment="1">
      <alignment vertical="center"/>
    </xf>
    <xf numFmtId="0" fontId="20" fillId="0" borderId="34" xfId="0" applyFont="1" applyFill="1" applyBorder="1" applyAlignment="1">
      <alignment vertical="center"/>
    </xf>
    <xf numFmtId="0" fontId="20" fillId="0" borderId="30" xfId="0" applyFont="1" applyFill="1" applyBorder="1" applyAlignment="1">
      <alignment vertical="center"/>
    </xf>
    <xf numFmtId="0" fontId="20" fillId="0" borderId="32" xfId="0" applyFont="1" applyFill="1" applyBorder="1" applyAlignment="1">
      <alignment vertical="center"/>
    </xf>
    <xf numFmtId="0" fontId="20" fillId="0" borderId="33" xfId="0" applyFont="1" applyFill="1" applyBorder="1" applyAlignment="1">
      <alignment horizontal="center" vertical="center"/>
    </xf>
    <xf numFmtId="0" fontId="20" fillId="0" borderId="32" xfId="0" applyFont="1" applyFill="1" applyBorder="1" applyAlignment="1">
      <alignment horizontal="center" vertical="center"/>
    </xf>
    <xf numFmtId="0" fontId="20" fillId="0" borderId="34" xfId="0" applyFont="1" applyFill="1" applyBorder="1" applyAlignment="1">
      <alignment horizontal="center" vertical="center"/>
    </xf>
    <xf numFmtId="0" fontId="20" fillId="0" borderId="33" xfId="0" applyFont="1" applyFill="1" applyBorder="1" applyAlignment="1">
      <alignment vertical="center"/>
    </xf>
    <xf numFmtId="0" fontId="20" fillId="0" borderId="23" xfId="0" applyFont="1" applyFill="1" applyBorder="1"/>
    <xf numFmtId="0" fontId="20" fillId="0" borderId="22" xfId="0" applyFont="1" applyFill="1" applyBorder="1"/>
    <xf numFmtId="0" fontId="20" fillId="0" borderId="38" xfId="0" applyFont="1" applyFill="1" applyBorder="1"/>
    <xf numFmtId="0" fontId="20" fillId="0" borderId="16" xfId="0" applyFont="1" applyFill="1" applyBorder="1"/>
    <xf numFmtId="0" fontId="20" fillId="0" borderId="19" xfId="0" applyFont="1" applyFill="1" applyBorder="1"/>
    <xf numFmtId="0" fontId="20" fillId="0" borderId="25" xfId="0" applyFont="1" applyFill="1" applyBorder="1"/>
    <xf numFmtId="0" fontId="20" fillId="0" borderId="28" xfId="0" applyFont="1" applyFill="1" applyBorder="1"/>
    <xf numFmtId="0" fontId="20" fillId="0" borderId="45" xfId="0" applyFont="1" applyFill="1" applyBorder="1"/>
    <xf numFmtId="0" fontId="20" fillId="0" borderId="27" xfId="0" applyFont="1" applyFill="1" applyBorder="1"/>
    <xf numFmtId="0" fontId="20" fillId="0" borderId="24" xfId="0" applyFont="1" applyFill="1" applyBorder="1"/>
    <xf numFmtId="0" fontId="20" fillId="0" borderId="17" xfId="0" applyFont="1" applyFill="1" applyBorder="1"/>
    <xf numFmtId="0" fontId="20" fillId="0" borderId="46" xfId="0" applyFont="1" applyFill="1" applyBorder="1"/>
    <xf numFmtId="0" fontId="20" fillId="0" borderId="47" xfId="0" applyFont="1" applyFill="1" applyBorder="1"/>
    <xf numFmtId="0" fontId="20" fillId="0" borderId="14" xfId="0" applyFont="1" applyFill="1" applyBorder="1"/>
    <xf numFmtId="0" fontId="20" fillId="0" borderId="13" xfId="0" applyFont="1" applyFill="1" applyBorder="1"/>
    <xf numFmtId="0" fontId="20" fillId="0" borderId="19" xfId="0" applyFont="1" applyFill="1" applyBorder="1" applyAlignment="1">
      <alignment horizontal="center"/>
    </xf>
    <xf numFmtId="0" fontId="20" fillId="0" borderId="22" xfId="0" applyFont="1" applyFill="1" applyBorder="1" applyAlignment="1">
      <alignment horizontal="center"/>
    </xf>
    <xf numFmtId="0" fontId="20" fillId="0" borderId="16" xfId="0" applyFont="1" applyFill="1" applyBorder="1" applyAlignment="1">
      <alignment horizontal="center"/>
    </xf>
    <xf numFmtId="0" fontId="20" fillId="0" borderId="38" xfId="0" applyFont="1" applyFill="1" applyBorder="1" applyAlignment="1">
      <alignment horizontal="center"/>
    </xf>
    <xf numFmtId="0" fontId="20" fillId="0" borderId="23" xfId="0" applyFont="1" applyFill="1" applyBorder="1" applyAlignment="1">
      <alignment horizontal="center"/>
    </xf>
    <xf numFmtId="0" fontId="20" fillId="0" borderId="35" xfId="0" applyFont="1" applyFill="1" applyBorder="1" applyAlignment="1">
      <alignment horizontal="center"/>
    </xf>
    <xf numFmtId="0" fontId="20" fillId="0" borderId="36" xfId="0" applyFont="1" applyFill="1" applyBorder="1" applyAlignment="1">
      <alignment horizontal="center"/>
    </xf>
    <xf numFmtId="0" fontId="20" fillId="0" borderId="36" xfId="0" applyFont="1" applyFill="1" applyBorder="1"/>
    <xf numFmtId="0" fontId="20" fillId="0" borderId="40" xfId="0" applyFont="1" applyFill="1" applyBorder="1"/>
    <xf numFmtId="0" fontId="20" fillId="0" borderId="35" xfId="0" applyFont="1" applyFill="1" applyBorder="1"/>
    <xf numFmtId="0" fontId="20" fillId="0" borderId="37" xfId="0" applyFont="1" applyFill="1" applyBorder="1"/>
    <xf numFmtId="0" fontId="20" fillId="0" borderId="39" xfId="0" applyFont="1" applyFill="1" applyBorder="1" applyAlignment="1">
      <alignment horizontal="center"/>
    </xf>
    <xf numFmtId="0" fontId="20" fillId="0" borderId="37" xfId="0" applyFont="1" applyFill="1" applyBorder="1" applyAlignment="1">
      <alignment horizontal="center"/>
    </xf>
    <xf numFmtId="0" fontId="20" fillId="0" borderId="40" xfId="0" applyFont="1" applyFill="1" applyBorder="1" applyAlignment="1">
      <alignment horizontal="center"/>
    </xf>
    <xf numFmtId="0" fontId="20" fillId="0" borderId="39" xfId="0" applyFont="1" applyFill="1" applyBorder="1"/>
    <xf numFmtId="0" fontId="20" fillId="0" borderId="30" xfId="0" applyFont="1" applyFill="1" applyBorder="1" applyAlignment="1">
      <alignment horizontal="center"/>
    </xf>
    <xf numFmtId="0" fontId="20" fillId="0" borderId="31" xfId="0" applyFont="1" applyFill="1" applyBorder="1" applyAlignment="1">
      <alignment horizontal="center"/>
    </xf>
    <xf numFmtId="0" fontId="20" fillId="0" borderId="31" xfId="0" applyFont="1" applyFill="1" applyBorder="1"/>
    <xf numFmtId="0" fontId="20" fillId="0" borderId="34" xfId="0" applyFont="1" applyFill="1" applyBorder="1"/>
    <xf numFmtId="0" fontId="20" fillId="0" borderId="30" xfId="0" applyFont="1" applyFill="1" applyBorder="1"/>
    <xf numFmtId="0" fontId="20" fillId="0" borderId="32" xfId="0" applyFont="1" applyFill="1" applyBorder="1"/>
    <xf numFmtId="0" fontId="20" fillId="0" borderId="33" xfId="0" applyFont="1" applyFill="1" applyBorder="1" applyAlignment="1">
      <alignment horizontal="center"/>
    </xf>
    <xf numFmtId="0" fontId="20" fillId="0" borderId="32" xfId="0" applyFont="1" applyFill="1" applyBorder="1" applyAlignment="1">
      <alignment horizontal="center"/>
    </xf>
    <xf numFmtId="0" fontId="20" fillId="0" borderId="34" xfId="0" applyFont="1" applyFill="1" applyBorder="1" applyAlignment="1">
      <alignment horizontal="center"/>
    </xf>
    <xf numFmtId="0" fontId="20" fillId="0" borderId="33" xfId="0" applyFont="1" applyFill="1" applyBorder="1"/>
    <xf numFmtId="0" fontId="20" fillId="0" borderId="24" xfId="0" applyFont="1" applyFill="1" applyBorder="1" applyAlignment="1">
      <alignment horizontal="center"/>
    </xf>
    <xf numFmtId="0" fontId="20" fillId="0" borderId="28" xfId="0" applyFont="1" applyFill="1" applyBorder="1" applyAlignment="1">
      <alignment horizontal="center"/>
    </xf>
    <xf numFmtId="0" fontId="20" fillId="0" borderId="27" xfId="0" applyFont="1" applyFill="1" applyBorder="1" applyAlignment="1">
      <alignment horizontal="center"/>
    </xf>
    <xf numFmtId="0" fontId="20" fillId="0" borderId="45" xfId="0" applyFont="1" applyFill="1" applyBorder="1" applyAlignment="1">
      <alignment horizontal="center"/>
    </xf>
    <xf numFmtId="0" fontId="20" fillId="0" borderId="25" xfId="0" applyFont="1" applyFill="1" applyBorder="1" applyAlignment="1">
      <alignment horizontal="center"/>
    </xf>
    <xf numFmtId="0" fontId="20" fillId="0" borderId="13" xfId="0" applyFont="1" applyFill="1" applyBorder="1" applyAlignment="1">
      <alignment horizontal="center"/>
    </xf>
    <xf numFmtId="0" fontId="20" fillId="0" borderId="17" xfId="0" applyFont="1" applyFill="1" applyBorder="1" applyAlignment="1">
      <alignment horizontal="center"/>
    </xf>
    <xf numFmtId="0" fontId="20" fillId="0" borderId="47" xfId="0" applyFont="1" applyFill="1" applyBorder="1" applyAlignment="1">
      <alignment horizontal="center"/>
    </xf>
    <xf numFmtId="0" fontId="20" fillId="0" borderId="46" xfId="0" applyFont="1" applyFill="1" applyBorder="1" applyAlignment="1">
      <alignment horizontal="center"/>
    </xf>
    <xf numFmtId="0" fontId="20" fillId="0" borderId="14" xfId="0" applyFont="1" applyFill="1" applyBorder="1" applyAlignment="1">
      <alignment horizontal="center"/>
    </xf>
    <xf numFmtId="0" fontId="20" fillId="0" borderId="16" xfId="0" applyFont="1" applyFill="1" applyBorder="1" applyAlignment="1">
      <alignment horizontal="center" vertical="center" textRotation="90"/>
    </xf>
    <xf numFmtId="0" fontId="20" fillId="0" borderId="22" xfId="0" applyFont="1" applyFill="1" applyBorder="1" applyAlignment="1">
      <alignment horizontal="center" vertical="center" textRotation="90"/>
    </xf>
    <xf numFmtId="0" fontId="20" fillId="0" borderId="38" xfId="0" applyFont="1" applyFill="1" applyBorder="1" applyAlignment="1">
      <alignment horizontal="center" vertical="center" textRotation="90"/>
    </xf>
    <xf numFmtId="0" fontId="20" fillId="0" borderId="23" xfId="0" applyFont="1" applyFill="1" applyBorder="1" applyAlignment="1">
      <alignment horizontal="center" vertical="center" textRotation="90"/>
    </xf>
    <xf numFmtId="0" fontId="20" fillId="0" borderId="19" xfId="0" applyFont="1" applyFill="1" applyBorder="1" applyAlignment="1">
      <alignment horizontal="center" vertical="center" textRotation="90"/>
    </xf>
    <xf numFmtId="0" fontId="20" fillId="0" borderId="16" xfId="0" applyFont="1" applyFill="1" applyBorder="1" applyAlignment="1">
      <alignment horizontal="center" textRotation="90"/>
    </xf>
    <xf numFmtId="0" fontId="20" fillId="0" borderId="22" xfId="0" applyFont="1" applyFill="1" applyBorder="1" applyAlignment="1">
      <alignment horizontal="center" textRotation="90"/>
    </xf>
    <xf numFmtId="0" fontId="20" fillId="0" borderId="38" xfId="0" applyFont="1" applyFill="1" applyBorder="1" applyAlignment="1">
      <alignment horizontal="center" textRotation="90"/>
    </xf>
    <xf numFmtId="0" fontId="20" fillId="0" borderId="23" xfId="0" applyFont="1" applyFill="1" applyBorder="1" applyAlignment="1">
      <alignment horizontal="center" textRotation="90"/>
    </xf>
    <xf numFmtId="0" fontId="20" fillId="0" borderId="19" xfId="0" applyFont="1" applyFill="1" applyBorder="1" applyAlignment="1">
      <alignment horizontal="center" textRotation="90"/>
    </xf>
    <xf numFmtId="0" fontId="20" fillId="0" borderId="39" xfId="0" applyFont="1" applyFill="1" applyBorder="1" applyAlignment="1">
      <alignment horizontal="center" vertical="center" textRotation="90"/>
    </xf>
    <xf numFmtId="0" fontId="20" fillId="0" borderId="36" xfId="0" applyFont="1" applyFill="1" applyBorder="1" applyAlignment="1">
      <alignment horizontal="center" vertical="center" textRotation="90"/>
    </xf>
    <xf numFmtId="0" fontId="20" fillId="0" borderId="37" xfId="0" applyFont="1" applyFill="1" applyBorder="1" applyAlignment="1">
      <alignment horizontal="center" vertical="center" textRotation="90"/>
    </xf>
    <xf numFmtId="0" fontId="20" fillId="0" borderId="40" xfId="0" applyFont="1" applyFill="1" applyBorder="1" applyAlignment="1">
      <alignment horizontal="center" vertical="center" textRotation="90"/>
    </xf>
    <xf numFmtId="0" fontId="20" fillId="0" borderId="35" xfId="0" applyFont="1" applyFill="1" applyBorder="1" applyAlignment="1">
      <alignment horizontal="center" vertical="center" textRotation="90"/>
    </xf>
  </cellXfs>
  <cellStyles count="9">
    <cellStyle name="Normal" xfId="0" builtinId="0"/>
    <cellStyle name="Normal 2" xfId="1"/>
    <cellStyle name="Normal 2 2" xfId="2"/>
    <cellStyle name="Normal 3" xfId="3"/>
    <cellStyle name="Normal 4" xfId="4"/>
    <cellStyle name="Normal 5" xfId="5"/>
    <cellStyle name="Normal_8-13 Shutdown KeyREV_5" xfId="6"/>
    <cellStyle name="Normal_sdkey" xfId="7"/>
    <cellStyle name="Normal_Sheet1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0</xdr:row>
          <xdr:rowOff>28575</xdr:rowOff>
        </xdr:from>
        <xdr:to>
          <xdr:col>4</xdr:col>
          <xdr:colOff>152400</xdr:colOff>
          <xdr:row>0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alibri"/>
                </a:rPr>
                <a:t>Update Master SDK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206953</xdr:colOff>
          <xdr:row>0</xdr:row>
          <xdr:rowOff>210416</xdr:rowOff>
        </xdr:from>
        <xdr:to>
          <xdr:col>4</xdr:col>
          <xdr:colOff>228332</xdr:colOff>
          <xdr:row>3</xdr:row>
          <xdr:rowOff>136278</xdr:rowOff>
        </xdr:to>
        <xdr:grpSp>
          <xdr:nvGrpSpPr>
            <xdr:cNvPr id="2" name="Group 1"/>
            <xdr:cNvGrpSpPr/>
          </xdr:nvGrpSpPr>
          <xdr:grpSpPr>
            <a:xfrm>
              <a:off x="206953" y="210416"/>
              <a:ext cx="2723015" cy="1415226"/>
              <a:chOff x="2925907" y="1110964"/>
              <a:chExt cx="2792557" cy="1057273"/>
            </a:xfrm>
          </xdr:grpSpPr>
          <xdr:sp macro="" textlink="">
            <xdr:nvSpPr>
              <xdr:cNvPr id="4098" name="Button 2" hidden="1">
                <a:extLst>
                  <a:ext uri="{63B3BB69-23CF-44E3-9099-C40C66FF867C}">
                    <a14:compatExt spid="_x0000_s4098"/>
                  </a:ext>
                </a:extLst>
              </xdr:cNvPr>
              <xdr:cNvSpPr/>
            </xdr:nvSpPr>
            <xdr:spPr>
              <a:xfrm>
                <a:off x="2925907" y="1110964"/>
                <a:ext cx="2792557" cy="485775"/>
              </a:xfrm>
              <a:prstGeom prst="rect">
                <a:avLst/>
              </a:prstGeom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CA" sz="1800" b="0" i="0" u="none" strike="noStrike" baseline="0">
                    <a:solidFill>
                      <a:srgbClr val="000000"/>
                    </a:solidFill>
                    <a:latin typeface="Calibri"/>
                  </a:rPr>
                  <a:t>Push Data</a:t>
                </a:r>
              </a:p>
            </xdr:txBody>
          </xdr:sp>
          <xdr:sp macro="" textlink="">
            <xdr:nvSpPr>
              <xdr:cNvPr id="4099" name="Button 3" hidden="1">
                <a:extLst>
                  <a:ext uri="{63B3BB69-23CF-44E3-9099-C40C66FF867C}">
                    <a14:compatExt spid="_x0000_s4099"/>
                  </a:ext>
                </a:extLst>
              </xdr:cNvPr>
              <xdr:cNvSpPr/>
            </xdr:nvSpPr>
            <xdr:spPr>
              <a:xfrm>
                <a:off x="2925907" y="1682462"/>
                <a:ext cx="2792557" cy="485775"/>
              </a:xfrm>
              <a:prstGeom prst="rect">
                <a:avLst/>
              </a:prstGeom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CA" sz="1800" b="0" i="0" u="none" strike="noStrike" baseline="0">
                    <a:solidFill>
                      <a:srgbClr val="000000"/>
                    </a:solidFill>
                    <a:latin typeface="Calibri"/>
                  </a:rPr>
                  <a:t>Pull Data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904875</xdr:colOff>
      <xdr:row>19</xdr:row>
      <xdr:rowOff>0</xdr:rowOff>
    </xdr:from>
    <xdr:to>
      <xdr:col>21</xdr:col>
      <xdr:colOff>395143</xdr:colOff>
      <xdr:row>19</xdr:row>
      <xdr:rowOff>839066</xdr:rowOff>
    </xdr:to>
    <xdr:pic>
      <xdr:nvPicPr>
        <xdr:cNvPr id="2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439525" y="6629400"/>
          <a:ext cx="2423968" cy="8390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31750</xdr:colOff>
      <xdr:row>19</xdr:row>
      <xdr:rowOff>15875</xdr:rowOff>
    </xdr:from>
    <xdr:to>
      <xdr:col>17</xdr:col>
      <xdr:colOff>174625</xdr:colOff>
      <xdr:row>19</xdr:row>
      <xdr:rowOff>817631</xdr:rowOff>
    </xdr:to>
    <xdr:pic>
      <xdr:nvPicPr>
        <xdr:cNvPr id="3" name="Picture 2" descr="Lauren Concise Logo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613525" y="6645275"/>
          <a:ext cx="4095750" cy="80175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50015775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50015775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015775" y="313658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12544425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12544425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1009217</xdr:colOff>
      <xdr:row>2</xdr:row>
      <xdr:rowOff>149680</xdr:rowOff>
    </xdr:from>
    <xdr:to>
      <xdr:col>7</xdr:col>
      <xdr:colOff>1955223</xdr:colOff>
      <xdr:row>5</xdr:row>
      <xdr:rowOff>379763</xdr:rowOff>
    </xdr:to>
    <xdr:sp macro="" textlink="">
      <xdr:nvSpPr>
        <xdr:cNvPr id="7" name="Text 10"/>
        <xdr:cNvSpPr txBox="1">
          <a:spLocks noChangeArrowheads="1"/>
        </xdr:cNvSpPr>
      </xdr:nvSpPr>
      <xdr:spPr bwMode="auto">
        <a:xfrm>
          <a:off x="2261754" y="711655"/>
          <a:ext cx="9428019" cy="8812108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B - BYPASSED                                      CTR - CONTROL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Nx - NOTE X	                      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N10 - Fire/ Gas trip when 2 of 2 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N11 - Freeman River ONLY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ESD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Stop All Rotating Equipment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3 - 480V Equipment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P001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P002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8 - P003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P021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P022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99 - Alarm Only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8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554839" y="2834900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267558</xdr:colOff>
      <xdr:row>60</xdr:row>
      <xdr:rowOff>34636</xdr:rowOff>
    </xdr:from>
    <xdr:to>
      <xdr:col>70</xdr:col>
      <xdr:colOff>388787</xdr:colOff>
      <xdr:row>62</xdr:row>
      <xdr:rowOff>281234</xdr:rowOff>
    </xdr:to>
    <xdr:pic>
      <xdr:nvPicPr>
        <xdr:cNvPr id="9" name="Picture 8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7176933" y="28314361"/>
          <a:ext cx="4626553" cy="89429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45348525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45348525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5348525" y="303942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9105900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9105900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1009217</xdr:colOff>
      <xdr:row>2</xdr:row>
      <xdr:rowOff>149680</xdr:rowOff>
    </xdr:from>
    <xdr:to>
      <xdr:col>7</xdr:col>
      <xdr:colOff>1955223</xdr:colOff>
      <xdr:row>5</xdr:row>
      <xdr:rowOff>379763</xdr:rowOff>
    </xdr:to>
    <xdr:sp macro="" textlink="">
      <xdr:nvSpPr>
        <xdr:cNvPr id="7" name="Text 10"/>
        <xdr:cNvSpPr txBox="1">
          <a:spLocks noChangeArrowheads="1"/>
        </xdr:cNvSpPr>
      </xdr:nvSpPr>
      <xdr:spPr bwMode="auto">
        <a:xfrm>
          <a:off x="2276042" y="711655"/>
          <a:ext cx="9442306" cy="8812108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B - BYPASSED                                      CTR - CONTROL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Nx - NOTE X	                      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N10 - Fire/ Gas trip when 2 of 2 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N11 - Freeman River ONLY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ESD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Stop All Rotating Equipment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3 - 480V Equipment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P001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P002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8 - P003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P021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P022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99 - Alarm Only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8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2887589" y="2737745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267558</xdr:colOff>
      <xdr:row>60</xdr:row>
      <xdr:rowOff>34636</xdr:rowOff>
    </xdr:from>
    <xdr:to>
      <xdr:col>70</xdr:col>
      <xdr:colOff>388787</xdr:colOff>
      <xdr:row>62</xdr:row>
      <xdr:rowOff>281234</xdr:rowOff>
    </xdr:to>
    <xdr:pic>
      <xdr:nvPicPr>
        <xdr:cNvPr id="9" name="Picture 8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2509683" y="27342811"/>
          <a:ext cx="4626554" cy="89429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45348525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45348525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5348525" y="303942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9105900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9105900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1009217</xdr:colOff>
      <xdr:row>2</xdr:row>
      <xdr:rowOff>149680</xdr:rowOff>
    </xdr:from>
    <xdr:to>
      <xdr:col>7</xdr:col>
      <xdr:colOff>1955223</xdr:colOff>
      <xdr:row>5</xdr:row>
      <xdr:rowOff>379763</xdr:rowOff>
    </xdr:to>
    <xdr:sp macro="" textlink="">
      <xdr:nvSpPr>
        <xdr:cNvPr id="7" name="Text 10"/>
        <xdr:cNvSpPr txBox="1">
          <a:spLocks noChangeArrowheads="1"/>
        </xdr:cNvSpPr>
      </xdr:nvSpPr>
      <xdr:spPr bwMode="auto">
        <a:xfrm>
          <a:off x="2276042" y="711655"/>
          <a:ext cx="9442306" cy="8812108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B - BYPASSED                                      CTR - CONTROL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Nx - NOTE X	                      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N10 - Fire/ Gas trip when 2 of 2 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N11 - Freeman River ONLY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ESD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Stop All Rotating Equipment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3 - 480V Equipment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P001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P002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8 - P003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P021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P022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99 - Alarm Only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8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2887589" y="2737745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267558</xdr:colOff>
      <xdr:row>60</xdr:row>
      <xdr:rowOff>34636</xdr:rowOff>
    </xdr:from>
    <xdr:to>
      <xdr:col>70</xdr:col>
      <xdr:colOff>388787</xdr:colOff>
      <xdr:row>62</xdr:row>
      <xdr:rowOff>281234</xdr:rowOff>
    </xdr:to>
    <xdr:pic>
      <xdr:nvPicPr>
        <xdr:cNvPr id="9" name="Picture 8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2509683" y="27342811"/>
          <a:ext cx="4626554" cy="89429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45348525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45348525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5348525" y="303942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9105900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9105900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1009217</xdr:colOff>
      <xdr:row>2</xdr:row>
      <xdr:rowOff>149680</xdr:rowOff>
    </xdr:from>
    <xdr:to>
      <xdr:col>7</xdr:col>
      <xdr:colOff>1955223</xdr:colOff>
      <xdr:row>5</xdr:row>
      <xdr:rowOff>379763</xdr:rowOff>
    </xdr:to>
    <xdr:sp macro="" textlink="">
      <xdr:nvSpPr>
        <xdr:cNvPr id="7" name="Text 10"/>
        <xdr:cNvSpPr txBox="1">
          <a:spLocks noChangeArrowheads="1"/>
        </xdr:cNvSpPr>
      </xdr:nvSpPr>
      <xdr:spPr bwMode="auto">
        <a:xfrm>
          <a:off x="2276042" y="711655"/>
          <a:ext cx="9442306" cy="8812108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B - BYPASSED                                      CTR - CONTROL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Nx - NOTE X	                      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N10 - Fire/ Gas trip when 2 of 2 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N11 - Freeman River ONLY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ESD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Stop All Rotating Equipment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3 - 480V Equipment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P001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P002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8 - P003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P021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P022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99 - Alarm Only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8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2887589" y="2737745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267558</xdr:colOff>
      <xdr:row>60</xdr:row>
      <xdr:rowOff>34636</xdr:rowOff>
    </xdr:from>
    <xdr:to>
      <xdr:col>70</xdr:col>
      <xdr:colOff>388787</xdr:colOff>
      <xdr:row>62</xdr:row>
      <xdr:rowOff>281234</xdr:rowOff>
    </xdr:to>
    <xdr:pic>
      <xdr:nvPicPr>
        <xdr:cNvPr id="9" name="Picture 8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2509683" y="27342811"/>
          <a:ext cx="4626554" cy="89429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45348525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45348525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5348525" y="303942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9105900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9105900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1009217</xdr:colOff>
      <xdr:row>2</xdr:row>
      <xdr:rowOff>149680</xdr:rowOff>
    </xdr:from>
    <xdr:to>
      <xdr:col>7</xdr:col>
      <xdr:colOff>1955223</xdr:colOff>
      <xdr:row>5</xdr:row>
      <xdr:rowOff>379763</xdr:rowOff>
    </xdr:to>
    <xdr:sp macro="" textlink="">
      <xdr:nvSpPr>
        <xdr:cNvPr id="7" name="Text 10"/>
        <xdr:cNvSpPr txBox="1">
          <a:spLocks noChangeArrowheads="1"/>
        </xdr:cNvSpPr>
      </xdr:nvSpPr>
      <xdr:spPr bwMode="auto">
        <a:xfrm>
          <a:off x="2276042" y="711655"/>
          <a:ext cx="9442306" cy="8812108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B - BYPASSED                                      CTR - CONTROL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Nx - NOTE X	                      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N10 - Fire/ Gas trip when 2 of 2 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N11 - Freeman River ONLY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ESD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Stop All Rotating Equipment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3 - 480V Equipment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P001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P002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8 - P003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P021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P022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99 - Alarm Only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8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2887589" y="2737745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267558</xdr:colOff>
      <xdr:row>60</xdr:row>
      <xdr:rowOff>34636</xdr:rowOff>
    </xdr:from>
    <xdr:to>
      <xdr:col>70</xdr:col>
      <xdr:colOff>388787</xdr:colOff>
      <xdr:row>62</xdr:row>
      <xdr:rowOff>281234</xdr:rowOff>
    </xdr:to>
    <xdr:pic>
      <xdr:nvPicPr>
        <xdr:cNvPr id="9" name="Picture 8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2509683" y="27342811"/>
          <a:ext cx="4626554" cy="89429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45348525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45348525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5348525" y="303942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9105900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9105900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1009217</xdr:colOff>
      <xdr:row>2</xdr:row>
      <xdr:rowOff>149680</xdr:rowOff>
    </xdr:from>
    <xdr:to>
      <xdr:col>7</xdr:col>
      <xdr:colOff>1955223</xdr:colOff>
      <xdr:row>5</xdr:row>
      <xdr:rowOff>379763</xdr:rowOff>
    </xdr:to>
    <xdr:sp macro="" textlink="">
      <xdr:nvSpPr>
        <xdr:cNvPr id="7" name="Text 10"/>
        <xdr:cNvSpPr txBox="1">
          <a:spLocks noChangeArrowheads="1"/>
        </xdr:cNvSpPr>
      </xdr:nvSpPr>
      <xdr:spPr bwMode="auto">
        <a:xfrm>
          <a:off x="2276042" y="711655"/>
          <a:ext cx="9442306" cy="8812108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B - BYPASSED                                      CTR - CONTROL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Nx - NOTE X	                      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N10 - Fire/ Gas trip when 2 of 2 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N11 - Freeman River ONLY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ESD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Stop All Rotating Equipment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3 - 480V Equipment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P001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P002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8 - P003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P021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P022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99 - Alarm Only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8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2887589" y="2737745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267558</xdr:colOff>
      <xdr:row>60</xdr:row>
      <xdr:rowOff>34636</xdr:rowOff>
    </xdr:from>
    <xdr:to>
      <xdr:col>70</xdr:col>
      <xdr:colOff>388787</xdr:colOff>
      <xdr:row>62</xdr:row>
      <xdr:rowOff>281234</xdr:rowOff>
    </xdr:to>
    <xdr:pic>
      <xdr:nvPicPr>
        <xdr:cNvPr id="9" name="Picture 8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2509683" y="27342811"/>
          <a:ext cx="4626554" cy="89429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45348525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45348525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5348525" y="303942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9105900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9105900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1009217</xdr:colOff>
      <xdr:row>2</xdr:row>
      <xdr:rowOff>149680</xdr:rowOff>
    </xdr:from>
    <xdr:to>
      <xdr:col>7</xdr:col>
      <xdr:colOff>1955223</xdr:colOff>
      <xdr:row>5</xdr:row>
      <xdr:rowOff>379763</xdr:rowOff>
    </xdr:to>
    <xdr:sp macro="" textlink="">
      <xdr:nvSpPr>
        <xdr:cNvPr id="7" name="Text 10"/>
        <xdr:cNvSpPr txBox="1">
          <a:spLocks noChangeArrowheads="1"/>
        </xdr:cNvSpPr>
      </xdr:nvSpPr>
      <xdr:spPr bwMode="auto">
        <a:xfrm>
          <a:off x="2276042" y="711655"/>
          <a:ext cx="9442306" cy="8812108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B - BYPASSED                                      CTR - CONTROL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Nx - NOTE X	                      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N10 - Fire/ Gas trip when 2 of 2 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N11 - Freeman River ONLY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ESD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Stop All Rotating Equipment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3 - 480V Equipment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P001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P002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8 - P003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P021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P022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99 - Alarm Only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8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2887589" y="2737745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267558</xdr:colOff>
      <xdr:row>60</xdr:row>
      <xdr:rowOff>34636</xdr:rowOff>
    </xdr:from>
    <xdr:to>
      <xdr:col>70</xdr:col>
      <xdr:colOff>388787</xdr:colOff>
      <xdr:row>62</xdr:row>
      <xdr:rowOff>281234</xdr:rowOff>
    </xdr:to>
    <xdr:pic>
      <xdr:nvPicPr>
        <xdr:cNvPr id="9" name="Picture 8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2509683" y="27342811"/>
          <a:ext cx="4626554" cy="89429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45348525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45348525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5348525" y="303942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9105900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9105900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1009217</xdr:colOff>
      <xdr:row>2</xdr:row>
      <xdr:rowOff>149680</xdr:rowOff>
    </xdr:from>
    <xdr:to>
      <xdr:col>7</xdr:col>
      <xdr:colOff>1955223</xdr:colOff>
      <xdr:row>5</xdr:row>
      <xdr:rowOff>379763</xdr:rowOff>
    </xdr:to>
    <xdr:sp macro="" textlink="">
      <xdr:nvSpPr>
        <xdr:cNvPr id="7" name="Text 10"/>
        <xdr:cNvSpPr txBox="1">
          <a:spLocks noChangeArrowheads="1"/>
        </xdr:cNvSpPr>
      </xdr:nvSpPr>
      <xdr:spPr bwMode="auto">
        <a:xfrm>
          <a:off x="2276042" y="711655"/>
          <a:ext cx="9442306" cy="8812108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B - BYPASSED                                      CTR - CONTROL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Nx - NOTE X	                      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N10 - Fire/ Gas trip when 2 of 2 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N11 - Freeman River ONLY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ESD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Stop All Rotating Equipment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3 - 480V Equipment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P001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P002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8 - P003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P021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P022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99 - Alarm Only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8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2887589" y="2737745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267558</xdr:colOff>
      <xdr:row>60</xdr:row>
      <xdr:rowOff>34636</xdr:rowOff>
    </xdr:from>
    <xdr:to>
      <xdr:col>70</xdr:col>
      <xdr:colOff>388787</xdr:colOff>
      <xdr:row>62</xdr:row>
      <xdr:rowOff>281234</xdr:rowOff>
    </xdr:to>
    <xdr:pic>
      <xdr:nvPicPr>
        <xdr:cNvPr id="9" name="Picture 8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2509683" y="27342811"/>
          <a:ext cx="4626554" cy="89429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45348525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45348525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5348525" y="303942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9105900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9105900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1009217</xdr:colOff>
      <xdr:row>2</xdr:row>
      <xdr:rowOff>149680</xdr:rowOff>
    </xdr:from>
    <xdr:to>
      <xdr:col>7</xdr:col>
      <xdr:colOff>1955223</xdr:colOff>
      <xdr:row>5</xdr:row>
      <xdr:rowOff>379763</xdr:rowOff>
    </xdr:to>
    <xdr:sp macro="" textlink="">
      <xdr:nvSpPr>
        <xdr:cNvPr id="7" name="Text 10"/>
        <xdr:cNvSpPr txBox="1">
          <a:spLocks noChangeArrowheads="1"/>
        </xdr:cNvSpPr>
      </xdr:nvSpPr>
      <xdr:spPr bwMode="auto">
        <a:xfrm>
          <a:off x="2276042" y="711655"/>
          <a:ext cx="9442306" cy="8812108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B - BYPASSED                                      CTR - CONTROL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Nx - NOTE X	                      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N10 - Fire/ Gas trip when 2 of 2 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N11 - Freeman River ONLY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ESD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Stop All Rotating Equipment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3 - 480V Equipment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P001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P002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8 - P003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P021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P022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99 - Alarm Only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8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2887589" y="2737745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267558</xdr:colOff>
      <xdr:row>60</xdr:row>
      <xdr:rowOff>34636</xdr:rowOff>
    </xdr:from>
    <xdr:to>
      <xdr:col>70</xdr:col>
      <xdr:colOff>388787</xdr:colOff>
      <xdr:row>62</xdr:row>
      <xdr:rowOff>281234</xdr:rowOff>
    </xdr:to>
    <xdr:pic>
      <xdr:nvPicPr>
        <xdr:cNvPr id="9" name="Picture 8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2509683" y="27342811"/>
          <a:ext cx="4626554" cy="89429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45348525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45348525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5348525" y="303942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9105900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9105900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1009217</xdr:colOff>
      <xdr:row>2</xdr:row>
      <xdr:rowOff>149680</xdr:rowOff>
    </xdr:from>
    <xdr:to>
      <xdr:col>7</xdr:col>
      <xdr:colOff>1955223</xdr:colOff>
      <xdr:row>5</xdr:row>
      <xdr:rowOff>379763</xdr:rowOff>
    </xdr:to>
    <xdr:sp macro="" textlink="">
      <xdr:nvSpPr>
        <xdr:cNvPr id="7" name="Text 10"/>
        <xdr:cNvSpPr txBox="1">
          <a:spLocks noChangeArrowheads="1"/>
        </xdr:cNvSpPr>
      </xdr:nvSpPr>
      <xdr:spPr bwMode="auto">
        <a:xfrm>
          <a:off x="2276042" y="711655"/>
          <a:ext cx="9442306" cy="8812108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B - BYPASSED                                      CTR - CONTROL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Nx - NOTE X	                      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N10 - Fire/ Gas trip when 2 of 2 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N11 - Freeman River ONLY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ESD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Stop All Rotating Equipment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3 - 480V Equipment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P001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P002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8 - P003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P021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P022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99 - Alarm Only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8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2887589" y="2737745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267558</xdr:colOff>
      <xdr:row>60</xdr:row>
      <xdr:rowOff>34636</xdr:rowOff>
    </xdr:from>
    <xdr:to>
      <xdr:col>70</xdr:col>
      <xdr:colOff>388787</xdr:colOff>
      <xdr:row>62</xdr:row>
      <xdr:rowOff>281234</xdr:rowOff>
    </xdr:to>
    <xdr:pic>
      <xdr:nvPicPr>
        <xdr:cNvPr id="9" name="Picture 8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2509683" y="27342811"/>
          <a:ext cx="4626554" cy="89429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45348525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45348525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5348525" y="303942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9105900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9105900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1009217</xdr:colOff>
      <xdr:row>2</xdr:row>
      <xdr:rowOff>149680</xdr:rowOff>
    </xdr:from>
    <xdr:to>
      <xdr:col>7</xdr:col>
      <xdr:colOff>1955223</xdr:colOff>
      <xdr:row>5</xdr:row>
      <xdr:rowOff>379763</xdr:rowOff>
    </xdr:to>
    <xdr:sp macro="" textlink="">
      <xdr:nvSpPr>
        <xdr:cNvPr id="7" name="Text 10"/>
        <xdr:cNvSpPr txBox="1">
          <a:spLocks noChangeArrowheads="1"/>
        </xdr:cNvSpPr>
      </xdr:nvSpPr>
      <xdr:spPr bwMode="auto">
        <a:xfrm>
          <a:off x="2276042" y="711655"/>
          <a:ext cx="9442306" cy="8812108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B - BYPASSED                                      CTR - CONTROL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Nx - NOTE X	                      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N10 - Fire/ Gas trip when 2 of 2 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N11 - Freeman River ONLY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ESD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Stop All Rotating Equipment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3 - 480V Equipment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P001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P002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8 - P003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P021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P022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99 - Alarm Only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8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2887589" y="2737745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267558</xdr:colOff>
      <xdr:row>60</xdr:row>
      <xdr:rowOff>34636</xdr:rowOff>
    </xdr:from>
    <xdr:to>
      <xdr:col>70</xdr:col>
      <xdr:colOff>388787</xdr:colOff>
      <xdr:row>62</xdr:row>
      <xdr:rowOff>281234</xdr:rowOff>
    </xdr:to>
    <xdr:pic>
      <xdr:nvPicPr>
        <xdr:cNvPr id="9" name="Picture 8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2509683" y="27342811"/>
          <a:ext cx="4626554" cy="89429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45348525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45348525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5348525" y="303942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9105900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9105900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1009217</xdr:colOff>
      <xdr:row>2</xdr:row>
      <xdr:rowOff>149680</xdr:rowOff>
    </xdr:from>
    <xdr:to>
      <xdr:col>7</xdr:col>
      <xdr:colOff>1955223</xdr:colOff>
      <xdr:row>5</xdr:row>
      <xdr:rowOff>379763</xdr:rowOff>
    </xdr:to>
    <xdr:sp macro="" textlink="">
      <xdr:nvSpPr>
        <xdr:cNvPr id="7" name="Text 10"/>
        <xdr:cNvSpPr txBox="1">
          <a:spLocks noChangeArrowheads="1"/>
        </xdr:cNvSpPr>
      </xdr:nvSpPr>
      <xdr:spPr bwMode="auto">
        <a:xfrm>
          <a:off x="2276042" y="711655"/>
          <a:ext cx="9442306" cy="8812108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B - BYPASSED                                      CTR - CONTROL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Nx - NOTE X	                      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N10 - Fire/ Gas trip when 2 of 2 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N11 - Freeman River ONLY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ESD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Stop All Rotating Equipment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3 - 480V Equipment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P001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P002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8 - P003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P021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P022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99 - Alarm Only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8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2887589" y="2737745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267558</xdr:colOff>
      <xdr:row>60</xdr:row>
      <xdr:rowOff>34636</xdr:rowOff>
    </xdr:from>
    <xdr:to>
      <xdr:col>70</xdr:col>
      <xdr:colOff>388787</xdr:colOff>
      <xdr:row>62</xdr:row>
      <xdr:rowOff>281234</xdr:rowOff>
    </xdr:to>
    <xdr:pic>
      <xdr:nvPicPr>
        <xdr:cNvPr id="9" name="Picture 8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2509683" y="27342811"/>
          <a:ext cx="4626554" cy="89429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45348525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45348525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5348525" y="303942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9105900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9105900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1009217</xdr:colOff>
      <xdr:row>2</xdr:row>
      <xdr:rowOff>149680</xdr:rowOff>
    </xdr:from>
    <xdr:to>
      <xdr:col>7</xdr:col>
      <xdr:colOff>1955223</xdr:colOff>
      <xdr:row>5</xdr:row>
      <xdr:rowOff>379763</xdr:rowOff>
    </xdr:to>
    <xdr:sp macro="" textlink="">
      <xdr:nvSpPr>
        <xdr:cNvPr id="7" name="Text 10"/>
        <xdr:cNvSpPr txBox="1">
          <a:spLocks noChangeArrowheads="1"/>
        </xdr:cNvSpPr>
      </xdr:nvSpPr>
      <xdr:spPr bwMode="auto">
        <a:xfrm>
          <a:off x="2276042" y="711655"/>
          <a:ext cx="9442306" cy="8812108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B - BYPASSED                                      CTR - CONTROL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Nx - NOTE X	                      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N10 - Fire/ Gas trip when 2 of 2 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N11 - Freeman River ONLY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ESD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Stop All Rotating Equipment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3 - 480V Equipment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P001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P002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8 - P003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P021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P022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99 - Alarm Only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8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2887589" y="2737745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267558</xdr:colOff>
      <xdr:row>60</xdr:row>
      <xdr:rowOff>34636</xdr:rowOff>
    </xdr:from>
    <xdr:to>
      <xdr:col>70</xdr:col>
      <xdr:colOff>388787</xdr:colOff>
      <xdr:row>62</xdr:row>
      <xdr:rowOff>281234</xdr:rowOff>
    </xdr:to>
    <xdr:pic>
      <xdr:nvPicPr>
        <xdr:cNvPr id="9" name="Picture 8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2509683" y="27342811"/>
          <a:ext cx="4626554" cy="89429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45348525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45348525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5348525" y="303942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9105900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9105900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1009217</xdr:colOff>
      <xdr:row>2</xdr:row>
      <xdr:rowOff>149680</xdr:rowOff>
    </xdr:from>
    <xdr:to>
      <xdr:col>7</xdr:col>
      <xdr:colOff>1955223</xdr:colOff>
      <xdr:row>5</xdr:row>
      <xdr:rowOff>379763</xdr:rowOff>
    </xdr:to>
    <xdr:sp macro="" textlink="">
      <xdr:nvSpPr>
        <xdr:cNvPr id="7" name="Text 10"/>
        <xdr:cNvSpPr txBox="1">
          <a:spLocks noChangeArrowheads="1"/>
        </xdr:cNvSpPr>
      </xdr:nvSpPr>
      <xdr:spPr bwMode="auto">
        <a:xfrm>
          <a:off x="2276042" y="711655"/>
          <a:ext cx="9442306" cy="8812108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B - BYPASSED                                      CTR - CONTROL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Nx - NOTE X	                      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N10 - Fire/ Gas trip when 2 of 2 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N11 - Freeman River ONLY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ESD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Stop All Rotating Equipment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3 - 480V Equipment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P001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P002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8 - P003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P021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P022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99 - Alarm Only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8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2887589" y="2737745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267558</xdr:colOff>
      <xdr:row>60</xdr:row>
      <xdr:rowOff>34636</xdr:rowOff>
    </xdr:from>
    <xdr:to>
      <xdr:col>70</xdr:col>
      <xdr:colOff>388787</xdr:colOff>
      <xdr:row>62</xdr:row>
      <xdr:rowOff>281234</xdr:rowOff>
    </xdr:to>
    <xdr:pic>
      <xdr:nvPicPr>
        <xdr:cNvPr id="9" name="Picture 8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2509683" y="27342811"/>
          <a:ext cx="4626554" cy="89429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45348525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45348525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5348525" y="303942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9105900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9105900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1009217</xdr:colOff>
      <xdr:row>2</xdr:row>
      <xdr:rowOff>149680</xdr:rowOff>
    </xdr:from>
    <xdr:to>
      <xdr:col>7</xdr:col>
      <xdr:colOff>1955223</xdr:colOff>
      <xdr:row>5</xdr:row>
      <xdr:rowOff>379763</xdr:rowOff>
    </xdr:to>
    <xdr:sp macro="" textlink="">
      <xdr:nvSpPr>
        <xdr:cNvPr id="7" name="Text 10"/>
        <xdr:cNvSpPr txBox="1">
          <a:spLocks noChangeArrowheads="1"/>
        </xdr:cNvSpPr>
      </xdr:nvSpPr>
      <xdr:spPr bwMode="auto">
        <a:xfrm>
          <a:off x="2276042" y="711655"/>
          <a:ext cx="9442306" cy="8812108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B - BYPASSED                                      CTR - CONTROL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Nx - NOTE X	                      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N10 - Fire/ Gas trip when 2 of 2 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N11 - Freeman River ONLY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ESD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Stop All Rotating Equipment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3 - 480V Equipment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P001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P002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8 - P003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P021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P022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99 - Alarm Only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8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2887589" y="2737745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267558</xdr:colOff>
      <xdr:row>60</xdr:row>
      <xdr:rowOff>34636</xdr:rowOff>
    </xdr:from>
    <xdr:to>
      <xdr:col>70</xdr:col>
      <xdr:colOff>388787</xdr:colOff>
      <xdr:row>62</xdr:row>
      <xdr:rowOff>281234</xdr:rowOff>
    </xdr:to>
    <xdr:pic>
      <xdr:nvPicPr>
        <xdr:cNvPr id="9" name="Picture 8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2509683" y="27342811"/>
          <a:ext cx="4626554" cy="894298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45348525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45348525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5348525" y="303942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9105900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9105900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1009217</xdr:colOff>
      <xdr:row>2</xdr:row>
      <xdr:rowOff>149680</xdr:rowOff>
    </xdr:from>
    <xdr:to>
      <xdr:col>7</xdr:col>
      <xdr:colOff>1955223</xdr:colOff>
      <xdr:row>5</xdr:row>
      <xdr:rowOff>379763</xdr:rowOff>
    </xdr:to>
    <xdr:sp macro="" textlink="">
      <xdr:nvSpPr>
        <xdr:cNvPr id="7" name="Text 10"/>
        <xdr:cNvSpPr txBox="1">
          <a:spLocks noChangeArrowheads="1"/>
        </xdr:cNvSpPr>
      </xdr:nvSpPr>
      <xdr:spPr bwMode="auto">
        <a:xfrm>
          <a:off x="2276042" y="711655"/>
          <a:ext cx="9442306" cy="8812108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B - BYPASSED                                      CTR - CONTROL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Nx - NOTE X	                      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N10 - Fire/ Gas trip when 2 of 2 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N11 - Freeman River ONLY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ESD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Stop All Rotating Equipment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3 - 480V Equipment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P001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P002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8 - P003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P021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P022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99 - Alarm Only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8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2887589" y="2737745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267558</xdr:colOff>
      <xdr:row>60</xdr:row>
      <xdr:rowOff>34636</xdr:rowOff>
    </xdr:from>
    <xdr:to>
      <xdr:col>70</xdr:col>
      <xdr:colOff>388787</xdr:colOff>
      <xdr:row>62</xdr:row>
      <xdr:rowOff>281234</xdr:rowOff>
    </xdr:to>
    <xdr:pic>
      <xdr:nvPicPr>
        <xdr:cNvPr id="9" name="Picture 8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2509683" y="27342811"/>
          <a:ext cx="4626554" cy="894298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45348525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45348525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5348525" y="303942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9105900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9105900" y="303942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1009217</xdr:colOff>
      <xdr:row>2</xdr:row>
      <xdr:rowOff>149680</xdr:rowOff>
    </xdr:from>
    <xdr:to>
      <xdr:col>7</xdr:col>
      <xdr:colOff>1955223</xdr:colOff>
      <xdr:row>5</xdr:row>
      <xdr:rowOff>379763</xdr:rowOff>
    </xdr:to>
    <xdr:sp macro="" textlink="">
      <xdr:nvSpPr>
        <xdr:cNvPr id="7" name="Text 10"/>
        <xdr:cNvSpPr txBox="1">
          <a:spLocks noChangeArrowheads="1"/>
        </xdr:cNvSpPr>
      </xdr:nvSpPr>
      <xdr:spPr bwMode="auto">
        <a:xfrm>
          <a:off x="2276042" y="711655"/>
          <a:ext cx="9442306" cy="8812108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B - BYPASSED                                      CTR - CONTROL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Nx - NOTE X	                      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N3 -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N10 - Fire/ Gas trip when 2 of 2 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N11 - Freeman River ONLY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ESD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Stop All Rotating Equipment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3 - 480V Equipment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P001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P002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8 - P003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P021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P022 Shutdown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99 - Alarm Only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8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2887589" y="2737745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267558</xdr:colOff>
      <xdr:row>60</xdr:row>
      <xdr:rowOff>34636</xdr:rowOff>
    </xdr:from>
    <xdr:to>
      <xdr:col>70</xdr:col>
      <xdr:colOff>388787</xdr:colOff>
      <xdr:row>62</xdr:row>
      <xdr:rowOff>281234</xdr:rowOff>
    </xdr:to>
    <xdr:pic>
      <xdr:nvPicPr>
        <xdr:cNvPr id="9" name="Picture 8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2509683" y="27342811"/>
          <a:ext cx="4626554" cy="8942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"/>
  <sheetViews>
    <sheetView workbookViewId="0">
      <selection activeCell="B8" sqref="B8"/>
    </sheetView>
  </sheetViews>
  <sheetFormatPr defaultRowHeight="15"/>
  <cols>
    <col min="1" max="1" width="11.5703125" bestFit="1" customWidth="1"/>
    <col min="2" max="2" width="90.28515625" bestFit="1" customWidth="1"/>
  </cols>
  <sheetData>
    <row r="1" spans="1:2">
      <c r="A1" t="s">
        <v>40</v>
      </c>
      <c r="B1" t="s">
        <v>91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UpdateMasterSDK">
                <anchor moveWithCells="1">
                  <from>
                    <xdr:col>2</xdr:col>
                    <xdr:colOff>38100</xdr:colOff>
                    <xdr:row>0</xdr:row>
                    <xdr:rowOff>28575</xdr:rowOff>
                  </from>
                  <to>
                    <xdr:col>4</xdr:col>
                    <xdr:colOff>152400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820"/>
  <sheetViews>
    <sheetView tabSelected="1" zoomScale="55" zoomScaleNormal="55" workbookViewId="0">
      <selection activeCell="AB7" sqref="AB7"/>
    </sheetView>
  </sheetViews>
  <sheetFormatPr defaultRowHeight="18"/>
  <cols>
    <col min="1" max="1" width="9.28515625" style="109" customWidth="1"/>
    <col min="2" max="2" width="6.85546875" style="109" bestFit="1" customWidth="1"/>
    <col min="3" max="3" width="15.5703125" style="109" customWidth="1"/>
    <col min="4" max="4" width="8.7109375" style="109" bestFit="1" customWidth="1"/>
    <col min="5" max="5" width="15.140625" style="109" bestFit="1" customWidth="1"/>
    <col min="6" max="6" width="11.28515625" style="109" bestFit="1" customWidth="1"/>
    <col min="7" max="7" width="94.140625" style="80" bestFit="1" customWidth="1"/>
    <col min="8" max="8" width="15.42578125" style="109" bestFit="1" customWidth="1"/>
    <col min="9" max="9" width="18" style="80" bestFit="1" customWidth="1"/>
    <col min="10" max="10" width="23" style="80" bestFit="1" customWidth="1"/>
    <col min="11" max="12" width="10.7109375" style="80" customWidth="1"/>
    <col min="13" max="13" width="9" style="80" bestFit="1" customWidth="1"/>
    <col min="14" max="18" width="6" style="109" bestFit="1" customWidth="1"/>
    <col min="19" max="19" width="2.85546875" style="109" bestFit="1" customWidth="1"/>
    <col min="20" max="24" width="6" style="109" bestFit="1" customWidth="1"/>
    <col min="25" max="25" width="8" style="109" bestFit="1" customWidth="1"/>
    <col min="26" max="16384" width="9.140625" style="80"/>
  </cols>
  <sheetData>
    <row r="1" spans="1:25">
      <c r="A1" s="76"/>
      <c r="B1" s="64"/>
      <c r="C1" s="64"/>
      <c r="D1" s="64"/>
      <c r="E1" s="64"/>
      <c r="F1" s="64"/>
      <c r="G1" s="65"/>
      <c r="H1" s="66"/>
      <c r="I1" s="66"/>
      <c r="J1" s="66"/>
      <c r="K1" s="198" t="s">
        <v>13</v>
      </c>
      <c r="L1" s="199"/>
      <c r="M1" s="199"/>
      <c r="N1" s="78">
        <v>1</v>
      </c>
      <c r="O1" s="79">
        <v>2</v>
      </c>
      <c r="P1" s="79">
        <v>3</v>
      </c>
      <c r="Q1" s="79">
        <v>4</v>
      </c>
      <c r="R1" s="79">
        <v>6</v>
      </c>
      <c r="S1" s="79">
        <v>7</v>
      </c>
      <c r="T1" s="79">
        <v>238</v>
      </c>
      <c r="U1" s="79">
        <v>889</v>
      </c>
      <c r="V1" s="79">
        <v>887</v>
      </c>
      <c r="W1" s="79">
        <v>888</v>
      </c>
      <c r="X1" s="79">
        <v>231</v>
      </c>
      <c r="Y1" s="188">
        <v>7777</v>
      </c>
    </row>
    <row r="2" spans="1:25" ht="18.75" thickBot="1">
      <c r="A2" s="67"/>
      <c r="B2" s="68"/>
      <c r="C2" s="68"/>
      <c r="D2" s="68"/>
      <c r="E2" s="68"/>
      <c r="F2" s="68"/>
      <c r="G2" s="69"/>
      <c r="H2" s="70"/>
      <c r="I2" s="70"/>
      <c r="J2" s="70"/>
      <c r="K2" s="200" t="s">
        <v>14</v>
      </c>
      <c r="L2" s="201"/>
      <c r="M2" s="202"/>
      <c r="N2" s="81" t="s">
        <v>11</v>
      </c>
      <c r="O2" s="82" t="s">
        <v>11</v>
      </c>
      <c r="P2" s="82" t="s">
        <v>11</v>
      </c>
      <c r="Q2" s="82" t="s">
        <v>11</v>
      </c>
      <c r="R2" s="82" t="s">
        <v>11</v>
      </c>
      <c r="S2" s="82" t="s">
        <v>77</v>
      </c>
      <c r="T2" s="82" t="s">
        <v>11</v>
      </c>
      <c r="U2" s="82" t="s">
        <v>11</v>
      </c>
      <c r="V2" s="82" t="s">
        <v>11</v>
      </c>
      <c r="W2" s="82" t="s">
        <v>11</v>
      </c>
      <c r="X2" s="82" t="s">
        <v>11</v>
      </c>
      <c r="Y2" s="188" t="s">
        <v>11</v>
      </c>
    </row>
    <row r="3" spans="1:25" ht="81">
      <c r="A3" s="67"/>
      <c r="B3" s="68"/>
      <c r="C3" s="68"/>
      <c r="D3" s="68"/>
      <c r="E3" s="68"/>
      <c r="F3" s="68"/>
      <c r="G3" s="69"/>
      <c r="H3" s="70"/>
      <c r="I3" s="70"/>
      <c r="J3" s="70"/>
      <c r="K3" s="218" t="s">
        <v>42</v>
      </c>
      <c r="L3" s="219"/>
      <c r="M3" s="220"/>
      <c r="N3" s="83" t="s">
        <v>66</v>
      </c>
      <c r="O3" s="84" t="s">
        <v>73</v>
      </c>
      <c r="P3" s="84" t="s">
        <v>74</v>
      </c>
      <c r="Q3" s="84" t="s">
        <v>67</v>
      </c>
      <c r="R3" s="84" t="s">
        <v>75</v>
      </c>
      <c r="S3" s="84"/>
      <c r="T3" s="85">
        <v>10211</v>
      </c>
      <c r="U3" s="85">
        <v>11113</v>
      </c>
      <c r="V3" s="85">
        <v>10229</v>
      </c>
      <c r="W3" s="85">
        <v>10270</v>
      </c>
      <c r="X3" s="85">
        <v>10236</v>
      </c>
      <c r="Y3" s="189" t="s">
        <v>92</v>
      </c>
    </row>
    <row r="4" spans="1:25" ht="46.5" thickBot="1">
      <c r="A4" s="67"/>
      <c r="B4" s="68"/>
      <c r="C4" s="68"/>
      <c r="D4" s="68"/>
      <c r="E4" s="68"/>
      <c r="F4" s="68"/>
      <c r="G4" s="69"/>
      <c r="H4" s="70"/>
      <c r="I4" s="70"/>
      <c r="J4" s="70"/>
      <c r="K4" s="203" t="s">
        <v>41</v>
      </c>
      <c r="L4" s="204"/>
      <c r="M4" s="205"/>
      <c r="N4" s="83" t="s">
        <v>76</v>
      </c>
      <c r="O4" s="84" t="s">
        <v>76</v>
      </c>
      <c r="P4" s="84" t="s">
        <v>76</v>
      </c>
      <c r="Q4" s="84" t="s">
        <v>76</v>
      </c>
      <c r="R4" s="84" t="s">
        <v>76</v>
      </c>
      <c r="S4" s="84"/>
      <c r="T4" s="85" t="s">
        <v>46</v>
      </c>
      <c r="U4" s="85" t="s">
        <v>47</v>
      </c>
      <c r="V4" s="85" t="s">
        <v>47</v>
      </c>
      <c r="W4" s="85" t="s">
        <v>47</v>
      </c>
      <c r="X4" s="85" t="s">
        <v>43</v>
      </c>
      <c r="Y4" s="189" t="s">
        <v>93</v>
      </c>
    </row>
    <row r="5" spans="1:25" ht="78.75">
      <c r="A5" s="67"/>
      <c r="B5" s="68"/>
      <c r="C5" s="68"/>
      <c r="D5" s="68"/>
      <c r="E5" s="68"/>
      <c r="F5" s="68"/>
      <c r="G5" s="71"/>
      <c r="H5" s="70"/>
      <c r="I5" s="70"/>
      <c r="J5" s="70"/>
      <c r="K5" s="206" t="s">
        <v>15</v>
      </c>
      <c r="L5" s="207"/>
      <c r="M5" s="208"/>
      <c r="N5" s="83" t="s">
        <v>76</v>
      </c>
      <c r="O5" s="84" t="s">
        <v>76</v>
      </c>
      <c r="P5" s="84" t="s">
        <v>76</v>
      </c>
      <c r="Q5" s="84" t="s">
        <v>76</v>
      </c>
      <c r="R5" s="84" t="s">
        <v>76</v>
      </c>
      <c r="S5" s="84"/>
      <c r="T5" s="85" t="s">
        <v>16</v>
      </c>
      <c r="U5" s="85" t="s">
        <v>44</v>
      </c>
      <c r="V5" s="85" t="s">
        <v>44</v>
      </c>
      <c r="W5" s="85" t="s">
        <v>44</v>
      </c>
      <c r="X5" s="85" t="s">
        <v>44</v>
      </c>
      <c r="Y5" s="189" t="s">
        <v>93</v>
      </c>
    </row>
    <row r="6" spans="1:25">
      <c r="A6" s="67"/>
      <c r="B6" s="68"/>
      <c r="C6" s="68"/>
      <c r="D6" s="68"/>
      <c r="E6" s="68"/>
      <c r="F6" s="68"/>
      <c r="G6" s="72"/>
      <c r="H6" s="68"/>
      <c r="I6" s="68"/>
      <c r="J6" s="73"/>
      <c r="K6" s="209" t="s">
        <v>17</v>
      </c>
      <c r="L6" s="210"/>
      <c r="M6" s="211"/>
      <c r="N6" s="83" t="s">
        <v>76</v>
      </c>
      <c r="O6" s="84" t="s">
        <v>76</v>
      </c>
      <c r="P6" s="84" t="s">
        <v>76</v>
      </c>
      <c r="Q6" s="84" t="s">
        <v>76</v>
      </c>
      <c r="R6" s="84" t="s">
        <v>76</v>
      </c>
      <c r="S6" s="84" t="s">
        <v>77</v>
      </c>
      <c r="T6" s="84" t="s">
        <v>76</v>
      </c>
      <c r="U6" s="84" t="s">
        <v>76</v>
      </c>
      <c r="V6" s="84" t="s">
        <v>76</v>
      </c>
      <c r="W6" s="84" t="s">
        <v>76</v>
      </c>
      <c r="X6" s="84" t="s">
        <v>76</v>
      </c>
      <c r="Y6" s="189" t="s">
        <v>93</v>
      </c>
    </row>
    <row r="7" spans="1:25" ht="409.5">
      <c r="A7" s="67"/>
      <c r="B7" s="68"/>
      <c r="C7" s="68"/>
      <c r="D7" s="68"/>
      <c r="E7" s="68"/>
      <c r="F7" s="68"/>
      <c r="G7" s="68"/>
      <c r="H7" s="68"/>
      <c r="I7" s="68"/>
      <c r="J7" s="73" t="s">
        <v>18</v>
      </c>
      <c r="K7" s="203" t="s">
        <v>7</v>
      </c>
      <c r="L7" s="204"/>
      <c r="M7" s="205"/>
      <c r="N7" s="86" t="s">
        <v>69</v>
      </c>
      <c r="O7" s="87" t="s">
        <v>72</v>
      </c>
      <c r="P7" s="87" t="s">
        <v>71</v>
      </c>
      <c r="Q7" s="87" t="s">
        <v>83</v>
      </c>
      <c r="R7" s="87" t="s">
        <v>82</v>
      </c>
      <c r="S7" s="87"/>
      <c r="T7" s="88" t="s">
        <v>56</v>
      </c>
      <c r="U7" s="88" t="s">
        <v>59</v>
      </c>
      <c r="V7" s="88" t="s">
        <v>57</v>
      </c>
      <c r="W7" s="88" t="s">
        <v>58</v>
      </c>
      <c r="X7" s="88" t="s">
        <v>55</v>
      </c>
      <c r="Y7" s="190" t="s">
        <v>93</v>
      </c>
    </row>
    <row r="8" spans="1:25" ht="104.25" customHeight="1" thickBot="1">
      <c r="A8" s="67"/>
      <c r="B8" s="68"/>
      <c r="C8" s="68"/>
      <c r="D8" s="68"/>
      <c r="E8" s="68"/>
      <c r="F8" s="74"/>
      <c r="G8" s="74" t="s">
        <v>19</v>
      </c>
      <c r="H8" s="68"/>
      <c r="I8" s="68"/>
      <c r="J8" s="68"/>
      <c r="K8" s="232" t="s">
        <v>20</v>
      </c>
      <c r="L8" s="233"/>
      <c r="M8" s="234"/>
      <c r="N8" s="89" t="s">
        <v>66</v>
      </c>
      <c r="O8" s="90" t="s">
        <v>64</v>
      </c>
      <c r="P8" s="90" t="s">
        <v>65</v>
      </c>
      <c r="Q8" s="90" t="s">
        <v>67</v>
      </c>
      <c r="R8" s="90" t="s">
        <v>68</v>
      </c>
      <c r="S8" s="90"/>
      <c r="T8" s="91" t="s">
        <v>21</v>
      </c>
      <c r="U8" s="91" t="s">
        <v>63</v>
      </c>
      <c r="V8" s="91" t="s">
        <v>61</v>
      </c>
      <c r="W8" s="91" t="s">
        <v>62</v>
      </c>
      <c r="X8" s="91" t="s">
        <v>60</v>
      </c>
      <c r="Y8" s="189" t="s">
        <v>92</v>
      </c>
    </row>
    <row r="9" spans="1:25" ht="25.5" customHeight="1">
      <c r="A9" s="221" t="s">
        <v>22</v>
      </c>
      <c r="B9" s="212" t="s">
        <v>23</v>
      </c>
      <c r="C9" s="215" t="s">
        <v>42</v>
      </c>
      <c r="D9" s="215" t="s">
        <v>41</v>
      </c>
      <c r="E9" s="212" t="s">
        <v>24</v>
      </c>
      <c r="F9" s="224" t="s">
        <v>38</v>
      </c>
      <c r="G9" s="212" t="s">
        <v>7</v>
      </c>
      <c r="H9" s="212" t="s">
        <v>26</v>
      </c>
      <c r="I9" s="224" t="s">
        <v>39</v>
      </c>
      <c r="J9" s="225" t="s">
        <v>27</v>
      </c>
      <c r="K9" s="228" t="s">
        <v>28</v>
      </c>
      <c r="L9" s="229"/>
      <c r="M9" s="229"/>
      <c r="N9" s="78"/>
      <c r="O9" s="79"/>
      <c r="P9" s="79"/>
      <c r="Q9" s="79"/>
      <c r="R9" s="79"/>
      <c r="S9" s="79"/>
      <c r="T9" s="92"/>
      <c r="U9" s="92"/>
      <c r="V9" s="92"/>
      <c r="W9" s="92"/>
      <c r="X9" s="92"/>
      <c r="Y9" s="188" t="s">
        <v>93</v>
      </c>
    </row>
    <row r="10" spans="1:25" ht="25.5" customHeight="1">
      <c r="A10" s="222"/>
      <c r="B10" s="213"/>
      <c r="C10" s="216"/>
      <c r="D10" s="216"/>
      <c r="E10" s="213"/>
      <c r="F10" s="213"/>
      <c r="G10" s="213"/>
      <c r="H10" s="213"/>
      <c r="I10" s="213"/>
      <c r="J10" s="226"/>
      <c r="K10" s="63"/>
      <c r="L10" s="230" t="s">
        <v>29</v>
      </c>
      <c r="M10" s="231"/>
      <c r="N10" s="81"/>
      <c r="O10" s="82"/>
      <c r="P10" s="82"/>
      <c r="Q10" s="82"/>
      <c r="R10" s="82"/>
      <c r="S10" s="82"/>
      <c r="T10" s="93"/>
      <c r="U10" s="93"/>
      <c r="V10" s="93"/>
      <c r="W10" s="93"/>
      <c r="X10" s="93"/>
      <c r="Y10" s="188" t="s">
        <v>93</v>
      </c>
    </row>
    <row r="11" spans="1:25" ht="25.5" customHeight="1" thickBot="1">
      <c r="A11" s="223"/>
      <c r="B11" s="214"/>
      <c r="C11" s="217"/>
      <c r="D11" s="217"/>
      <c r="E11" s="214"/>
      <c r="F11" s="214"/>
      <c r="G11" s="214"/>
      <c r="H11" s="214"/>
      <c r="I11" s="214"/>
      <c r="J11" s="227"/>
      <c r="K11" s="63"/>
      <c r="L11" s="75"/>
      <c r="M11" s="77" t="s">
        <v>30</v>
      </c>
      <c r="N11" s="184"/>
      <c r="O11" s="182"/>
      <c r="P11" s="182"/>
      <c r="Q11" s="182"/>
      <c r="R11" s="182"/>
      <c r="S11" s="182"/>
      <c r="T11" s="183"/>
      <c r="U11" s="183"/>
      <c r="V11" s="183"/>
      <c r="W11" s="183"/>
      <c r="X11" s="183"/>
      <c r="Y11" s="188" t="s">
        <v>93</v>
      </c>
    </row>
    <row r="12" spans="1:25" s="99" customFormat="1" ht="26.25" customHeight="1">
      <c r="A12" s="94">
        <v>1</v>
      </c>
      <c r="B12" s="95" t="s">
        <v>11</v>
      </c>
      <c r="C12" s="95" t="s">
        <v>66</v>
      </c>
      <c r="D12" s="95"/>
      <c r="E12" s="95"/>
      <c r="F12" s="95" t="str">
        <f>IF(B12&lt;&gt;"","-","")</f>
        <v>-</v>
      </c>
      <c r="G12" s="96" t="s">
        <v>69</v>
      </c>
      <c r="H12" s="95"/>
      <c r="I12" s="96" t="s">
        <v>66</v>
      </c>
      <c r="J12" s="97" t="s">
        <v>66</v>
      </c>
      <c r="K12" s="98"/>
      <c r="L12" s="96"/>
      <c r="M12" s="178"/>
      <c r="N12" s="105" t="s">
        <v>78</v>
      </c>
      <c r="O12" s="105"/>
      <c r="P12" s="105"/>
      <c r="Q12" s="105"/>
      <c r="R12" s="105"/>
      <c r="S12" s="105"/>
      <c r="T12" s="105"/>
      <c r="U12" s="105"/>
      <c r="V12" s="105"/>
      <c r="W12" s="105"/>
      <c r="X12" s="105"/>
      <c r="Y12" s="105"/>
    </row>
    <row r="13" spans="1:25" s="99" customFormat="1" ht="26.25" customHeight="1">
      <c r="A13" s="100">
        <v>2</v>
      </c>
      <c r="B13" s="101" t="s">
        <v>11</v>
      </c>
      <c r="C13" s="101" t="s">
        <v>73</v>
      </c>
      <c r="D13" s="101"/>
      <c r="E13" s="101"/>
      <c r="F13" s="101" t="str">
        <f>IF(B13&lt;&gt;"","-","")</f>
        <v>-</v>
      </c>
      <c r="G13" s="102" t="s">
        <v>70</v>
      </c>
      <c r="H13" s="101"/>
      <c r="I13" s="102" t="s">
        <v>64</v>
      </c>
      <c r="J13" s="103" t="s">
        <v>64</v>
      </c>
      <c r="K13" s="104"/>
      <c r="L13" s="102"/>
      <c r="M13" s="177"/>
      <c r="N13" s="105" t="s">
        <v>78</v>
      </c>
      <c r="O13" s="105" t="s">
        <v>78</v>
      </c>
      <c r="P13" s="105"/>
      <c r="Q13" s="105"/>
      <c r="R13" s="105"/>
      <c r="S13" s="105"/>
      <c r="T13" s="105"/>
      <c r="U13" s="105"/>
      <c r="V13" s="105" t="s">
        <v>79</v>
      </c>
      <c r="W13" s="105" t="s">
        <v>80</v>
      </c>
      <c r="X13" s="105" t="s">
        <v>80</v>
      </c>
      <c r="Y13" s="105"/>
    </row>
    <row r="14" spans="1:25" s="99" customFormat="1" ht="26.25" customHeight="1">
      <c r="A14" s="100">
        <v>3</v>
      </c>
      <c r="B14" s="101" t="s">
        <v>11</v>
      </c>
      <c r="C14" s="101" t="s">
        <v>74</v>
      </c>
      <c r="D14" s="101"/>
      <c r="E14" s="101"/>
      <c r="F14" s="101" t="str">
        <f t="shared" ref="F14:F18" si="0">IF(B14&lt;&gt;"","-","")</f>
        <v>-</v>
      </c>
      <c r="G14" s="102" t="s">
        <v>71</v>
      </c>
      <c r="H14" s="101"/>
      <c r="I14" s="102" t="s">
        <v>65</v>
      </c>
      <c r="J14" s="103" t="s">
        <v>65</v>
      </c>
      <c r="K14" s="104"/>
      <c r="L14" s="102"/>
      <c r="M14" s="177"/>
      <c r="N14" s="105" t="s">
        <v>78</v>
      </c>
      <c r="O14" s="105"/>
      <c r="P14" s="105" t="s">
        <v>78</v>
      </c>
      <c r="Q14" s="105"/>
      <c r="R14" s="105"/>
      <c r="S14" s="105"/>
      <c r="T14" s="105"/>
      <c r="U14" s="105"/>
      <c r="V14" s="105"/>
      <c r="W14" s="105" t="s">
        <v>80</v>
      </c>
      <c r="X14" s="105" t="s">
        <v>79</v>
      </c>
      <c r="Y14" s="105"/>
    </row>
    <row r="15" spans="1:25" s="99" customFormat="1" ht="26.25" customHeight="1">
      <c r="A15" s="100">
        <v>4</v>
      </c>
      <c r="B15" s="101" t="s">
        <v>11</v>
      </c>
      <c r="C15" s="101" t="s">
        <v>67</v>
      </c>
      <c r="D15" s="101"/>
      <c r="E15" s="101"/>
      <c r="F15" s="101" t="str">
        <f t="shared" si="0"/>
        <v>-</v>
      </c>
      <c r="G15" s="102" t="s">
        <v>81</v>
      </c>
      <c r="H15" s="101"/>
      <c r="I15" s="102" t="s">
        <v>67</v>
      </c>
      <c r="J15" s="103" t="s">
        <v>67</v>
      </c>
      <c r="K15" s="104"/>
      <c r="L15" s="102"/>
      <c r="M15" s="177"/>
      <c r="N15" s="105" t="s">
        <v>78</v>
      </c>
      <c r="O15" s="105" t="s">
        <v>78</v>
      </c>
      <c r="P15" s="105"/>
      <c r="Q15" s="105" t="s">
        <v>78</v>
      </c>
      <c r="R15" s="105"/>
      <c r="S15" s="105"/>
      <c r="T15" s="105"/>
      <c r="U15" s="105"/>
      <c r="V15" s="105"/>
      <c r="W15" s="105"/>
      <c r="X15" s="105"/>
      <c r="Y15" s="105"/>
    </row>
    <row r="16" spans="1:25" s="99" customFormat="1" ht="26.25" customHeight="1">
      <c r="A16" s="100">
        <v>6</v>
      </c>
      <c r="B16" s="101" t="s">
        <v>11</v>
      </c>
      <c r="C16" s="101" t="s">
        <v>75</v>
      </c>
      <c r="D16" s="101"/>
      <c r="E16" s="101"/>
      <c r="F16" s="101" t="str">
        <f t="shared" si="0"/>
        <v>-</v>
      </c>
      <c r="G16" s="102" t="s">
        <v>82</v>
      </c>
      <c r="H16" s="101"/>
      <c r="I16" s="102" t="s">
        <v>68</v>
      </c>
      <c r="J16" s="103" t="s">
        <v>68</v>
      </c>
      <c r="K16" s="104"/>
      <c r="L16" s="102"/>
      <c r="M16" s="177"/>
      <c r="N16" s="105" t="s">
        <v>78</v>
      </c>
      <c r="O16" s="105" t="s">
        <v>78</v>
      </c>
      <c r="P16" s="105"/>
      <c r="Q16" s="105"/>
      <c r="R16" s="105" t="s">
        <v>78</v>
      </c>
      <c r="S16" s="105"/>
      <c r="T16" s="105"/>
      <c r="U16" s="105"/>
      <c r="V16" s="105"/>
      <c r="W16" s="105"/>
      <c r="X16" s="105"/>
      <c r="Y16" s="105"/>
    </row>
    <row r="17" spans="1:25" s="99" customFormat="1" ht="26.25" customHeight="1">
      <c r="A17" s="100">
        <v>7</v>
      </c>
      <c r="B17" s="101" t="s">
        <v>77</v>
      </c>
      <c r="C17" s="101"/>
      <c r="D17" s="101"/>
      <c r="E17" s="101"/>
      <c r="F17" s="101" t="str">
        <f t="shared" si="0"/>
        <v/>
      </c>
      <c r="G17" s="102"/>
      <c r="H17" s="101"/>
      <c r="I17" s="102"/>
      <c r="J17" s="103"/>
      <c r="K17" s="104"/>
      <c r="L17" s="102"/>
      <c r="M17" s="177"/>
      <c r="N17" s="105"/>
      <c r="O17" s="105"/>
      <c r="P17" s="105"/>
      <c r="Q17" s="105"/>
      <c r="R17" s="105"/>
      <c r="S17" s="105"/>
      <c r="T17" s="105"/>
      <c r="U17" s="105"/>
      <c r="V17" s="105"/>
      <c r="W17" s="105"/>
      <c r="X17" s="105"/>
      <c r="Y17" s="105"/>
    </row>
    <row r="18" spans="1:25" s="99" customFormat="1" ht="26.25" customHeight="1">
      <c r="A18" s="100">
        <v>8</v>
      </c>
      <c r="B18" s="101" t="s">
        <v>77</v>
      </c>
      <c r="C18" s="101"/>
      <c r="D18" s="101"/>
      <c r="E18" s="101"/>
      <c r="F18" s="101" t="str">
        <f t="shared" si="0"/>
        <v/>
      </c>
      <c r="G18" s="102"/>
      <c r="H18" s="101"/>
      <c r="I18" s="102"/>
      <c r="J18" s="103"/>
      <c r="K18" s="104"/>
      <c r="L18" s="102"/>
      <c r="M18" s="177"/>
      <c r="N18" s="105"/>
      <c r="O18" s="105"/>
      <c r="P18" s="105"/>
      <c r="Q18" s="105"/>
      <c r="R18" s="105"/>
      <c r="S18" s="105"/>
      <c r="T18" s="105"/>
      <c r="U18" s="105"/>
      <c r="V18" s="105"/>
      <c r="W18" s="105"/>
      <c r="X18" s="105"/>
      <c r="Y18" s="105"/>
    </row>
    <row r="19" spans="1:25" s="99" customFormat="1" ht="26.25" customHeight="1">
      <c r="A19" s="100">
        <v>658</v>
      </c>
      <c r="B19" s="101" t="s">
        <v>11</v>
      </c>
      <c r="C19" s="105" t="s">
        <v>45</v>
      </c>
      <c r="D19" s="105" t="s">
        <v>43</v>
      </c>
      <c r="E19" s="105" t="s">
        <v>44</v>
      </c>
      <c r="F19" s="101" t="str">
        <f t="shared" ref="F19:F23" si="1">IF(B19&lt;&gt;"","-","")</f>
        <v>-</v>
      </c>
      <c r="G19" s="106" t="s">
        <v>86</v>
      </c>
      <c r="H19" s="105"/>
      <c r="I19" s="106" t="s">
        <v>87</v>
      </c>
      <c r="J19" s="107" t="s">
        <v>88</v>
      </c>
      <c r="K19" s="108"/>
      <c r="L19" s="106"/>
      <c r="M19" s="110"/>
      <c r="N19" s="105" t="s">
        <v>78</v>
      </c>
      <c r="O19" s="105" t="str">
        <f t="shared" ref="O19:O23" si="2">IF(OR(R19&lt;&gt;"",Q19&lt;&gt;""),"X","")</f>
        <v/>
      </c>
      <c r="P19" s="105"/>
      <c r="Q19" s="105" t="s">
        <v>77</v>
      </c>
      <c r="R19" s="105" t="s">
        <v>77</v>
      </c>
      <c r="S19" s="105"/>
      <c r="T19" s="105"/>
      <c r="U19" s="105"/>
      <c r="V19" s="105"/>
      <c r="W19" s="105"/>
      <c r="X19" s="105" t="s">
        <v>80</v>
      </c>
      <c r="Y19" s="105"/>
    </row>
    <row r="20" spans="1:25" s="99" customFormat="1" ht="26.25" customHeight="1">
      <c r="A20" s="100">
        <v>3759</v>
      </c>
      <c r="B20" s="101" t="s">
        <v>11</v>
      </c>
      <c r="C20" s="105" t="s">
        <v>49</v>
      </c>
      <c r="D20" s="105" t="s">
        <v>47</v>
      </c>
      <c r="E20" s="105" t="s">
        <v>44</v>
      </c>
      <c r="F20" s="101" t="str">
        <f t="shared" si="1"/>
        <v>-</v>
      </c>
      <c r="G20" s="106" t="s">
        <v>50</v>
      </c>
      <c r="H20" s="105"/>
      <c r="I20" s="106" t="s">
        <v>48</v>
      </c>
      <c r="J20" s="107" t="s">
        <v>51</v>
      </c>
      <c r="K20" s="108"/>
      <c r="L20" s="106"/>
      <c r="M20" s="110"/>
      <c r="N20" s="105" t="s">
        <v>78</v>
      </c>
      <c r="O20" s="105" t="str">
        <f t="shared" si="2"/>
        <v/>
      </c>
      <c r="P20" s="105"/>
      <c r="Q20" s="105" t="s">
        <v>77</v>
      </c>
      <c r="R20" s="105" t="s">
        <v>77</v>
      </c>
      <c r="S20" s="105"/>
      <c r="T20" s="105"/>
      <c r="U20" s="105"/>
      <c r="V20" s="105"/>
      <c r="W20" s="105" t="s">
        <v>80</v>
      </c>
      <c r="X20" s="105"/>
      <c r="Y20" s="105"/>
    </row>
    <row r="21" spans="1:25" s="99" customFormat="1" ht="26.25" customHeight="1">
      <c r="A21" s="100">
        <v>3762</v>
      </c>
      <c r="B21" s="101" t="s">
        <v>11</v>
      </c>
      <c r="C21" s="105" t="s">
        <v>52</v>
      </c>
      <c r="D21" s="105" t="s">
        <v>47</v>
      </c>
      <c r="E21" s="105" t="s">
        <v>44</v>
      </c>
      <c r="F21" s="101" t="str">
        <f t="shared" si="1"/>
        <v>-</v>
      </c>
      <c r="G21" s="106" t="s">
        <v>53</v>
      </c>
      <c r="H21" s="105"/>
      <c r="I21" s="106" t="s">
        <v>48</v>
      </c>
      <c r="J21" s="107" t="s">
        <v>54</v>
      </c>
      <c r="K21" s="108"/>
      <c r="L21" s="106"/>
      <c r="M21" s="110"/>
      <c r="N21" s="105" t="s">
        <v>78</v>
      </c>
      <c r="O21" s="105" t="str">
        <f t="shared" si="2"/>
        <v/>
      </c>
      <c r="P21" s="105"/>
      <c r="Q21" s="105" t="s">
        <v>77</v>
      </c>
      <c r="R21" s="105" t="s">
        <v>77</v>
      </c>
      <c r="S21" s="105"/>
      <c r="T21" s="105"/>
      <c r="U21" s="105"/>
      <c r="V21" s="105"/>
      <c r="W21" s="105" t="s">
        <v>80</v>
      </c>
      <c r="X21" s="105"/>
      <c r="Y21" s="105"/>
    </row>
    <row r="22" spans="1:25" s="99" customFormat="1" ht="26.25" customHeight="1">
      <c r="A22" s="100">
        <v>3763</v>
      </c>
      <c r="B22" s="101" t="s">
        <v>11</v>
      </c>
      <c r="C22" s="105" t="s">
        <v>52</v>
      </c>
      <c r="D22" s="105" t="s">
        <v>94</v>
      </c>
      <c r="E22" s="105" t="s">
        <v>44</v>
      </c>
      <c r="F22" s="101" t="str">
        <f t="shared" ref="F22:F85" si="3">IF(B22&lt;&gt;"","-","")</f>
        <v>-</v>
      </c>
      <c r="G22" s="106" t="s">
        <v>53</v>
      </c>
      <c r="H22" s="105"/>
      <c r="I22" s="106" t="s">
        <v>95</v>
      </c>
      <c r="J22" s="107" t="s">
        <v>54</v>
      </c>
      <c r="K22" s="108"/>
      <c r="L22" s="106"/>
      <c r="M22" s="110"/>
      <c r="N22" s="105" t="s">
        <v>78</v>
      </c>
      <c r="O22" s="105" t="str">
        <f t="shared" ref="O22:O85" si="4">IF(OR(R22&lt;&gt;"",Q22&lt;&gt;""),"X","")</f>
        <v/>
      </c>
      <c r="P22" s="105"/>
      <c r="Q22" s="105" t="s">
        <v>77</v>
      </c>
      <c r="R22" s="105" t="s">
        <v>77</v>
      </c>
      <c r="S22" s="105"/>
      <c r="T22" s="105"/>
      <c r="U22" s="105"/>
      <c r="V22" s="105"/>
      <c r="W22" s="105" t="s">
        <v>80</v>
      </c>
      <c r="X22" s="105"/>
      <c r="Y22" s="105"/>
    </row>
    <row r="23" spans="1:25" s="99" customFormat="1" ht="26.25" customHeight="1">
      <c r="A23" s="100">
        <v>3764</v>
      </c>
      <c r="B23" s="101" t="s">
        <v>11</v>
      </c>
      <c r="C23" s="105" t="s">
        <v>52</v>
      </c>
      <c r="D23" s="105" t="s">
        <v>96</v>
      </c>
      <c r="E23" s="105" t="s">
        <v>44</v>
      </c>
      <c r="F23" s="101" t="str">
        <f t="shared" si="3"/>
        <v>-</v>
      </c>
      <c r="G23" s="106" t="s">
        <v>53</v>
      </c>
      <c r="H23" s="105"/>
      <c r="I23" s="106" t="s">
        <v>85</v>
      </c>
      <c r="J23" s="107" t="s">
        <v>54</v>
      </c>
      <c r="K23" s="108"/>
      <c r="L23" s="106"/>
      <c r="M23" s="110"/>
      <c r="N23" s="105" t="s">
        <v>78</v>
      </c>
      <c r="O23" s="105" t="str">
        <f t="shared" si="4"/>
        <v/>
      </c>
      <c r="P23" s="105"/>
      <c r="Q23" s="105" t="s">
        <v>77</v>
      </c>
      <c r="R23" s="105" t="s">
        <v>77</v>
      </c>
      <c r="S23" s="105"/>
      <c r="T23" s="105"/>
      <c r="U23" s="105"/>
      <c r="V23" s="105"/>
      <c r="W23" s="105" t="s">
        <v>80</v>
      </c>
      <c r="X23" s="105"/>
      <c r="Y23" s="105"/>
    </row>
    <row r="24" spans="1:25" s="99" customFormat="1" ht="26.25" customHeight="1">
      <c r="A24" s="100">
        <v>3765</v>
      </c>
      <c r="B24" s="101" t="s">
        <v>11</v>
      </c>
      <c r="C24" s="105" t="s">
        <v>52</v>
      </c>
      <c r="D24" s="105" t="s">
        <v>97</v>
      </c>
      <c r="E24" s="105" t="s">
        <v>44</v>
      </c>
      <c r="F24" s="101" t="str">
        <f t="shared" si="3"/>
        <v>-</v>
      </c>
      <c r="G24" s="106" t="s">
        <v>53</v>
      </c>
      <c r="H24" s="105"/>
      <c r="I24" s="106" t="s">
        <v>98</v>
      </c>
      <c r="J24" s="107" t="s">
        <v>54</v>
      </c>
      <c r="K24" s="108"/>
      <c r="L24" s="106"/>
      <c r="M24" s="110"/>
      <c r="N24" s="105" t="s">
        <v>78</v>
      </c>
      <c r="O24" s="105" t="str">
        <f t="shared" si="4"/>
        <v/>
      </c>
      <c r="P24" s="105"/>
      <c r="Q24" s="105" t="s">
        <v>77</v>
      </c>
      <c r="R24" s="105" t="s">
        <v>77</v>
      </c>
      <c r="S24" s="105"/>
      <c r="T24" s="105"/>
      <c r="U24" s="105"/>
      <c r="V24" s="105"/>
      <c r="W24" s="105" t="s">
        <v>80</v>
      </c>
      <c r="X24" s="105"/>
      <c r="Y24" s="105"/>
    </row>
    <row r="25" spans="1:25" s="99" customFormat="1" ht="26.25" customHeight="1">
      <c r="A25" s="100">
        <v>3766</v>
      </c>
      <c r="B25" s="101" t="s">
        <v>11</v>
      </c>
      <c r="C25" s="105" t="s">
        <v>52</v>
      </c>
      <c r="D25" s="105" t="s">
        <v>99</v>
      </c>
      <c r="E25" s="105" t="s">
        <v>44</v>
      </c>
      <c r="F25" s="101" t="str">
        <f t="shared" si="3"/>
        <v>-</v>
      </c>
      <c r="G25" s="106" t="s">
        <v>53</v>
      </c>
      <c r="H25" s="105"/>
      <c r="I25" s="106" t="s">
        <v>100</v>
      </c>
      <c r="J25" s="107" t="s">
        <v>54</v>
      </c>
      <c r="K25" s="108"/>
      <c r="L25" s="106"/>
      <c r="M25" s="110"/>
      <c r="N25" s="105" t="s">
        <v>78</v>
      </c>
      <c r="O25" s="105" t="str">
        <f t="shared" si="4"/>
        <v/>
      </c>
      <c r="P25" s="105"/>
      <c r="Q25" s="105" t="s">
        <v>77</v>
      </c>
      <c r="R25" s="105" t="s">
        <v>77</v>
      </c>
      <c r="S25" s="105"/>
      <c r="T25" s="105"/>
      <c r="U25" s="105"/>
      <c r="V25" s="105"/>
      <c r="W25" s="105" t="s">
        <v>80</v>
      </c>
      <c r="X25" s="105"/>
      <c r="Y25" s="105"/>
    </row>
    <row r="26" spans="1:25" s="99" customFormat="1" ht="26.25" customHeight="1">
      <c r="A26" s="100">
        <v>3767</v>
      </c>
      <c r="B26" s="101" t="s">
        <v>11</v>
      </c>
      <c r="C26" s="105" t="s">
        <v>52</v>
      </c>
      <c r="D26" s="105" t="s">
        <v>101</v>
      </c>
      <c r="E26" s="105" t="s">
        <v>44</v>
      </c>
      <c r="F26" s="101" t="str">
        <f t="shared" si="3"/>
        <v>-</v>
      </c>
      <c r="G26" s="106" t="s">
        <v>53</v>
      </c>
      <c r="H26" s="105"/>
      <c r="I26" s="106" t="s">
        <v>102</v>
      </c>
      <c r="J26" s="107" t="s">
        <v>54</v>
      </c>
      <c r="K26" s="108"/>
      <c r="L26" s="106"/>
      <c r="M26" s="110"/>
      <c r="N26" s="105" t="s">
        <v>78</v>
      </c>
      <c r="O26" s="105" t="str">
        <f t="shared" si="4"/>
        <v/>
      </c>
      <c r="P26" s="105"/>
      <c r="Q26" s="105" t="s">
        <v>77</v>
      </c>
      <c r="R26" s="105" t="s">
        <v>77</v>
      </c>
      <c r="S26" s="105"/>
      <c r="T26" s="105"/>
      <c r="U26" s="105"/>
      <c r="V26" s="105"/>
      <c r="W26" s="105" t="s">
        <v>80</v>
      </c>
      <c r="X26" s="105"/>
      <c r="Y26" s="105"/>
    </row>
    <row r="27" spans="1:25" s="99" customFormat="1" ht="26.25" customHeight="1">
      <c r="A27" s="100">
        <v>3768</v>
      </c>
      <c r="B27" s="101" t="s">
        <v>11</v>
      </c>
      <c r="C27" s="105" t="s">
        <v>52</v>
      </c>
      <c r="D27" s="105" t="s">
        <v>103</v>
      </c>
      <c r="E27" s="105" t="s">
        <v>44</v>
      </c>
      <c r="F27" s="101" t="str">
        <f t="shared" si="3"/>
        <v>-</v>
      </c>
      <c r="G27" s="106" t="s">
        <v>53</v>
      </c>
      <c r="H27" s="105"/>
      <c r="I27" s="106" t="s">
        <v>104</v>
      </c>
      <c r="J27" s="107" t="s">
        <v>54</v>
      </c>
      <c r="K27" s="108"/>
      <c r="L27" s="106"/>
      <c r="M27" s="110"/>
      <c r="N27" s="105" t="s">
        <v>78</v>
      </c>
      <c r="O27" s="105" t="str">
        <f t="shared" si="4"/>
        <v/>
      </c>
      <c r="P27" s="105"/>
      <c r="Q27" s="105" t="s">
        <v>77</v>
      </c>
      <c r="R27" s="105" t="s">
        <v>77</v>
      </c>
      <c r="S27" s="105"/>
      <c r="T27" s="105"/>
      <c r="U27" s="105"/>
      <c r="V27" s="105"/>
      <c r="W27" s="105" t="s">
        <v>80</v>
      </c>
      <c r="X27" s="105"/>
      <c r="Y27" s="105"/>
    </row>
    <row r="28" spans="1:25" s="99" customFormat="1" ht="26.25" customHeight="1">
      <c r="A28" s="100">
        <v>3769</v>
      </c>
      <c r="B28" s="101" t="s">
        <v>11</v>
      </c>
      <c r="C28" s="105" t="s">
        <v>52</v>
      </c>
      <c r="D28" s="105" t="s">
        <v>105</v>
      </c>
      <c r="E28" s="105" t="s">
        <v>44</v>
      </c>
      <c r="F28" s="101" t="str">
        <f t="shared" si="3"/>
        <v>-</v>
      </c>
      <c r="G28" s="106" t="s">
        <v>53</v>
      </c>
      <c r="H28" s="105"/>
      <c r="I28" s="106" t="s">
        <v>106</v>
      </c>
      <c r="J28" s="107" t="s">
        <v>54</v>
      </c>
      <c r="K28" s="108"/>
      <c r="L28" s="106"/>
      <c r="M28" s="110"/>
      <c r="N28" s="105" t="s">
        <v>78</v>
      </c>
      <c r="O28" s="105" t="str">
        <f t="shared" si="4"/>
        <v/>
      </c>
      <c r="P28" s="105"/>
      <c r="Q28" s="105" t="s">
        <v>77</v>
      </c>
      <c r="R28" s="105" t="s">
        <v>77</v>
      </c>
      <c r="S28" s="105"/>
      <c r="T28" s="105"/>
      <c r="U28" s="105"/>
      <c r="V28" s="105"/>
      <c r="W28" s="105" t="s">
        <v>80</v>
      </c>
      <c r="X28" s="105"/>
      <c r="Y28" s="105"/>
    </row>
    <row r="29" spans="1:25" s="99" customFormat="1" ht="26.25" customHeight="1">
      <c r="A29" s="100">
        <v>3770</v>
      </c>
      <c r="B29" s="101" t="s">
        <v>11</v>
      </c>
      <c r="C29" s="105" t="s">
        <v>52</v>
      </c>
      <c r="D29" s="105" t="s">
        <v>107</v>
      </c>
      <c r="E29" s="105" t="s">
        <v>44</v>
      </c>
      <c r="F29" s="101" t="str">
        <f t="shared" si="3"/>
        <v>-</v>
      </c>
      <c r="G29" s="106" t="s">
        <v>53</v>
      </c>
      <c r="H29" s="105"/>
      <c r="I29" s="106" t="s">
        <v>108</v>
      </c>
      <c r="J29" s="107" t="s">
        <v>54</v>
      </c>
      <c r="K29" s="108"/>
      <c r="L29" s="106"/>
      <c r="M29" s="110"/>
      <c r="N29" s="105" t="s">
        <v>78</v>
      </c>
      <c r="O29" s="105" t="str">
        <f t="shared" si="4"/>
        <v/>
      </c>
      <c r="P29" s="105"/>
      <c r="Q29" s="105" t="s">
        <v>77</v>
      </c>
      <c r="R29" s="105" t="s">
        <v>77</v>
      </c>
      <c r="S29" s="105"/>
      <c r="T29" s="105"/>
      <c r="U29" s="105"/>
      <c r="V29" s="105"/>
      <c r="W29" s="105" t="s">
        <v>80</v>
      </c>
      <c r="X29" s="105"/>
      <c r="Y29" s="105"/>
    </row>
    <row r="30" spans="1:25" s="99" customFormat="1" ht="26.25" customHeight="1">
      <c r="A30" s="100">
        <v>3771</v>
      </c>
      <c r="B30" s="101" t="s">
        <v>11</v>
      </c>
      <c r="C30" s="105" t="s">
        <v>52</v>
      </c>
      <c r="D30" s="105" t="s">
        <v>109</v>
      </c>
      <c r="E30" s="105" t="s">
        <v>44</v>
      </c>
      <c r="F30" s="101" t="str">
        <f t="shared" si="3"/>
        <v>-</v>
      </c>
      <c r="G30" s="106" t="s">
        <v>53</v>
      </c>
      <c r="H30" s="105"/>
      <c r="I30" s="106" t="s">
        <v>110</v>
      </c>
      <c r="J30" s="107" t="s">
        <v>54</v>
      </c>
      <c r="K30" s="108"/>
      <c r="L30" s="106"/>
      <c r="M30" s="110"/>
      <c r="N30" s="105" t="s">
        <v>78</v>
      </c>
      <c r="O30" s="105" t="str">
        <f t="shared" si="4"/>
        <v/>
      </c>
      <c r="P30" s="105"/>
      <c r="Q30" s="105" t="s">
        <v>77</v>
      </c>
      <c r="R30" s="105" t="s">
        <v>77</v>
      </c>
      <c r="S30" s="105"/>
      <c r="T30" s="105"/>
      <c r="U30" s="105"/>
      <c r="V30" s="105"/>
      <c r="W30" s="105" t="s">
        <v>80</v>
      </c>
      <c r="X30" s="105"/>
      <c r="Y30" s="105"/>
    </row>
    <row r="31" spans="1:25" s="99" customFormat="1" ht="26.25" customHeight="1">
      <c r="A31" s="100">
        <v>3772</v>
      </c>
      <c r="B31" s="101" t="s">
        <v>11</v>
      </c>
      <c r="C31" s="105" t="s">
        <v>52</v>
      </c>
      <c r="D31" s="105" t="s">
        <v>111</v>
      </c>
      <c r="E31" s="105" t="s">
        <v>44</v>
      </c>
      <c r="F31" s="101" t="str">
        <f t="shared" si="3"/>
        <v>-</v>
      </c>
      <c r="G31" s="106" t="s">
        <v>53</v>
      </c>
      <c r="H31" s="105"/>
      <c r="I31" s="106" t="s">
        <v>112</v>
      </c>
      <c r="J31" s="107" t="s">
        <v>54</v>
      </c>
      <c r="K31" s="108"/>
      <c r="L31" s="106"/>
      <c r="M31" s="110"/>
      <c r="N31" s="105" t="s">
        <v>78</v>
      </c>
      <c r="O31" s="105" t="str">
        <f t="shared" si="4"/>
        <v/>
      </c>
      <c r="P31" s="105"/>
      <c r="Q31" s="105" t="s">
        <v>77</v>
      </c>
      <c r="R31" s="105" t="s">
        <v>77</v>
      </c>
      <c r="S31" s="105"/>
      <c r="T31" s="105"/>
      <c r="U31" s="105"/>
      <c r="V31" s="105"/>
      <c r="W31" s="105" t="s">
        <v>80</v>
      </c>
      <c r="X31" s="105"/>
      <c r="Y31" s="105"/>
    </row>
    <row r="32" spans="1:25" s="99" customFormat="1" ht="26.25" customHeight="1">
      <c r="A32" s="100">
        <v>3773</v>
      </c>
      <c r="B32" s="101" t="s">
        <v>11</v>
      </c>
      <c r="C32" s="105" t="s">
        <v>52</v>
      </c>
      <c r="D32" s="105" t="s">
        <v>113</v>
      </c>
      <c r="E32" s="105" t="s">
        <v>44</v>
      </c>
      <c r="F32" s="101" t="str">
        <f t="shared" si="3"/>
        <v>-</v>
      </c>
      <c r="G32" s="106" t="s">
        <v>53</v>
      </c>
      <c r="H32" s="105"/>
      <c r="I32" s="106" t="s">
        <v>114</v>
      </c>
      <c r="J32" s="107" t="s">
        <v>54</v>
      </c>
      <c r="K32" s="108"/>
      <c r="L32" s="106"/>
      <c r="M32" s="110"/>
      <c r="N32" s="105" t="s">
        <v>78</v>
      </c>
      <c r="O32" s="105" t="str">
        <f t="shared" si="4"/>
        <v/>
      </c>
      <c r="P32" s="105"/>
      <c r="Q32" s="105" t="s">
        <v>77</v>
      </c>
      <c r="R32" s="105" t="s">
        <v>77</v>
      </c>
      <c r="S32" s="105"/>
      <c r="T32" s="105"/>
      <c r="U32" s="105"/>
      <c r="V32" s="105"/>
      <c r="W32" s="105" t="s">
        <v>80</v>
      </c>
      <c r="X32" s="105"/>
      <c r="Y32" s="105"/>
    </row>
    <row r="33" spans="1:25" s="99" customFormat="1" ht="26.25" customHeight="1">
      <c r="A33" s="100">
        <v>3774</v>
      </c>
      <c r="B33" s="101" t="s">
        <v>11</v>
      </c>
      <c r="C33" s="105" t="s">
        <v>52</v>
      </c>
      <c r="D33" s="105" t="s">
        <v>115</v>
      </c>
      <c r="E33" s="105" t="s">
        <v>44</v>
      </c>
      <c r="F33" s="101" t="str">
        <f t="shared" si="3"/>
        <v>-</v>
      </c>
      <c r="G33" s="106" t="s">
        <v>53</v>
      </c>
      <c r="H33" s="105"/>
      <c r="I33" s="106" t="s">
        <v>116</v>
      </c>
      <c r="J33" s="107" t="s">
        <v>54</v>
      </c>
      <c r="K33" s="108"/>
      <c r="L33" s="106"/>
      <c r="M33" s="110"/>
      <c r="N33" s="105" t="s">
        <v>78</v>
      </c>
      <c r="O33" s="105" t="str">
        <f t="shared" si="4"/>
        <v/>
      </c>
      <c r="P33" s="105"/>
      <c r="Q33" s="105" t="s">
        <v>77</v>
      </c>
      <c r="R33" s="105" t="s">
        <v>77</v>
      </c>
      <c r="S33" s="105"/>
      <c r="T33" s="105"/>
      <c r="U33" s="105"/>
      <c r="V33" s="105"/>
      <c r="W33" s="105" t="s">
        <v>80</v>
      </c>
      <c r="X33" s="105"/>
      <c r="Y33" s="105"/>
    </row>
    <row r="34" spans="1:25" s="99" customFormat="1" ht="26.25" customHeight="1">
      <c r="A34" s="100">
        <v>3775</v>
      </c>
      <c r="B34" s="101" t="s">
        <v>11</v>
      </c>
      <c r="C34" s="105" t="s">
        <v>52</v>
      </c>
      <c r="D34" s="105" t="s">
        <v>117</v>
      </c>
      <c r="E34" s="105" t="s">
        <v>44</v>
      </c>
      <c r="F34" s="101" t="str">
        <f t="shared" si="3"/>
        <v>-</v>
      </c>
      <c r="G34" s="106" t="s">
        <v>53</v>
      </c>
      <c r="H34" s="105"/>
      <c r="I34" s="106" t="s">
        <v>118</v>
      </c>
      <c r="J34" s="107" t="s">
        <v>54</v>
      </c>
      <c r="K34" s="108"/>
      <c r="L34" s="106"/>
      <c r="M34" s="110"/>
      <c r="N34" s="105" t="s">
        <v>78</v>
      </c>
      <c r="O34" s="105" t="str">
        <f t="shared" si="4"/>
        <v/>
      </c>
      <c r="P34" s="105"/>
      <c r="Q34" s="105" t="s">
        <v>77</v>
      </c>
      <c r="R34" s="105" t="s">
        <v>77</v>
      </c>
      <c r="S34" s="105"/>
      <c r="T34" s="105"/>
      <c r="U34" s="105"/>
      <c r="V34" s="105"/>
      <c r="W34" s="105" t="s">
        <v>80</v>
      </c>
      <c r="X34" s="105"/>
      <c r="Y34" s="105"/>
    </row>
    <row r="35" spans="1:25" s="99" customFormat="1" ht="26.25" customHeight="1">
      <c r="A35" s="100">
        <v>3776</v>
      </c>
      <c r="B35" s="101" t="s">
        <v>11</v>
      </c>
      <c r="C35" s="105" t="s">
        <v>52</v>
      </c>
      <c r="D35" s="105" t="s">
        <v>119</v>
      </c>
      <c r="E35" s="105" t="s">
        <v>44</v>
      </c>
      <c r="F35" s="101" t="str">
        <f t="shared" si="3"/>
        <v>-</v>
      </c>
      <c r="G35" s="106" t="s">
        <v>53</v>
      </c>
      <c r="H35" s="105"/>
      <c r="I35" s="106" t="s">
        <v>120</v>
      </c>
      <c r="J35" s="107" t="s">
        <v>54</v>
      </c>
      <c r="K35" s="108"/>
      <c r="L35" s="106"/>
      <c r="M35" s="110"/>
      <c r="N35" s="105" t="s">
        <v>78</v>
      </c>
      <c r="O35" s="105" t="str">
        <f t="shared" si="4"/>
        <v/>
      </c>
      <c r="P35" s="105"/>
      <c r="Q35" s="105" t="s">
        <v>77</v>
      </c>
      <c r="R35" s="105" t="s">
        <v>77</v>
      </c>
      <c r="S35" s="105"/>
      <c r="T35" s="105"/>
      <c r="U35" s="105"/>
      <c r="V35" s="105"/>
      <c r="W35" s="105" t="s">
        <v>80</v>
      </c>
      <c r="X35" s="105"/>
      <c r="Y35" s="105"/>
    </row>
    <row r="36" spans="1:25" s="99" customFormat="1" ht="26.25" customHeight="1">
      <c r="A36" s="100">
        <v>3777</v>
      </c>
      <c r="B36" s="101" t="s">
        <v>11</v>
      </c>
      <c r="C36" s="105" t="s">
        <v>52</v>
      </c>
      <c r="D36" s="105" t="s">
        <v>121</v>
      </c>
      <c r="E36" s="105" t="s">
        <v>44</v>
      </c>
      <c r="F36" s="101" t="str">
        <f t="shared" si="3"/>
        <v>-</v>
      </c>
      <c r="G36" s="106" t="s">
        <v>53</v>
      </c>
      <c r="H36" s="105"/>
      <c r="I36" s="106" t="s">
        <v>122</v>
      </c>
      <c r="J36" s="107" t="s">
        <v>54</v>
      </c>
      <c r="K36" s="108"/>
      <c r="L36" s="106"/>
      <c r="M36" s="110"/>
      <c r="N36" s="105" t="s">
        <v>78</v>
      </c>
      <c r="O36" s="105" t="str">
        <f t="shared" si="4"/>
        <v/>
      </c>
      <c r="P36" s="105"/>
      <c r="Q36" s="105" t="s">
        <v>77</v>
      </c>
      <c r="R36" s="105" t="s">
        <v>77</v>
      </c>
      <c r="S36" s="105"/>
      <c r="T36" s="105"/>
      <c r="U36" s="105"/>
      <c r="V36" s="105"/>
      <c r="W36" s="105" t="s">
        <v>80</v>
      </c>
      <c r="X36" s="105"/>
      <c r="Y36" s="105"/>
    </row>
    <row r="37" spans="1:25" s="99" customFormat="1" ht="26.25" customHeight="1">
      <c r="A37" s="100">
        <v>3778</v>
      </c>
      <c r="B37" s="101" t="s">
        <v>11</v>
      </c>
      <c r="C37" s="105" t="s">
        <v>52</v>
      </c>
      <c r="D37" s="105" t="s">
        <v>123</v>
      </c>
      <c r="E37" s="105" t="s">
        <v>44</v>
      </c>
      <c r="F37" s="101" t="str">
        <f t="shared" si="3"/>
        <v>-</v>
      </c>
      <c r="G37" s="106" t="s">
        <v>53</v>
      </c>
      <c r="H37" s="105"/>
      <c r="I37" s="106" t="s">
        <v>124</v>
      </c>
      <c r="J37" s="107" t="s">
        <v>54</v>
      </c>
      <c r="K37" s="108"/>
      <c r="L37" s="106"/>
      <c r="M37" s="110"/>
      <c r="N37" s="105" t="s">
        <v>78</v>
      </c>
      <c r="O37" s="105" t="str">
        <f t="shared" si="4"/>
        <v/>
      </c>
      <c r="P37" s="105"/>
      <c r="Q37" s="105" t="s">
        <v>77</v>
      </c>
      <c r="R37" s="105" t="s">
        <v>77</v>
      </c>
      <c r="S37" s="105"/>
      <c r="T37" s="105"/>
      <c r="U37" s="105"/>
      <c r="V37" s="105"/>
      <c r="W37" s="105" t="s">
        <v>80</v>
      </c>
      <c r="X37" s="105"/>
      <c r="Y37" s="105"/>
    </row>
    <row r="38" spans="1:25" s="99" customFormat="1" ht="26.25" customHeight="1">
      <c r="A38" s="100">
        <v>3779</v>
      </c>
      <c r="B38" s="101" t="s">
        <v>11</v>
      </c>
      <c r="C38" s="105" t="s">
        <v>52</v>
      </c>
      <c r="D38" s="105" t="s">
        <v>125</v>
      </c>
      <c r="E38" s="105" t="s">
        <v>44</v>
      </c>
      <c r="F38" s="101" t="str">
        <f t="shared" si="3"/>
        <v>-</v>
      </c>
      <c r="G38" s="106" t="s">
        <v>53</v>
      </c>
      <c r="H38" s="105"/>
      <c r="I38" s="106" t="s">
        <v>126</v>
      </c>
      <c r="J38" s="107" t="s">
        <v>54</v>
      </c>
      <c r="K38" s="108"/>
      <c r="L38" s="106"/>
      <c r="M38" s="110"/>
      <c r="N38" s="105" t="s">
        <v>78</v>
      </c>
      <c r="O38" s="105" t="str">
        <f t="shared" si="4"/>
        <v/>
      </c>
      <c r="P38" s="105"/>
      <c r="Q38" s="105" t="s">
        <v>77</v>
      </c>
      <c r="R38" s="105" t="s">
        <v>77</v>
      </c>
      <c r="S38" s="105"/>
      <c r="T38" s="105"/>
      <c r="U38" s="105"/>
      <c r="V38" s="105"/>
      <c r="W38" s="105" t="s">
        <v>80</v>
      </c>
      <c r="X38" s="105"/>
      <c r="Y38" s="105"/>
    </row>
    <row r="39" spans="1:25" s="99" customFormat="1" ht="26.25" customHeight="1">
      <c r="A39" s="100">
        <v>3780</v>
      </c>
      <c r="B39" s="101" t="s">
        <v>11</v>
      </c>
      <c r="C39" s="105" t="s">
        <v>52</v>
      </c>
      <c r="D39" s="105" t="s">
        <v>127</v>
      </c>
      <c r="E39" s="105" t="s">
        <v>44</v>
      </c>
      <c r="F39" s="101" t="str">
        <f t="shared" si="3"/>
        <v>-</v>
      </c>
      <c r="G39" s="106" t="s">
        <v>53</v>
      </c>
      <c r="H39" s="105"/>
      <c r="I39" s="106" t="s">
        <v>128</v>
      </c>
      <c r="J39" s="107" t="s">
        <v>54</v>
      </c>
      <c r="K39" s="108"/>
      <c r="L39" s="106"/>
      <c r="M39" s="110"/>
      <c r="N39" s="105" t="s">
        <v>78</v>
      </c>
      <c r="O39" s="105" t="str">
        <f t="shared" si="4"/>
        <v/>
      </c>
      <c r="P39" s="105"/>
      <c r="Q39" s="105" t="s">
        <v>77</v>
      </c>
      <c r="R39" s="105" t="s">
        <v>77</v>
      </c>
      <c r="S39" s="105"/>
      <c r="T39" s="105"/>
      <c r="U39" s="105"/>
      <c r="V39" s="105"/>
      <c r="W39" s="105" t="s">
        <v>80</v>
      </c>
      <c r="X39" s="105"/>
      <c r="Y39" s="105"/>
    </row>
    <row r="40" spans="1:25" s="99" customFormat="1" ht="26.25" customHeight="1">
      <c r="A40" s="100">
        <v>3781</v>
      </c>
      <c r="B40" s="101" t="s">
        <v>11</v>
      </c>
      <c r="C40" s="105" t="s">
        <v>52</v>
      </c>
      <c r="D40" s="105" t="s">
        <v>129</v>
      </c>
      <c r="E40" s="105" t="s">
        <v>44</v>
      </c>
      <c r="F40" s="101" t="str">
        <f t="shared" si="3"/>
        <v>-</v>
      </c>
      <c r="G40" s="106" t="s">
        <v>53</v>
      </c>
      <c r="H40" s="105"/>
      <c r="I40" s="106" t="s">
        <v>130</v>
      </c>
      <c r="J40" s="107" t="s">
        <v>54</v>
      </c>
      <c r="K40" s="108"/>
      <c r="L40" s="106"/>
      <c r="M40" s="110"/>
      <c r="N40" s="105" t="s">
        <v>78</v>
      </c>
      <c r="O40" s="105" t="str">
        <f t="shared" si="4"/>
        <v/>
      </c>
      <c r="P40" s="105"/>
      <c r="Q40" s="105" t="s">
        <v>77</v>
      </c>
      <c r="R40" s="105" t="s">
        <v>77</v>
      </c>
      <c r="S40" s="105"/>
      <c r="T40" s="105"/>
      <c r="U40" s="105"/>
      <c r="V40" s="105"/>
      <c r="W40" s="105" t="s">
        <v>80</v>
      </c>
      <c r="X40" s="105"/>
      <c r="Y40" s="105"/>
    </row>
    <row r="41" spans="1:25" s="99" customFormat="1" ht="26.25" customHeight="1">
      <c r="A41" s="100">
        <v>3782</v>
      </c>
      <c r="B41" s="101" t="s">
        <v>11</v>
      </c>
      <c r="C41" s="105" t="s">
        <v>52</v>
      </c>
      <c r="D41" s="105" t="s">
        <v>131</v>
      </c>
      <c r="E41" s="105" t="s">
        <v>44</v>
      </c>
      <c r="F41" s="101" t="str">
        <f t="shared" si="3"/>
        <v>-</v>
      </c>
      <c r="G41" s="106" t="s">
        <v>53</v>
      </c>
      <c r="H41" s="105"/>
      <c r="I41" s="106" t="s">
        <v>132</v>
      </c>
      <c r="J41" s="107" t="s">
        <v>54</v>
      </c>
      <c r="K41" s="108"/>
      <c r="L41" s="106"/>
      <c r="M41" s="110"/>
      <c r="N41" s="105" t="s">
        <v>78</v>
      </c>
      <c r="O41" s="105" t="str">
        <f t="shared" si="4"/>
        <v/>
      </c>
      <c r="P41" s="105"/>
      <c r="Q41" s="105" t="s">
        <v>77</v>
      </c>
      <c r="R41" s="105" t="s">
        <v>77</v>
      </c>
      <c r="S41" s="105"/>
      <c r="T41" s="105"/>
      <c r="U41" s="105"/>
      <c r="V41" s="105"/>
      <c r="W41" s="105" t="s">
        <v>80</v>
      </c>
      <c r="X41" s="105"/>
      <c r="Y41" s="105"/>
    </row>
    <row r="42" spans="1:25" s="99" customFormat="1" ht="26.25" customHeight="1">
      <c r="A42" s="100">
        <v>3783</v>
      </c>
      <c r="B42" s="101" t="s">
        <v>11</v>
      </c>
      <c r="C42" s="105" t="s">
        <v>52</v>
      </c>
      <c r="D42" s="105" t="s">
        <v>133</v>
      </c>
      <c r="E42" s="105" t="s">
        <v>44</v>
      </c>
      <c r="F42" s="101" t="str">
        <f t="shared" si="3"/>
        <v>-</v>
      </c>
      <c r="G42" s="106" t="s">
        <v>53</v>
      </c>
      <c r="H42" s="105"/>
      <c r="I42" s="106" t="s">
        <v>134</v>
      </c>
      <c r="J42" s="107" t="s">
        <v>54</v>
      </c>
      <c r="K42" s="108"/>
      <c r="L42" s="106"/>
      <c r="M42" s="110"/>
      <c r="N42" s="105" t="s">
        <v>78</v>
      </c>
      <c r="O42" s="105" t="str">
        <f t="shared" si="4"/>
        <v/>
      </c>
      <c r="P42" s="105"/>
      <c r="Q42" s="105" t="s">
        <v>77</v>
      </c>
      <c r="R42" s="105" t="s">
        <v>77</v>
      </c>
      <c r="S42" s="105"/>
      <c r="T42" s="105"/>
      <c r="U42" s="105"/>
      <c r="V42" s="105"/>
      <c r="W42" s="105" t="s">
        <v>80</v>
      </c>
      <c r="X42" s="105"/>
      <c r="Y42" s="105"/>
    </row>
    <row r="43" spans="1:25" s="99" customFormat="1" ht="26.25" customHeight="1">
      <c r="A43" s="100">
        <v>3784</v>
      </c>
      <c r="B43" s="101" t="s">
        <v>11</v>
      </c>
      <c r="C43" s="105" t="s">
        <v>52</v>
      </c>
      <c r="D43" s="105" t="s">
        <v>135</v>
      </c>
      <c r="E43" s="105" t="s">
        <v>44</v>
      </c>
      <c r="F43" s="101" t="str">
        <f t="shared" si="3"/>
        <v>-</v>
      </c>
      <c r="G43" s="106" t="s">
        <v>53</v>
      </c>
      <c r="H43" s="105"/>
      <c r="I43" s="106" t="s">
        <v>136</v>
      </c>
      <c r="J43" s="107" t="s">
        <v>54</v>
      </c>
      <c r="K43" s="108"/>
      <c r="L43" s="106"/>
      <c r="M43" s="110"/>
      <c r="N43" s="105" t="s">
        <v>78</v>
      </c>
      <c r="O43" s="105" t="str">
        <f t="shared" si="4"/>
        <v/>
      </c>
      <c r="P43" s="105"/>
      <c r="Q43" s="105" t="s">
        <v>77</v>
      </c>
      <c r="R43" s="105" t="s">
        <v>77</v>
      </c>
      <c r="S43" s="105"/>
      <c r="T43" s="105"/>
      <c r="U43" s="105"/>
      <c r="V43" s="105"/>
      <c r="W43" s="105" t="s">
        <v>80</v>
      </c>
      <c r="X43" s="105"/>
      <c r="Y43" s="105"/>
    </row>
    <row r="44" spans="1:25" s="99" customFormat="1" ht="26.25" customHeight="1">
      <c r="A44" s="100">
        <v>3785</v>
      </c>
      <c r="B44" s="101" t="s">
        <v>11</v>
      </c>
      <c r="C44" s="105" t="s">
        <v>52</v>
      </c>
      <c r="D44" s="105" t="s">
        <v>137</v>
      </c>
      <c r="E44" s="105" t="s">
        <v>44</v>
      </c>
      <c r="F44" s="101" t="str">
        <f t="shared" si="3"/>
        <v>-</v>
      </c>
      <c r="G44" s="106" t="s">
        <v>53</v>
      </c>
      <c r="H44" s="105"/>
      <c r="I44" s="106" t="s">
        <v>138</v>
      </c>
      <c r="J44" s="107" t="s">
        <v>54</v>
      </c>
      <c r="K44" s="108"/>
      <c r="L44" s="106"/>
      <c r="M44" s="110"/>
      <c r="N44" s="105" t="s">
        <v>78</v>
      </c>
      <c r="O44" s="105" t="str">
        <f t="shared" si="4"/>
        <v/>
      </c>
      <c r="P44" s="105"/>
      <c r="Q44" s="105" t="s">
        <v>77</v>
      </c>
      <c r="R44" s="105" t="s">
        <v>77</v>
      </c>
      <c r="S44" s="105"/>
      <c r="T44" s="105"/>
      <c r="U44" s="105"/>
      <c r="V44" s="105"/>
      <c r="W44" s="105" t="s">
        <v>80</v>
      </c>
      <c r="X44" s="105"/>
      <c r="Y44" s="105"/>
    </row>
    <row r="45" spans="1:25" s="99" customFormat="1" ht="26.25" customHeight="1">
      <c r="A45" s="100">
        <v>3786</v>
      </c>
      <c r="B45" s="101" t="s">
        <v>11</v>
      </c>
      <c r="C45" s="105" t="s">
        <v>52</v>
      </c>
      <c r="D45" s="105" t="s">
        <v>139</v>
      </c>
      <c r="E45" s="105" t="s">
        <v>44</v>
      </c>
      <c r="F45" s="101" t="str">
        <f t="shared" si="3"/>
        <v>-</v>
      </c>
      <c r="G45" s="106" t="s">
        <v>53</v>
      </c>
      <c r="H45" s="105"/>
      <c r="I45" s="106" t="s">
        <v>140</v>
      </c>
      <c r="J45" s="107" t="s">
        <v>54</v>
      </c>
      <c r="K45" s="108"/>
      <c r="L45" s="106"/>
      <c r="M45" s="110"/>
      <c r="N45" s="105" t="s">
        <v>78</v>
      </c>
      <c r="O45" s="105" t="str">
        <f t="shared" si="4"/>
        <v/>
      </c>
      <c r="P45" s="105"/>
      <c r="Q45" s="105" t="s">
        <v>77</v>
      </c>
      <c r="R45" s="105" t="s">
        <v>77</v>
      </c>
      <c r="S45" s="105"/>
      <c r="T45" s="105"/>
      <c r="U45" s="105"/>
      <c r="V45" s="105"/>
      <c r="W45" s="105" t="s">
        <v>80</v>
      </c>
      <c r="X45" s="105"/>
      <c r="Y45" s="105"/>
    </row>
    <row r="46" spans="1:25" s="99" customFormat="1" ht="26.25" customHeight="1">
      <c r="A46" s="100">
        <v>3787</v>
      </c>
      <c r="B46" s="101" t="s">
        <v>11</v>
      </c>
      <c r="C46" s="105" t="s">
        <v>52</v>
      </c>
      <c r="D46" s="105" t="s">
        <v>141</v>
      </c>
      <c r="E46" s="105" t="s">
        <v>44</v>
      </c>
      <c r="F46" s="101" t="str">
        <f t="shared" si="3"/>
        <v>-</v>
      </c>
      <c r="G46" s="106" t="s">
        <v>53</v>
      </c>
      <c r="H46" s="105"/>
      <c r="I46" s="106" t="s">
        <v>142</v>
      </c>
      <c r="J46" s="107" t="s">
        <v>54</v>
      </c>
      <c r="K46" s="108"/>
      <c r="L46" s="106"/>
      <c r="M46" s="110"/>
      <c r="N46" s="105" t="s">
        <v>78</v>
      </c>
      <c r="O46" s="105" t="str">
        <f t="shared" si="4"/>
        <v/>
      </c>
      <c r="P46" s="105"/>
      <c r="Q46" s="105" t="s">
        <v>77</v>
      </c>
      <c r="R46" s="105" t="s">
        <v>77</v>
      </c>
      <c r="S46" s="105"/>
      <c r="T46" s="105"/>
      <c r="U46" s="105"/>
      <c r="V46" s="105"/>
      <c r="W46" s="105" t="s">
        <v>80</v>
      </c>
      <c r="X46" s="105"/>
      <c r="Y46" s="105"/>
    </row>
    <row r="47" spans="1:25" s="99" customFormat="1" ht="26.25" customHeight="1">
      <c r="A47" s="100">
        <v>3788</v>
      </c>
      <c r="B47" s="101" t="s">
        <v>11</v>
      </c>
      <c r="C47" s="105" t="s">
        <v>52</v>
      </c>
      <c r="D47" s="105" t="s">
        <v>143</v>
      </c>
      <c r="E47" s="105" t="s">
        <v>44</v>
      </c>
      <c r="F47" s="101" t="str">
        <f t="shared" si="3"/>
        <v>-</v>
      </c>
      <c r="G47" s="106" t="s">
        <v>53</v>
      </c>
      <c r="H47" s="105"/>
      <c r="I47" s="106" t="s">
        <v>144</v>
      </c>
      <c r="J47" s="107" t="s">
        <v>54</v>
      </c>
      <c r="K47" s="108"/>
      <c r="L47" s="106"/>
      <c r="M47" s="110"/>
      <c r="N47" s="105" t="s">
        <v>78</v>
      </c>
      <c r="O47" s="105" t="str">
        <f t="shared" si="4"/>
        <v/>
      </c>
      <c r="P47" s="105"/>
      <c r="Q47" s="105" t="s">
        <v>77</v>
      </c>
      <c r="R47" s="105" t="s">
        <v>77</v>
      </c>
      <c r="S47" s="105"/>
      <c r="T47" s="105"/>
      <c r="U47" s="105"/>
      <c r="V47" s="105"/>
      <c r="W47" s="105" t="s">
        <v>80</v>
      </c>
      <c r="X47" s="105"/>
      <c r="Y47" s="105"/>
    </row>
    <row r="48" spans="1:25" s="99" customFormat="1" ht="26.25" customHeight="1">
      <c r="A48" s="100">
        <v>3789</v>
      </c>
      <c r="B48" s="101" t="s">
        <v>11</v>
      </c>
      <c r="C48" s="105" t="s">
        <v>52</v>
      </c>
      <c r="D48" s="105" t="s">
        <v>145</v>
      </c>
      <c r="E48" s="105" t="s">
        <v>44</v>
      </c>
      <c r="F48" s="101" t="str">
        <f t="shared" si="3"/>
        <v>-</v>
      </c>
      <c r="G48" s="106" t="s">
        <v>53</v>
      </c>
      <c r="H48" s="105"/>
      <c r="I48" s="106" t="s">
        <v>146</v>
      </c>
      <c r="J48" s="107" t="s">
        <v>54</v>
      </c>
      <c r="K48" s="108"/>
      <c r="L48" s="106"/>
      <c r="M48" s="110"/>
      <c r="N48" s="105" t="s">
        <v>78</v>
      </c>
      <c r="O48" s="105" t="str">
        <f t="shared" si="4"/>
        <v/>
      </c>
      <c r="P48" s="105"/>
      <c r="Q48" s="105" t="s">
        <v>77</v>
      </c>
      <c r="R48" s="105" t="s">
        <v>77</v>
      </c>
      <c r="S48" s="105"/>
      <c r="T48" s="105"/>
      <c r="U48" s="105"/>
      <c r="V48" s="105"/>
      <c r="W48" s="105" t="s">
        <v>80</v>
      </c>
      <c r="X48" s="105"/>
      <c r="Y48" s="105"/>
    </row>
    <row r="49" spans="1:25" s="99" customFormat="1" ht="26.25" customHeight="1">
      <c r="A49" s="100">
        <v>3790</v>
      </c>
      <c r="B49" s="101" t="s">
        <v>11</v>
      </c>
      <c r="C49" s="105" t="s">
        <v>52</v>
      </c>
      <c r="D49" s="105" t="s">
        <v>147</v>
      </c>
      <c r="E49" s="105" t="s">
        <v>44</v>
      </c>
      <c r="F49" s="101" t="str">
        <f t="shared" si="3"/>
        <v>-</v>
      </c>
      <c r="G49" s="106" t="s">
        <v>53</v>
      </c>
      <c r="H49" s="105"/>
      <c r="I49" s="106" t="s">
        <v>148</v>
      </c>
      <c r="J49" s="107" t="s">
        <v>54</v>
      </c>
      <c r="K49" s="108"/>
      <c r="L49" s="106"/>
      <c r="M49" s="110"/>
      <c r="N49" s="105" t="s">
        <v>78</v>
      </c>
      <c r="O49" s="105" t="str">
        <f t="shared" si="4"/>
        <v/>
      </c>
      <c r="P49" s="105"/>
      <c r="Q49" s="105" t="s">
        <v>77</v>
      </c>
      <c r="R49" s="105" t="s">
        <v>77</v>
      </c>
      <c r="S49" s="105"/>
      <c r="T49" s="105"/>
      <c r="U49" s="105"/>
      <c r="V49" s="105"/>
      <c r="W49" s="105" t="s">
        <v>80</v>
      </c>
      <c r="X49" s="105"/>
      <c r="Y49" s="105"/>
    </row>
    <row r="50" spans="1:25" s="99" customFormat="1" ht="26.25" customHeight="1">
      <c r="A50" s="100">
        <v>3791</v>
      </c>
      <c r="B50" s="101" t="s">
        <v>11</v>
      </c>
      <c r="C50" s="105" t="s">
        <v>52</v>
      </c>
      <c r="D50" s="105" t="s">
        <v>149</v>
      </c>
      <c r="E50" s="105" t="s">
        <v>44</v>
      </c>
      <c r="F50" s="101" t="str">
        <f t="shared" si="3"/>
        <v>-</v>
      </c>
      <c r="G50" s="106" t="s">
        <v>53</v>
      </c>
      <c r="H50" s="105"/>
      <c r="I50" s="106" t="s">
        <v>150</v>
      </c>
      <c r="J50" s="107" t="s">
        <v>54</v>
      </c>
      <c r="K50" s="108"/>
      <c r="L50" s="106"/>
      <c r="M50" s="110"/>
      <c r="N50" s="105" t="s">
        <v>78</v>
      </c>
      <c r="O50" s="105" t="str">
        <f t="shared" si="4"/>
        <v/>
      </c>
      <c r="P50" s="105"/>
      <c r="Q50" s="105" t="s">
        <v>77</v>
      </c>
      <c r="R50" s="105" t="s">
        <v>77</v>
      </c>
      <c r="S50" s="105"/>
      <c r="T50" s="105"/>
      <c r="U50" s="105"/>
      <c r="V50" s="105"/>
      <c r="W50" s="105" t="s">
        <v>80</v>
      </c>
      <c r="X50" s="105"/>
      <c r="Y50" s="105"/>
    </row>
    <row r="51" spans="1:25" s="99" customFormat="1" ht="26.25" customHeight="1">
      <c r="A51" s="100">
        <v>3792</v>
      </c>
      <c r="B51" s="101" t="s">
        <v>11</v>
      </c>
      <c r="C51" s="105" t="s">
        <v>52</v>
      </c>
      <c r="D51" s="105" t="s">
        <v>151</v>
      </c>
      <c r="E51" s="105" t="s">
        <v>44</v>
      </c>
      <c r="F51" s="101" t="str">
        <f t="shared" si="3"/>
        <v>-</v>
      </c>
      <c r="G51" s="106" t="s">
        <v>53</v>
      </c>
      <c r="H51" s="105"/>
      <c r="I51" s="106" t="s">
        <v>152</v>
      </c>
      <c r="J51" s="107" t="s">
        <v>54</v>
      </c>
      <c r="K51" s="108"/>
      <c r="L51" s="106"/>
      <c r="M51" s="110"/>
      <c r="N51" s="105" t="s">
        <v>78</v>
      </c>
      <c r="O51" s="105" t="str">
        <f t="shared" si="4"/>
        <v/>
      </c>
      <c r="P51" s="105"/>
      <c r="Q51" s="105" t="s">
        <v>77</v>
      </c>
      <c r="R51" s="105" t="s">
        <v>77</v>
      </c>
      <c r="S51" s="105"/>
      <c r="T51" s="105"/>
      <c r="U51" s="105"/>
      <c r="V51" s="105"/>
      <c r="W51" s="105" t="s">
        <v>80</v>
      </c>
      <c r="X51" s="105"/>
      <c r="Y51" s="105"/>
    </row>
    <row r="52" spans="1:25" s="99" customFormat="1" ht="26.25" customHeight="1">
      <c r="A52" s="100">
        <v>3793</v>
      </c>
      <c r="B52" s="101" t="s">
        <v>11</v>
      </c>
      <c r="C52" s="105" t="s">
        <v>52</v>
      </c>
      <c r="D52" s="105" t="s">
        <v>153</v>
      </c>
      <c r="E52" s="105" t="s">
        <v>44</v>
      </c>
      <c r="F52" s="101" t="str">
        <f t="shared" si="3"/>
        <v>-</v>
      </c>
      <c r="G52" s="106" t="s">
        <v>53</v>
      </c>
      <c r="H52" s="105"/>
      <c r="I52" s="106" t="s">
        <v>154</v>
      </c>
      <c r="J52" s="107" t="s">
        <v>54</v>
      </c>
      <c r="K52" s="108"/>
      <c r="L52" s="106"/>
      <c r="M52" s="110"/>
      <c r="N52" s="105" t="s">
        <v>78</v>
      </c>
      <c r="O52" s="105" t="str">
        <f t="shared" si="4"/>
        <v/>
      </c>
      <c r="P52" s="105"/>
      <c r="Q52" s="105" t="s">
        <v>77</v>
      </c>
      <c r="R52" s="105" t="s">
        <v>77</v>
      </c>
      <c r="S52" s="105"/>
      <c r="T52" s="105"/>
      <c r="U52" s="105"/>
      <c r="V52" s="105"/>
      <c r="W52" s="105" t="s">
        <v>80</v>
      </c>
      <c r="X52" s="105"/>
      <c r="Y52" s="105"/>
    </row>
    <row r="53" spans="1:25" s="99" customFormat="1" ht="26.25" customHeight="1">
      <c r="A53" s="100">
        <v>3794</v>
      </c>
      <c r="B53" s="101" t="s">
        <v>11</v>
      </c>
      <c r="C53" s="105" t="s">
        <v>52</v>
      </c>
      <c r="D53" s="105" t="s">
        <v>155</v>
      </c>
      <c r="E53" s="105" t="s">
        <v>44</v>
      </c>
      <c r="F53" s="101" t="str">
        <f t="shared" si="3"/>
        <v>-</v>
      </c>
      <c r="G53" s="106" t="s">
        <v>53</v>
      </c>
      <c r="H53" s="105"/>
      <c r="I53" s="106" t="s">
        <v>156</v>
      </c>
      <c r="J53" s="107" t="s">
        <v>54</v>
      </c>
      <c r="K53" s="108"/>
      <c r="L53" s="106"/>
      <c r="M53" s="110"/>
      <c r="N53" s="105" t="s">
        <v>78</v>
      </c>
      <c r="O53" s="105" t="str">
        <f t="shared" si="4"/>
        <v/>
      </c>
      <c r="P53" s="105"/>
      <c r="Q53" s="105" t="s">
        <v>77</v>
      </c>
      <c r="R53" s="105" t="s">
        <v>77</v>
      </c>
      <c r="S53" s="105"/>
      <c r="T53" s="105"/>
      <c r="U53" s="105"/>
      <c r="V53" s="105"/>
      <c r="W53" s="105" t="s">
        <v>80</v>
      </c>
      <c r="X53" s="105"/>
      <c r="Y53" s="105"/>
    </row>
    <row r="54" spans="1:25" s="99" customFormat="1" ht="26.25" customHeight="1">
      <c r="A54" s="100">
        <v>3795</v>
      </c>
      <c r="B54" s="101" t="s">
        <v>11</v>
      </c>
      <c r="C54" s="105" t="s">
        <v>52</v>
      </c>
      <c r="D54" s="105" t="s">
        <v>157</v>
      </c>
      <c r="E54" s="105" t="s">
        <v>44</v>
      </c>
      <c r="F54" s="101" t="str">
        <f t="shared" si="3"/>
        <v>-</v>
      </c>
      <c r="G54" s="106" t="s">
        <v>53</v>
      </c>
      <c r="H54" s="105"/>
      <c r="I54" s="106" t="s">
        <v>158</v>
      </c>
      <c r="J54" s="107" t="s">
        <v>54</v>
      </c>
      <c r="K54" s="108"/>
      <c r="L54" s="106"/>
      <c r="M54" s="110"/>
      <c r="N54" s="105" t="s">
        <v>78</v>
      </c>
      <c r="O54" s="105" t="str">
        <f t="shared" si="4"/>
        <v/>
      </c>
      <c r="P54" s="105"/>
      <c r="Q54" s="105" t="s">
        <v>77</v>
      </c>
      <c r="R54" s="105" t="s">
        <v>77</v>
      </c>
      <c r="S54" s="105"/>
      <c r="T54" s="105"/>
      <c r="U54" s="105"/>
      <c r="V54" s="105"/>
      <c r="W54" s="105" t="s">
        <v>80</v>
      </c>
      <c r="X54" s="105"/>
      <c r="Y54" s="105"/>
    </row>
    <row r="55" spans="1:25" s="99" customFormat="1" ht="26.25" customHeight="1">
      <c r="A55" s="100">
        <v>3796</v>
      </c>
      <c r="B55" s="101" t="s">
        <v>11</v>
      </c>
      <c r="C55" s="105" t="s">
        <v>52</v>
      </c>
      <c r="D55" s="105" t="s">
        <v>159</v>
      </c>
      <c r="E55" s="105" t="s">
        <v>44</v>
      </c>
      <c r="F55" s="101" t="str">
        <f t="shared" si="3"/>
        <v>-</v>
      </c>
      <c r="G55" s="106" t="s">
        <v>53</v>
      </c>
      <c r="H55" s="105"/>
      <c r="I55" s="106" t="s">
        <v>160</v>
      </c>
      <c r="J55" s="107" t="s">
        <v>54</v>
      </c>
      <c r="K55" s="108"/>
      <c r="L55" s="106"/>
      <c r="M55" s="110"/>
      <c r="N55" s="105" t="s">
        <v>78</v>
      </c>
      <c r="O55" s="105" t="str">
        <f t="shared" si="4"/>
        <v/>
      </c>
      <c r="P55" s="105"/>
      <c r="Q55" s="105" t="s">
        <v>77</v>
      </c>
      <c r="R55" s="105" t="s">
        <v>77</v>
      </c>
      <c r="S55" s="105"/>
      <c r="T55" s="105"/>
      <c r="U55" s="105"/>
      <c r="V55" s="105"/>
      <c r="W55" s="105" t="s">
        <v>80</v>
      </c>
      <c r="X55" s="105"/>
      <c r="Y55" s="105"/>
    </row>
    <row r="56" spans="1:25" s="99" customFormat="1" ht="26.25" customHeight="1">
      <c r="A56" s="100">
        <v>3797</v>
      </c>
      <c r="B56" s="101" t="s">
        <v>11</v>
      </c>
      <c r="C56" s="105" t="s">
        <v>52</v>
      </c>
      <c r="D56" s="105" t="s">
        <v>161</v>
      </c>
      <c r="E56" s="105" t="s">
        <v>44</v>
      </c>
      <c r="F56" s="101" t="str">
        <f t="shared" si="3"/>
        <v>-</v>
      </c>
      <c r="G56" s="106" t="s">
        <v>53</v>
      </c>
      <c r="H56" s="105"/>
      <c r="I56" s="106" t="s">
        <v>162</v>
      </c>
      <c r="J56" s="107" t="s">
        <v>54</v>
      </c>
      <c r="K56" s="108"/>
      <c r="L56" s="106"/>
      <c r="M56" s="110"/>
      <c r="N56" s="105" t="s">
        <v>78</v>
      </c>
      <c r="O56" s="105" t="str">
        <f t="shared" si="4"/>
        <v/>
      </c>
      <c r="P56" s="105"/>
      <c r="Q56" s="105" t="s">
        <v>77</v>
      </c>
      <c r="R56" s="105" t="s">
        <v>77</v>
      </c>
      <c r="S56" s="105"/>
      <c r="T56" s="105"/>
      <c r="U56" s="105"/>
      <c r="V56" s="105"/>
      <c r="W56" s="105" t="s">
        <v>80</v>
      </c>
      <c r="X56" s="105"/>
      <c r="Y56" s="105"/>
    </row>
    <row r="57" spans="1:25" s="99" customFormat="1" ht="26.25" customHeight="1">
      <c r="A57" s="100">
        <v>3798</v>
      </c>
      <c r="B57" s="101" t="s">
        <v>11</v>
      </c>
      <c r="C57" s="105" t="s">
        <v>52</v>
      </c>
      <c r="D57" s="105" t="s">
        <v>163</v>
      </c>
      <c r="E57" s="105" t="s">
        <v>44</v>
      </c>
      <c r="F57" s="101" t="str">
        <f t="shared" si="3"/>
        <v>-</v>
      </c>
      <c r="G57" s="106" t="s">
        <v>53</v>
      </c>
      <c r="H57" s="105"/>
      <c r="I57" s="106" t="s">
        <v>164</v>
      </c>
      <c r="J57" s="107" t="s">
        <v>54</v>
      </c>
      <c r="K57" s="108"/>
      <c r="L57" s="106"/>
      <c r="M57" s="110"/>
      <c r="N57" s="105" t="s">
        <v>78</v>
      </c>
      <c r="O57" s="105" t="str">
        <f t="shared" si="4"/>
        <v/>
      </c>
      <c r="P57" s="105"/>
      <c r="Q57" s="105" t="s">
        <v>77</v>
      </c>
      <c r="R57" s="105" t="s">
        <v>77</v>
      </c>
      <c r="S57" s="105"/>
      <c r="T57" s="105"/>
      <c r="U57" s="105"/>
      <c r="V57" s="105"/>
      <c r="W57" s="105" t="s">
        <v>80</v>
      </c>
      <c r="X57" s="105"/>
      <c r="Y57" s="105"/>
    </row>
    <row r="58" spans="1:25" s="99" customFormat="1" ht="26.25" customHeight="1">
      <c r="A58" s="100">
        <v>3799</v>
      </c>
      <c r="B58" s="101" t="s">
        <v>11</v>
      </c>
      <c r="C58" s="105" t="s">
        <v>52</v>
      </c>
      <c r="D58" s="105" t="s">
        <v>165</v>
      </c>
      <c r="E58" s="105" t="s">
        <v>44</v>
      </c>
      <c r="F58" s="101" t="str">
        <f t="shared" si="3"/>
        <v>-</v>
      </c>
      <c r="G58" s="106" t="s">
        <v>53</v>
      </c>
      <c r="H58" s="105"/>
      <c r="I58" s="106" t="s">
        <v>166</v>
      </c>
      <c r="J58" s="107" t="s">
        <v>54</v>
      </c>
      <c r="K58" s="108"/>
      <c r="L58" s="106"/>
      <c r="M58" s="110"/>
      <c r="N58" s="105" t="s">
        <v>78</v>
      </c>
      <c r="O58" s="105" t="str">
        <f t="shared" si="4"/>
        <v/>
      </c>
      <c r="P58" s="105"/>
      <c r="Q58" s="105" t="s">
        <v>77</v>
      </c>
      <c r="R58" s="105" t="s">
        <v>77</v>
      </c>
      <c r="S58" s="105"/>
      <c r="T58" s="105"/>
      <c r="U58" s="105"/>
      <c r="V58" s="105"/>
      <c r="W58" s="105" t="s">
        <v>80</v>
      </c>
      <c r="X58" s="105"/>
      <c r="Y58" s="105"/>
    </row>
    <row r="59" spans="1:25" s="99" customFormat="1" ht="26.25" customHeight="1">
      <c r="A59" s="100">
        <v>3800</v>
      </c>
      <c r="B59" s="101" t="s">
        <v>11</v>
      </c>
      <c r="C59" s="105" t="s">
        <v>52</v>
      </c>
      <c r="D59" s="105" t="s">
        <v>167</v>
      </c>
      <c r="E59" s="105" t="s">
        <v>44</v>
      </c>
      <c r="F59" s="101" t="str">
        <f t="shared" si="3"/>
        <v>-</v>
      </c>
      <c r="G59" s="106" t="s">
        <v>53</v>
      </c>
      <c r="H59" s="105"/>
      <c r="I59" s="106" t="s">
        <v>168</v>
      </c>
      <c r="J59" s="107" t="s">
        <v>54</v>
      </c>
      <c r="K59" s="108"/>
      <c r="L59" s="106"/>
      <c r="M59" s="110"/>
      <c r="N59" s="105" t="s">
        <v>78</v>
      </c>
      <c r="O59" s="105" t="str">
        <f t="shared" si="4"/>
        <v/>
      </c>
      <c r="P59" s="105"/>
      <c r="Q59" s="105" t="s">
        <v>77</v>
      </c>
      <c r="R59" s="105" t="s">
        <v>77</v>
      </c>
      <c r="S59" s="105"/>
      <c r="T59" s="105"/>
      <c r="U59" s="105"/>
      <c r="V59" s="105"/>
      <c r="W59" s="105" t="s">
        <v>80</v>
      </c>
      <c r="X59" s="105"/>
      <c r="Y59" s="105"/>
    </row>
    <row r="60" spans="1:25" s="99" customFormat="1" ht="26.25" customHeight="1">
      <c r="A60" s="100">
        <v>3801</v>
      </c>
      <c r="B60" s="101" t="s">
        <v>11</v>
      </c>
      <c r="C60" s="105" t="s">
        <v>52</v>
      </c>
      <c r="D60" s="105" t="s">
        <v>169</v>
      </c>
      <c r="E60" s="105" t="s">
        <v>44</v>
      </c>
      <c r="F60" s="101" t="str">
        <f t="shared" si="3"/>
        <v>-</v>
      </c>
      <c r="G60" s="106" t="s">
        <v>53</v>
      </c>
      <c r="H60" s="105"/>
      <c r="I60" s="106" t="s">
        <v>170</v>
      </c>
      <c r="J60" s="107" t="s">
        <v>54</v>
      </c>
      <c r="K60" s="108"/>
      <c r="L60" s="106"/>
      <c r="M60" s="110"/>
      <c r="N60" s="105" t="s">
        <v>78</v>
      </c>
      <c r="O60" s="105" t="str">
        <f t="shared" si="4"/>
        <v/>
      </c>
      <c r="P60" s="105"/>
      <c r="Q60" s="105" t="s">
        <v>77</v>
      </c>
      <c r="R60" s="105" t="s">
        <v>77</v>
      </c>
      <c r="S60" s="105"/>
      <c r="T60" s="105"/>
      <c r="U60" s="105"/>
      <c r="V60" s="105"/>
      <c r="W60" s="105" t="s">
        <v>80</v>
      </c>
      <c r="X60" s="105"/>
      <c r="Y60" s="105"/>
    </row>
    <row r="61" spans="1:25" s="99" customFormat="1" ht="26.25" customHeight="1">
      <c r="A61" s="100">
        <v>3802</v>
      </c>
      <c r="B61" s="101" t="s">
        <v>11</v>
      </c>
      <c r="C61" s="105" t="s">
        <v>52</v>
      </c>
      <c r="D61" s="105" t="s">
        <v>171</v>
      </c>
      <c r="E61" s="105" t="s">
        <v>44</v>
      </c>
      <c r="F61" s="101" t="str">
        <f t="shared" si="3"/>
        <v>-</v>
      </c>
      <c r="G61" s="106" t="s">
        <v>53</v>
      </c>
      <c r="H61" s="105"/>
      <c r="I61" s="106" t="s">
        <v>172</v>
      </c>
      <c r="J61" s="107" t="s">
        <v>54</v>
      </c>
      <c r="K61" s="108"/>
      <c r="L61" s="106"/>
      <c r="M61" s="110"/>
      <c r="N61" s="105" t="s">
        <v>78</v>
      </c>
      <c r="O61" s="105" t="str">
        <f t="shared" si="4"/>
        <v/>
      </c>
      <c r="P61" s="105"/>
      <c r="Q61" s="105" t="s">
        <v>77</v>
      </c>
      <c r="R61" s="105" t="s">
        <v>77</v>
      </c>
      <c r="S61" s="105"/>
      <c r="T61" s="105"/>
      <c r="U61" s="105"/>
      <c r="V61" s="105"/>
      <c r="W61" s="105" t="s">
        <v>80</v>
      </c>
      <c r="X61" s="105"/>
      <c r="Y61" s="105"/>
    </row>
    <row r="62" spans="1:25" s="99" customFormat="1" ht="26.25" customHeight="1">
      <c r="A62" s="100">
        <v>3803</v>
      </c>
      <c r="B62" s="101" t="s">
        <v>11</v>
      </c>
      <c r="C62" s="105" t="s">
        <v>52</v>
      </c>
      <c r="D62" s="105" t="s">
        <v>173</v>
      </c>
      <c r="E62" s="105" t="s">
        <v>44</v>
      </c>
      <c r="F62" s="101" t="str">
        <f t="shared" si="3"/>
        <v>-</v>
      </c>
      <c r="G62" s="106" t="s">
        <v>53</v>
      </c>
      <c r="H62" s="105"/>
      <c r="I62" s="106" t="s">
        <v>174</v>
      </c>
      <c r="J62" s="107" t="s">
        <v>54</v>
      </c>
      <c r="K62" s="108"/>
      <c r="L62" s="106"/>
      <c r="M62" s="110"/>
      <c r="N62" s="105" t="s">
        <v>78</v>
      </c>
      <c r="O62" s="105" t="str">
        <f t="shared" si="4"/>
        <v/>
      </c>
      <c r="P62" s="105"/>
      <c r="Q62" s="105" t="s">
        <v>77</v>
      </c>
      <c r="R62" s="105" t="s">
        <v>77</v>
      </c>
      <c r="S62" s="105"/>
      <c r="T62" s="105"/>
      <c r="U62" s="105"/>
      <c r="V62" s="105"/>
      <c r="W62" s="105" t="s">
        <v>80</v>
      </c>
      <c r="X62" s="105"/>
      <c r="Y62" s="105"/>
    </row>
    <row r="63" spans="1:25" s="99" customFormat="1" ht="26.25" customHeight="1">
      <c r="A63" s="100">
        <v>3804</v>
      </c>
      <c r="B63" s="101" t="s">
        <v>11</v>
      </c>
      <c r="C63" s="105" t="s">
        <v>52</v>
      </c>
      <c r="D63" s="105" t="s">
        <v>175</v>
      </c>
      <c r="E63" s="105" t="s">
        <v>44</v>
      </c>
      <c r="F63" s="101" t="str">
        <f t="shared" si="3"/>
        <v>-</v>
      </c>
      <c r="G63" s="106" t="s">
        <v>53</v>
      </c>
      <c r="H63" s="105"/>
      <c r="I63" s="106" t="s">
        <v>176</v>
      </c>
      <c r="J63" s="107" t="s">
        <v>54</v>
      </c>
      <c r="K63" s="108"/>
      <c r="L63" s="106"/>
      <c r="M63" s="110"/>
      <c r="N63" s="105" t="s">
        <v>78</v>
      </c>
      <c r="O63" s="105" t="str">
        <f t="shared" si="4"/>
        <v/>
      </c>
      <c r="P63" s="105"/>
      <c r="Q63" s="105" t="s">
        <v>77</v>
      </c>
      <c r="R63" s="105" t="s">
        <v>77</v>
      </c>
      <c r="S63" s="105"/>
      <c r="T63" s="105"/>
      <c r="U63" s="105"/>
      <c r="V63" s="105"/>
      <c r="W63" s="105" t="s">
        <v>80</v>
      </c>
      <c r="X63" s="105"/>
      <c r="Y63" s="105"/>
    </row>
    <row r="64" spans="1:25" s="99" customFormat="1" ht="26.25" customHeight="1">
      <c r="A64" s="100">
        <v>3805</v>
      </c>
      <c r="B64" s="101" t="s">
        <v>11</v>
      </c>
      <c r="C64" s="105" t="s">
        <v>52</v>
      </c>
      <c r="D64" s="105" t="s">
        <v>177</v>
      </c>
      <c r="E64" s="105" t="s">
        <v>44</v>
      </c>
      <c r="F64" s="101" t="str">
        <f t="shared" si="3"/>
        <v>-</v>
      </c>
      <c r="G64" s="106" t="s">
        <v>53</v>
      </c>
      <c r="H64" s="105"/>
      <c r="I64" s="106" t="s">
        <v>178</v>
      </c>
      <c r="J64" s="107" t="s">
        <v>54</v>
      </c>
      <c r="K64" s="108"/>
      <c r="L64" s="106"/>
      <c r="M64" s="110"/>
      <c r="N64" s="105" t="s">
        <v>78</v>
      </c>
      <c r="O64" s="105" t="str">
        <f t="shared" si="4"/>
        <v/>
      </c>
      <c r="P64" s="105"/>
      <c r="Q64" s="105" t="s">
        <v>77</v>
      </c>
      <c r="R64" s="105" t="s">
        <v>77</v>
      </c>
      <c r="S64" s="105"/>
      <c r="T64" s="105"/>
      <c r="U64" s="105"/>
      <c r="V64" s="105"/>
      <c r="W64" s="105" t="s">
        <v>80</v>
      </c>
      <c r="X64" s="105"/>
      <c r="Y64" s="105"/>
    </row>
    <row r="65" spans="1:25" s="99" customFormat="1" ht="26.25" customHeight="1">
      <c r="A65" s="100">
        <v>3806</v>
      </c>
      <c r="B65" s="101" t="s">
        <v>11</v>
      </c>
      <c r="C65" s="105" t="s">
        <v>52</v>
      </c>
      <c r="D65" s="105" t="s">
        <v>179</v>
      </c>
      <c r="E65" s="105" t="s">
        <v>44</v>
      </c>
      <c r="F65" s="101" t="str">
        <f t="shared" si="3"/>
        <v>-</v>
      </c>
      <c r="G65" s="106" t="s">
        <v>53</v>
      </c>
      <c r="H65" s="105"/>
      <c r="I65" s="106" t="s">
        <v>180</v>
      </c>
      <c r="J65" s="107" t="s">
        <v>54</v>
      </c>
      <c r="K65" s="108"/>
      <c r="L65" s="106"/>
      <c r="M65" s="110"/>
      <c r="N65" s="105" t="s">
        <v>78</v>
      </c>
      <c r="O65" s="105" t="str">
        <f t="shared" si="4"/>
        <v/>
      </c>
      <c r="P65" s="105"/>
      <c r="Q65" s="105" t="s">
        <v>77</v>
      </c>
      <c r="R65" s="105" t="s">
        <v>77</v>
      </c>
      <c r="S65" s="105"/>
      <c r="T65" s="105"/>
      <c r="U65" s="105"/>
      <c r="V65" s="105"/>
      <c r="W65" s="105" t="s">
        <v>80</v>
      </c>
      <c r="X65" s="105"/>
      <c r="Y65" s="105"/>
    </row>
    <row r="66" spans="1:25" s="99" customFormat="1" ht="26.25" customHeight="1">
      <c r="A66" s="100">
        <v>3807</v>
      </c>
      <c r="B66" s="101" t="s">
        <v>11</v>
      </c>
      <c r="C66" s="105" t="s">
        <v>52</v>
      </c>
      <c r="D66" s="105" t="s">
        <v>181</v>
      </c>
      <c r="E66" s="105" t="s">
        <v>44</v>
      </c>
      <c r="F66" s="101" t="str">
        <f t="shared" si="3"/>
        <v>-</v>
      </c>
      <c r="G66" s="106" t="s">
        <v>53</v>
      </c>
      <c r="H66" s="105"/>
      <c r="I66" s="106" t="s">
        <v>182</v>
      </c>
      <c r="J66" s="107" t="s">
        <v>54</v>
      </c>
      <c r="K66" s="108"/>
      <c r="L66" s="106"/>
      <c r="M66" s="110"/>
      <c r="N66" s="105" t="s">
        <v>78</v>
      </c>
      <c r="O66" s="105" t="str">
        <f t="shared" si="4"/>
        <v/>
      </c>
      <c r="P66" s="105"/>
      <c r="Q66" s="105" t="s">
        <v>77</v>
      </c>
      <c r="R66" s="105" t="s">
        <v>77</v>
      </c>
      <c r="S66" s="105"/>
      <c r="T66" s="105"/>
      <c r="U66" s="105"/>
      <c r="V66" s="105"/>
      <c r="W66" s="105" t="s">
        <v>80</v>
      </c>
      <c r="X66" s="105"/>
      <c r="Y66" s="105"/>
    </row>
    <row r="67" spans="1:25" s="99" customFormat="1" ht="26.25" customHeight="1">
      <c r="A67" s="100">
        <v>3808</v>
      </c>
      <c r="B67" s="101" t="s">
        <v>11</v>
      </c>
      <c r="C67" s="105" t="s">
        <v>52</v>
      </c>
      <c r="D67" s="105" t="s">
        <v>183</v>
      </c>
      <c r="E67" s="105" t="s">
        <v>44</v>
      </c>
      <c r="F67" s="101" t="str">
        <f t="shared" si="3"/>
        <v>-</v>
      </c>
      <c r="G67" s="106" t="s">
        <v>53</v>
      </c>
      <c r="H67" s="105"/>
      <c r="I67" s="106" t="s">
        <v>184</v>
      </c>
      <c r="J67" s="107" t="s">
        <v>54</v>
      </c>
      <c r="K67" s="108"/>
      <c r="L67" s="106"/>
      <c r="M67" s="110"/>
      <c r="N67" s="105" t="s">
        <v>78</v>
      </c>
      <c r="O67" s="105" t="str">
        <f t="shared" si="4"/>
        <v/>
      </c>
      <c r="P67" s="105"/>
      <c r="Q67" s="105" t="s">
        <v>77</v>
      </c>
      <c r="R67" s="105" t="s">
        <v>77</v>
      </c>
      <c r="S67" s="105"/>
      <c r="T67" s="105"/>
      <c r="U67" s="105"/>
      <c r="V67" s="105"/>
      <c r="W67" s="105" t="s">
        <v>80</v>
      </c>
      <c r="X67" s="105"/>
      <c r="Y67" s="105"/>
    </row>
    <row r="68" spans="1:25" s="99" customFormat="1" ht="26.25" customHeight="1">
      <c r="A68" s="100">
        <v>3809</v>
      </c>
      <c r="B68" s="101" t="s">
        <v>11</v>
      </c>
      <c r="C68" s="105" t="s">
        <v>52</v>
      </c>
      <c r="D68" s="105" t="s">
        <v>185</v>
      </c>
      <c r="E68" s="105" t="s">
        <v>44</v>
      </c>
      <c r="F68" s="101" t="str">
        <f t="shared" si="3"/>
        <v>-</v>
      </c>
      <c r="G68" s="106" t="s">
        <v>53</v>
      </c>
      <c r="H68" s="105"/>
      <c r="I68" s="106" t="s">
        <v>186</v>
      </c>
      <c r="J68" s="107" t="s">
        <v>54</v>
      </c>
      <c r="K68" s="108"/>
      <c r="L68" s="106"/>
      <c r="M68" s="110"/>
      <c r="N68" s="105" t="s">
        <v>78</v>
      </c>
      <c r="O68" s="105" t="str">
        <f t="shared" si="4"/>
        <v/>
      </c>
      <c r="P68" s="105"/>
      <c r="Q68" s="105" t="s">
        <v>77</v>
      </c>
      <c r="R68" s="105" t="s">
        <v>77</v>
      </c>
      <c r="S68" s="105"/>
      <c r="T68" s="105"/>
      <c r="U68" s="105"/>
      <c r="V68" s="105"/>
      <c r="W68" s="105" t="s">
        <v>80</v>
      </c>
      <c r="X68" s="105"/>
      <c r="Y68" s="105"/>
    </row>
    <row r="69" spans="1:25" s="99" customFormat="1" ht="26.25" customHeight="1">
      <c r="A69" s="100">
        <v>3810</v>
      </c>
      <c r="B69" s="101" t="s">
        <v>11</v>
      </c>
      <c r="C69" s="105" t="s">
        <v>52</v>
      </c>
      <c r="D69" s="105" t="s">
        <v>187</v>
      </c>
      <c r="E69" s="105" t="s">
        <v>44</v>
      </c>
      <c r="F69" s="101" t="str">
        <f t="shared" si="3"/>
        <v>-</v>
      </c>
      <c r="G69" s="106" t="s">
        <v>53</v>
      </c>
      <c r="H69" s="105"/>
      <c r="I69" s="106" t="s">
        <v>188</v>
      </c>
      <c r="J69" s="107" t="s">
        <v>54</v>
      </c>
      <c r="K69" s="108"/>
      <c r="L69" s="106"/>
      <c r="M69" s="110"/>
      <c r="N69" s="105" t="s">
        <v>78</v>
      </c>
      <c r="O69" s="105" t="str">
        <f t="shared" si="4"/>
        <v/>
      </c>
      <c r="P69" s="105"/>
      <c r="Q69" s="105" t="s">
        <v>77</v>
      </c>
      <c r="R69" s="105" t="s">
        <v>77</v>
      </c>
      <c r="S69" s="105"/>
      <c r="T69" s="105"/>
      <c r="U69" s="105"/>
      <c r="V69" s="105"/>
      <c r="W69" s="105" t="s">
        <v>80</v>
      </c>
      <c r="X69" s="105"/>
      <c r="Y69" s="105"/>
    </row>
    <row r="70" spans="1:25" s="99" customFormat="1" ht="26.25" customHeight="1">
      <c r="A70" s="100">
        <v>3811</v>
      </c>
      <c r="B70" s="101" t="s">
        <v>11</v>
      </c>
      <c r="C70" s="105" t="s">
        <v>52</v>
      </c>
      <c r="D70" s="105" t="s">
        <v>189</v>
      </c>
      <c r="E70" s="105" t="s">
        <v>44</v>
      </c>
      <c r="F70" s="101" t="str">
        <f t="shared" si="3"/>
        <v>-</v>
      </c>
      <c r="G70" s="106" t="s">
        <v>53</v>
      </c>
      <c r="H70" s="105"/>
      <c r="I70" s="106" t="s">
        <v>190</v>
      </c>
      <c r="J70" s="107" t="s">
        <v>54</v>
      </c>
      <c r="K70" s="108"/>
      <c r="L70" s="106"/>
      <c r="M70" s="110"/>
      <c r="N70" s="105" t="s">
        <v>78</v>
      </c>
      <c r="O70" s="105" t="str">
        <f t="shared" si="4"/>
        <v/>
      </c>
      <c r="P70" s="105"/>
      <c r="Q70" s="105" t="s">
        <v>77</v>
      </c>
      <c r="R70" s="105" t="s">
        <v>77</v>
      </c>
      <c r="S70" s="105"/>
      <c r="T70" s="105"/>
      <c r="U70" s="105"/>
      <c r="V70" s="105"/>
      <c r="W70" s="105" t="s">
        <v>80</v>
      </c>
      <c r="X70" s="105"/>
      <c r="Y70" s="105"/>
    </row>
    <row r="71" spans="1:25" s="99" customFormat="1" ht="26.25" customHeight="1">
      <c r="A71" s="100">
        <v>3812</v>
      </c>
      <c r="B71" s="101" t="s">
        <v>11</v>
      </c>
      <c r="C71" s="105" t="s">
        <v>52</v>
      </c>
      <c r="D71" s="105" t="s">
        <v>191</v>
      </c>
      <c r="E71" s="105" t="s">
        <v>44</v>
      </c>
      <c r="F71" s="101" t="str">
        <f t="shared" si="3"/>
        <v>-</v>
      </c>
      <c r="G71" s="106" t="s">
        <v>53</v>
      </c>
      <c r="H71" s="105"/>
      <c r="I71" s="106" t="s">
        <v>192</v>
      </c>
      <c r="J71" s="107" t="s">
        <v>54</v>
      </c>
      <c r="K71" s="108"/>
      <c r="L71" s="106"/>
      <c r="M71" s="110"/>
      <c r="N71" s="105" t="s">
        <v>78</v>
      </c>
      <c r="O71" s="105" t="str">
        <f t="shared" si="4"/>
        <v/>
      </c>
      <c r="P71" s="105"/>
      <c r="Q71" s="105" t="s">
        <v>77</v>
      </c>
      <c r="R71" s="105" t="s">
        <v>77</v>
      </c>
      <c r="S71" s="105"/>
      <c r="T71" s="105"/>
      <c r="U71" s="105"/>
      <c r="V71" s="105"/>
      <c r="W71" s="105" t="s">
        <v>80</v>
      </c>
      <c r="X71" s="105"/>
      <c r="Y71" s="105"/>
    </row>
    <row r="72" spans="1:25" s="99" customFormat="1" ht="26.25" customHeight="1">
      <c r="A72" s="100">
        <v>3813</v>
      </c>
      <c r="B72" s="101" t="s">
        <v>11</v>
      </c>
      <c r="C72" s="105" t="s">
        <v>52</v>
      </c>
      <c r="D72" s="105" t="s">
        <v>193</v>
      </c>
      <c r="E72" s="105" t="s">
        <v>44</v>
      </c>
      <c r="F72" s="101" t="str">
        <f t="shared" si="3"/>
        <v>-</v>
      </c>
      <c r="G72" s="106" t="s">
        <v>53</v>
      </c>
      <c r="H72" s="105"/>
      <c r="I72" s="106" t="s">
        <v>194</v>
      </c>
      <c r="J72" s="107" t="s">
        <v>54</v>
      </c>
      <c r="K72" s="108"/>
      <c r="L72" s="106"/>
      <c r="M72" s="110"/>
      <c r="N72" s="105" t="s">
        <v>78</v>
      </c>
      <c r="O72" s="105" t="str">
        <f t="shared" si="4"/>
        <v/>
      </c>
      <c r="P72" s="105"/>
      <c r="Q72" s="105" t="s">
        <v>77</v>
      </c>
      <c r="R72" s="105" t="s">
        <v>77</v>
      </c>
      <c r="S72" s="105"/>
      <c r="T72" s="105"/>
      <c r="U72" s="105"/>
      <c r="V72" s="105"/>
      <c r="W72" s="105" t="s">
        <v>80</v>
      </c>
      <c r="X72" s="105"/>
      <c r="Y72" s="105"/>
    </row>
    <row r="73" spans="1:25" s="99" customFormat="1" ht="26.25" customHeight="1">
      <c r="A73" s="100">
        <v>3814</v>
      </c>
      <c r="B73" s="101" t="s">
        <v>11</v>
      </c>
      <c r="C73" s="105" t="s">
        <v>52</v>
      </c>
      <c r="D73" s="105" t="s">
        <v>195</v>
      </c>
      <c r="E73" s="105" t="s">
        <v>44</v>
      </c>
      <c r="F73" s="101" t="str">
        <f t="shared" si="3"/>
        <v>-</v>
      </c>
      <c r="G73" s="106" t="s">
        <v>53</v>
      </c>
      <c r="H73" s="105"/>
      <c r="I73" s="106" t="s">
        <v>196</v>
      </c>
      <c r="J73" s="107" t="s">
        <v>54</v>
      </c>
      <c r="K73" s="108"/>
      <c r="L73" s="106"/>
      <c r="M73" s="110"/>
      <c r="N73" s="105" t="s">
        <v>78</v>
      </c>
      <c r="O73" s="105" t="str">
        <f t="shared" si="4"/>
        <v/>
      </c>
      <c r="P73" s="105"/>
      <c r="Q73" s="105" t="s">
        <v>77</v>
      </c>
      <c r="R73" s="105" t="s">
        <v>77</v>
      </c>
      <c r="S73" s="105"/>
      <c r="T73" s="105"/>
      <c r="U73" s="105"/>
      <c r="V73" s="105"/>
      <c r="W73" s="105" t="s">
        <v>80</v>
      </c>
      <c r="X73" s="105"/>
      <c r="Y73" s="105"/>
    </row>
    <row r="74" spans="1:25" s="99" customFormat="1" ht="26.25" customHeight="1">
      <c r="A74" s="100">
        <v>3815</v>
      </c>
      <c r="B74" s="101" t="s">
        <v>11</v>
      </c>
      <c r="C74" s="105" t="s">
        <v>52</v>
      </c>
      <c r="D74" s="105" t="s">
        <v>197</v>
      </c>
      <c r="E74" s="105" t="s">
        <v>44</v>
      </c>
      <c r="F74" s="101" t="str">
        <f t="shared" si="3"/>
        <v>-</v>
      </c>
      <c r="G74" s="106" t="s">
        <v>53</v>
      </c>
      <c r="H74" s="105"/>
      <c r="I74" s="106" t="s">
        <v>198</v>
      </c>
      <c r="J74" s="107" t="s">
        <v>54</v>
      </c>
      <c r="K74" s="108"/>
      <c r="L74" s="106"/>
      <c r="M74" s="110"/>
      <c r="N74" s="105" t="s">
        <v>78</v>
      </c>
      <c r="O74" s="105" t="str">
        <f t="shared" si="4"/>
        <v/>
      </c>
      <c r="P74" s="105"/>
      <c r="Q74" s="105" t="s">
        <v>77</v>
      </c>
      <c r="R74" s="105" t="s">
        <v>77</v>
      </c>
      <c r="S74" s="105"/>
      <c r="T74" s="105"/>
      <c r="U74" s="105"/>
      <c r="V74" s="105"/>
      <c r="W74" s="105" t="s">
        <v>80</v>
      </c>
      <c r="X74" s="105"/>
      <c r="Y74" s="105"/>
    </row>
    <row r="75" spans="1:25" s="99" customFormat="1" ht="26.25" customHeight="1">
      <c r="A75" s="100">
        <v>3816</v>
      </c>
      <c r="B75" s="101" t="s">
        <v>11</v>
      </c>
      <c r="C75" s="105" t="s">
        <v>52</v>
      </c>
      <c r="D75" s="105" t="s">
        <v>199</v>
      </c>
      <c r="E75" s="105" t="s">
        <v>44</v>
      </c>
      <c r="F75" s="101" t="str">
        <f t="shared" si="3"/>
        <v>-</v>
      </c>
      <c r="G75" s="106" t="s">
        <v>53</v>
      </c>
      <c r="H75" s="105"/>
      <c r="I75" s="106" t="s">
        <v>200</v>
      </c>
      <c r="J75" s="107" t="s">
        <v>54</v>
      </c>
      <c r="K75" s="108"/>
      <c r="L75" s="106"/>
      <c r="M75" s="110"/>
      <c r="N75" s="105" t="s">
        <v>78</v>
      </c>
      <c r="O75" s="105" t="str">
        <f t="shared" si="4"/>
        <v/>
      </c>
      <c r="P75" s="105"/>
      <c r="Q75" s="105" t="s">
        <v>77</v>
      </c>
      <c r="R75" s="105" t="s">
        <v>77</v>
      </c>
      <c r="S75" s="105"/>
      <c r="T75" s="105"/>
      <c r="U75" s="105"/>
      <c r="V75" s="105"/>
      <c r="W75" s="105" t="s">
        <v>80</v>
      </c>
      <c r="X75" s="105"/>
      <c r="Y75" s="105"/>
    </row>
    <row r="76" spans="1:25" s="99" customFormat="1" ht="26.25" customHeight="1">
      <c r="A76" s="100">
        <v>3817</v>
      </c>
      <c r="B76" s="101" t="s">
        <v>11</v>
      </c>
      <c r="C76" s="105" t="s">
        <v>52</v>
      </c>
      <c r="D76" s="105" t="s">
        <v>201</v>
      </c>
      <c r="E76" s="105" t="s">
        <v>44</v>
      </c>
      <c r="F76" s="101" t="str">
        <f t="shared" si="3"/>
        <v>-</v>
      </c>
      <c r="G76" s="106" t="s">
        <v>53</v>
      </c>
      <c r="H76" s="105"/>
      <c r="I76" s="106" t="s">
        <v>202</v>
      </c>
      <c r="J76" s="107" t="s">
        <v>54</v>
      </c>
      <c r="K76" s="108"/>
      <c r="L76" s="106"/>
      <c r="M76" s="110"/>
      <c r="N76" s="105" t="s">
        <v>78</v>
      </c>
      <c r="O76" s="105" t="str">
        <f t="shared" si="4"/>
        <v/>
      </c>
      <c r="P76" s="105"/>
      <c r="Q76" s="105" t="s">
        <v>77</v>
      </c>
      <c r="R76" s="105" t="s">
        <v>77</v>
      </c>
      <c r="S76" s="105"/>
      <c r="T76" s="105"/>
      <c r="U76" s="105"/>
      <c r="V76" s="105"/>
      <c r="W76" s="105" t="s">
        <v>80</v>
      </c>
      <c r="X76" s="105"/>
      <c r="Y76" s="105"/>
    </row>
    <row r="77" spans="1:25" s="99" customFormat="1" ht="26.25" customHeight="1">
      <c r="A77" s="100">
        <v>3818</v>
      </c>
      <c r="B77" s="101" t="s">
        <v>11</v>
      </c>
      <c r="C77" s="105" t="s">
        <v>52</v>
      </c>
      <c r="D77" s="105" t="s">
        <v>203</v>
      </c>
      <c r="E77" s="105" t="s">
        <v>44</v>
      </c>
      <c r="F77" s="101" t="str">
        <f t="shared" si="3"/>
        <v>-</v>
      </c>
      <c r="G77" s="106" t="s">
        <v>53</v>
      </c>
      <c r="H77" s="105"/>
      <c r="I77" s="106" t="s">
        <v>204</v>
      </c>
      <c r="J77" s="107" t="s">
        <v>54</v>
      </c>
      <c r="K77" s="108"/>
      <c r="L77" s="106"/>
      <c r="M77" s="110"/>
      <c r="N77" s="105" t="s">
        <v>78</v>
      </c>
      <c r="O77" s="105" t="str">
        <f t="shared" si="4"/>
        <v/>
      </c>
      <c r="P77" s="105"/>
      <c r="Q77" s="105" t="s">
        <v>77</v>
      </c>
      <c r="R77" s="105" t="s">
        <v>77</v>
      </c>
      <c r="S77" s="105"/>
      <c r="T77" s="105"/>
      <c r="U77" s="105"/>
      <c r="V77" s="105"/>
      <c r="W77" s="105" t="s">
        <v>80</v>
      </c>
      <c r="X77" s="105"/>
      <c r="Y77" s="105"/>
    </row>
    <row r="78" spans="1:25" s="99" customFormat="1" ht="26.25" customHeight="1">
      <c r="A78" s="100">
        <v>3819</v>
      </c>
      <c r="B78" s="101" t="s">
        <v>11</v>
      </c>
      <c r="C78" s="105" t="s">
        <v>52</v>
      </c>
      <c r="D78" s="105" t="s">
        <v>205</v>
      </c>
      <c r="E78" s="105" t="s">
        <v>44</v>
      </c>
      <c r="F78" s="101" t="str">
        <f t="shared" si="3"/>
        <v>-</v>
      </c>
      <c r="G78" s="106" t="s">
        <v>53</v>
      </c>
      <c r="H78" s="105"/>
      <c r="I78" s="106" t="s">
        <v>206</v>
      </c>
      <c r="J78" s="107" t="s">
        <v>54</v>
      </c>
      <c r="K78" s="108"/>
      <c r="L78" s="106"/>
      <c r="M78" s="110"/>
      <c r="N78" s="105" t="s">
        <v>78</v>
      </c>
      <c r="O78" s="105" t="str">
        <f t="shared" si="4"/>
        <v/>
      </c>
      <c r="P78" s="105"/>
      <c r="Q78" s="105" t="s">
        <v>77</v>
      </c>
      <c r="R78" s="105" t="s">
        <v>77</v>
      </c>
      <c r="S78" s="105"/>
      <c r="T78" s="105"/>
      <c r="U78" s="105"/>
      <c r="V78" s="105"/>
      <c r="W78" s="105" t="s">
        <v>80</v>
      </c>
      <c r="X78" s="105"/>
      <c r="Y78" s="105"/>
    </row>
    <row r="79" spans="1:25" s="99" customFormat="1" ht="26.25" customHeight="1">
      <c r="A79" s="100">
        <v>3820</v>
      </c>
      <c r="B79" s="101" t="s">
        <v>11</v>
      </c>
      <c r="C79" s="105" t="s">
        <v>52</v>
      </c>
      <c r="D79" s="105" t="s">
        <v>207</v>
      </c>
      <c r="E79" s="105" t="s">
        <v>44</v>
      </c>
      <c r="F79" s="101" t="str">
        <f t="shared" si="3"/>
        <v>-</v>
      </c>
      <c r="G79" s="106" t="s">
        <v>53</v>
      </c>
      <c r="H79" s="105"/>
      <c r="I79" s="106" t="s">
        <v>208</v>
      </c>
      <c r="J79" s="107" t="s">
        <v>54</v>
      </c>
      <c r="K79" s="108"/>
      <c r="L79" s="106"/>
      <c r="M79" s="110"/>
      <c r="N79" s="105" t="s">
        <v>78</v>
      </c>
      <c r="O79" s="105" t="str">
        <f t="shared" si="4"/>
        <v/>
      </c>
      <c r="P79" s="105"/>
      <c r="Q79" s="105" t="s">
        <v>77</v>
      </c>
      <c r="R79" s="105" t="s">
        <v>77</v>
      </c>
      <c r="S79" s="105"/>
      <c r="T79" s="105"/>
      <c r="U79" s="105"/>
      <c r="V79" s="105"/>
      <c r="W79" s="105" t="s">
        <v>80</v>
      </c>
      <c r="X79" s="105"/>
      <c r="Y79" s="105"/>
    </row>
    <row r="80" spans="1:25" s="99" customFormat="1" ht="26.25" customHeight="1">
      <c r="A80" s="100">
        <v>3821</v>
      </c>
      <c r="B80" s="101" t="s">
        <v>11</v>
      </c>
      <c r="C80" s="105" t="s">
        <v>52</v>
      </c>
      <c r="D80" s="105" t="s">
        <v>209</v>
      </c>
      <c r="E80" s="105" t="s">
        <v>44</v>
      </c>
      <c r="F80" s="101" t="str">
        <f t="shared" si="3"/>
        <v>-</v>
      </c>
      <c r="G80" s="106" t="s">
        <v>53</v>
      </c>
      <c r="H80" s="105"/>
      <c r="I80" s="106" t="s">
        <v>210</v>
      </c>
      <c r="J80" s="107" t="s">
        <v>54</v>
      </c>
      <c r="K80" s="108"/>
      <c r="L80" s="106"/>
      <c r="M80" s="110"/>
      <c r="N80" s="105" t="s">
        <v>78</v>
      </c>
      <c r="O80" s="105" t="str">
        <f t="shared" si="4"/>
        <v/>
      </c>
      <c r="P80" s="105"/>
      <c r="Q80" s="105" t="s">
        <v>77</v>
      </c>
      <c r="R80" s="105" t="s">
        <v>77</v>
      </c>
      <c r="S80" s="105"/>
      <c r="T80" s="105"/>
      <c r="U80" s="105"/>
      <c r="V80" s="105"/>
      <c r="W80" s="105" t="s">
        <v>80</v>
      </c>
      <c r="X80" s="105"/>
      <c r="Y80" s="105"/>
    </row>
    <row r="81" spans="1:25" s="99" customFormat="1" ht="26.25" customHeight="1">
      <c r="A81" s="100">
        <v>3822</v>
      </c>
      <c r="B81" s="101" t="s">
        <v>11</v>
      </c>
      <c r="C81" s="105" t="s">
        <v>52</v>
      </c>
      <c r="D81" s="105" t="s">
        <v>211</v>
      </c>
      <c r="E81" s="105" t="s">
        <v>44</v>
      </c>
      <c r="F81" s="101" t="str">
        <f t="shared" si="3"/>
        <v>-</v>
      </c>
      <c r="G81" s="106" t="s">
        <v>53</v>
      </c>
      <c r="H81" s="105"/>
      <c r="I81" s="106" t="s">
        <v>212</v>
      </c>
      <c r="J81" s="107" t="s">
        <v>54</v>
      </c>
      <c r="K81" s="108"/>
      <c r="L81" s="106"/>
      <c r="M81" s="110"/>
      <c r="N81" s="105" t="s">
        <v>78</v>
      </c>
      <c r="O81" s="105" t="str">
        <f t="shared" si="4"/>
        <v/>
      </c>
      <c r="P81" s="105"/>
      <c r="Q81" s="105" t="s">
        <v>77</v>
      </c>
      <c r="R81" s="105" t="s">
        <v>77</v>
      </c>
      <c r="S81" s="105"/>
      <c r="T81" s="105"/>
      <c r="U81" s="105"/>
      <c r="V81" s="105"/>
      <c r="W81" s="105" t="s">
        <v>80</v>
      </c>
      <c r="X81" s="105"/>
      <c r="Y81" s="105"/>
    </row>
    <row r="82" spans="1:25" s="99" customFormat="1" ht="26.25" customHeight="1">
      <c r="A82" s="100">
        <v>3823</v>
      </c>
      <c r="B82" s="101" t="s">
        <v>11</v>
      </c>
      <c r="C82" s="105" t="s">
        <v>52</v>
      </c>
      <c r="D82" s="105" t="s">
        <v>213</v>
      </c>
      <c r="E82" s="105" t="s">
        <v>44</v>
      </c>
      <c r="F82" s="101" t="str">
        <f t="shared" si="3"/>
        <v>-</v>
      </c>
      <c r="G82" s="106" t="s">
        <v>53</v>
      </c>
      <c r="H82" s="105"/>
      <c r="I82" s="106" t="s">
        <v>214</v>
      </c>
      <c r="J82" s="107" t="s">
        <v>54</v>
      </c>
      <c r="K82" s="108"/>
      <c r="L82" s="106"/>
      <c r="M82" s="110"/>
      <c r="N82" s="105" t="s">
        <v>78</v>
      </c>
      <c r="O82" s="105" t="str">
        <f t="shared" si="4"/>
        <v/>
      </c>
      <c r="P82" s="105"/>
      <c r="Q82" s="105" t="s">
        <v>77</v>
      </c>
      <c r="R82" s="105" t="s">
        <v>77</v>
      </c>
      <c r="S82" s="105"/>
      <c r="T82" s="105"/>
      <c r="U82" s="105"/>
      <c r="V82" s="105"/>
      <c r="W82" s="105" t="s">
        <v>80</v>
      </c>
      <c r="X82" s="105"/>
      <c r="Y82" s="105"/>
    </row>
    <row r="83" spans="1:25" s="99" customFormat="1" ht="26.25" customHeight="1">
      <c r="A83" s="100">
        <v>3824</v>
      </c>
      <c r="B83" s="101" t="s">
        <v>11</v>
      </c>
      <c r="C83" s="105" t="s">
        <v>52</v>
      </c>
      <c r="D83" s="105" t="s">
        <v>215</v>
      </c>
      <c r="E83" s="105" t="s">
        <v>44</v>
      </c>
      <c r="F83" s="101" t="str">
        <f t="shared" si="3"/>
        <v>-</v>
      </c>
      <c r="G83" s="106" t="s">
        <v>53</v>
      </c>
      <c r="H83" s="105"/>
      <c r="I83" s="106" t="s">
        <v>216</v>
      </c>
      <c r="J83" s="107" t="s">
        <v>54</v>
      </c>
      <c r="K83" s="108"/>
      <c r="L83" s="106"/>
      <c r="M83" s="110"/>
      <c r="N83" s="105" t="s">
        <v>78</v>
      </c>
      <c r="O83" s="105" t="str">
        <f t="shared" si="4"/>
        <v/>
      </c>
      <c r="P83" s="105"/>
      <c r="Q83" s="105" t="s">
        <v>77</v>
      </c>
      <c r="R83" s="105" t="s">
        <v>77</v>
      </c>
      <c r="S83" s="105"/>
      <c r="T83" s="105"/>
      <c r="U83" s="105"/>
      <c r="V83" s="105"/>
      <c r="W83" s="105" t="s">
        <v>80</v>
      </c>
      <c r="X83" s="105"/>
      <c r="Y83" s="105"/>
    </row>
    <row r="84" spans="1:25" s="99" customFormat="1" ht="26.25" customHeight="1">
      <c r="A84" s="100">
        <v>3825</v>
      </c>
      <c r="B84" s="101" t="s">
        <v>11</v>
      </c>
      <c r="C84" s="105" t="s">
        <v>52</v>
      </c>
      <c r="D84" s="105" t="s">
        <v>217</v>
      </c>
      <c r="E84" s="105" t="s">
        <v>44</v>
      </c>
      <c r="F84" s="101" t="str">
        <f t="shared" si="3"/>
        <v>-</v>
      </c>
      <c r="G84" s="106" t="s">
        <v>53</v>
      </c>
      <c r="H84" s="105"/>
      <c r="I84" s="106" t="s">
        <v>218</v>
      </c>
      <c r="J84" s="107" t="s">
        <v>54</v>
      </c>
      <c r="K84" s="108"/>
      <c r="L84" s="106"/>
      <c r="M84" s="110"/>
      <c r="N84" s="105" t="s">
        <v>78</v>
      </c>
      <c r="O84" s="105" t="str">
        <f t="shared" si="4"/>
        <v/>
      </c>
      <c r="P84" s="105"/>
      <c r="Q84" s="105" t="s">
        <v>77</v>
      </c>
      <c r="R84" s="105" t="s">
        <v>77</v>
      </c>
      <c r="S84" s="105"/>
      <c r="T84" s="105"/>
      <c r="U84" s="105"/>
      <c r="V84" s="105"/>
      <c r="W84" s="105" t="s">
        <v>80</v>
      </c>
      <c r="X84" s="105"/>
      <c r="Y84" s="105"/>
    </row>
    <row r="85" spans="1:25" s="99" customFormat="1" ht="26.25" customHeight="1">
      <c r="A85" s="100">
        <v>3826</v>
      </c>
      <c r="B85" s="101" t="s">
        <v>11</v>
      </c>
      <c r="C85" s="105" t="s">
        <v>52</v>
      </c>
      <c r="D85" s="105" t="s">
        <v>219</v>
      </c>
      <c r="E85" s="105" t="s">
        <v>44</v>
      </c>
      <c r="F85" s="101" t="str">
        <f t="shared" si="3"/>
        <v>-</v>
      </c>
      <c r="G85" s="106" t="s">
        <v>53</v>
      </c>
      <c r="H85" s="105"/>
      <c r="I85" s="106" t="s">
        <v>220</v>
      </c>
      <c r="J85" s="107" t="s">
        <v>54</v>
      </c>
      <c r="K85" s="108"/>
      <c r="L85" s="106"/>
      <c r="M85" s="110"/>
      <c r="N85" s="105" t="s">
        <v>78</v>
      </c>
      <c r="O85" s="105" t="str">
        <f t="shared" si="4"/>
        <v/>
      </c>
      <c r="P85" s="105"/>
      <c r="Q85" s="105" t="s">
        <v>77</v>
      </c>
      <c r="R85" s="105" t="s">
        <v>77</v>
      </c>
      <c r="S85" s="105"/>
      <c r="T85" s="105"/>
      <c r="U85" s="105"/>
      <c r="V85" s="105"/>
      <c r="W85" s="105" t="s">
        <v>80</v>
      </c>
      <c r="X85" s="105"/>
      <c r="Y85" s="105"/>
    </row>
    <row r="86" spans="1:25" s="99" customFormat="1" ht="26.25" customHeight="1">
      <c r="A86" s="100">
        <v>3827</v>
      </c>
      <c r="B86" s="101" t="s">
        <v>11</v>
      </c>
      <c r="C86" s="105" t="s">
        <v>52</v>
      </c>
      <c r="D86" s="105" t="s">
        <v>221</v>
      </c>
      <c r="E86" s="105" t="s">
        <v>44</v>
      </c>
      <c r="F86" s="101" t="str">
        <f t="shared" ref="F86:F149" si="5">IF(B86&lt;&gt;"","-","")</f>
        <v>-</v>
      </c>
      <c r="G86" s="106" t="s">
        <v>53</v>
      </c>
      <c r="H86" s="105"/>
      <c r="I86" s="106" t="s">
        <v>222</v>
      </c>
      <c r="J86" s="107" t="s">
        <v>54</v>
      </c>
      <c r="K86" s="108"/>
      <c r="L86" s="106"/>
      <c r="M86" s="110"/>
      <c r="N86" s="105" t="s">
        <v>78</v>
      </c>
      <c r="O86" s="105" t="str">
        <f t="shared" ref="O86:O149" si="6">IF(OR(R86&lt;&gt;"",Q86&lt;&gt;""),"X","")</f>
        <v/>
      </c>
      <c r="P86" s="105"/>
      <c r="Q86" s="105" t="s">
        <v>77</v>
      </c>
      <c r="R86" s="105" t="s">
        <v>77</v>
      </c>
      <c r="S86" s="105"/>
      <c r="T86" s="105"/>
      <c r="U86" s="105"/>
      <c r="V86" s="105"/>
      <c r="W86" s="105" t="s">
        <v>80</v>
      </c>
      <c r="X86" s="105"/>
      <c r="Y86" s="105"/>
    </row>
    <row r="87" spans="1:25" s="99" customFormat="1" ht="26.25" customHeight="1">
      <c r="A87" s="100">
        <v>3828</v>
      </c>
      <c r="B87" s="101" t="s">
        <v>11</v>
      </c>
      <c r="C87" s="105" t="s">
        <v>52</v>
      </c>
      <c r="D87" s="105" t="s">
        <v>223</v>
      </c>
      <c r="E87" s="105" t="s">
        <v>44</v>
      </c>
      <c r="F87" s="101" t="str">
        <f t="shared" si="5"/>
        <v>-</v>
      </c>
      <c r="G87" s="106" t="s">
        <v>53</v>
      </c>
      <c r="H87" s="105"/>
      <c r="I87" s="106" t="s">
        <v>224</v>
      </c>
      <c r="J87" s="107" t="s">
        <v>54</v>
      </c>
      <c r="K87" s="108"/>
      <c r="L87" s="106"/>
      <c r="M87" s="110"/>
      <c r="N87" s="105" t="s">
        <v>78</v>
      </c>
      <c r="O87" s="105" t="str">
        <f t="shared" si="6"/>
        <v/>
      </c>
      <c r="P87" s="105"/>
      <c r="Q87" s="105" t="s">
        <v>77</v>
      </c>
      <c r="R87" s="105" t="s">
        <v>77</v>
      </c>
      <c r="S87" s="105"/>
      <c r="T87" s="105"/>
      <c r="U87" s="105"/>
      <c r="V87" s="105"/>
      <c r="W87" s="105" t="s">
        <v>80</v>
      </c>
      <c r="X87" s="105"/>
      <c r="Y87" s="105"/>
    </row>
    <row r="88" spans="1:25" s="99" customFormat="1" ht="26.25" customHeight="1">
      <c r="A88" s="100">
        <v>3829</v>
      </c>
      <c r="B88" s="101" t="s">
        <v>11</v>
      </c>
      <c r="C88" s="105" t="s">
        <v>52</v>
      </c>
      <c r="D88" s="105" t="s">
        <v>225</v>
      </c>
      <c r="E88" s="105" t="s">
        <v>44</v>
      </c>
      <c r="F88" s="101" t="str">
        <f t="shared" si="5"/>
        <v>-</v>
      </c>
      <c r="G88" s="106" t="s">
        <v>53</v>
      </c>
      <c r="H88" s="105"/>
      <c r="I88" s="106" t="s">
        <v>226</v>
      </c>
      <c r="J88" s="107" t="s">
        <v>54</v>
      </c>
      <c r="K88" s="108"/>
      <c r="L88" s="106"/>
      <c r="M88" s="110"/>
      <c r="N88" s="105" t="s">
        <v>78</v>
      </c>
      <c r="O88" s="105" t="str">
        <f t="shared" si="6"/>
        <v/>
      </c>
      <c r="P88" s="105"/>
      <c r="Q88" s="105" t="s">
        <v>77</v>
      </c>
      <c r="R88" s="105" t="s">
        <v>77</v>
      </c>
      <c r="S88" s="105"/>
      <c r="T88" s="105"/>
      <c r="U88" s="105"/>
      <c r="V88" s="105"/>
      <c r="W88" s="105" t="s">
        <v>80</v>
      </c>
      <c r="X88" s="105"/>
      <c r="Y88" s="105"/>
    </row>
    <row r="89" spans="1:25" s="99" customFormat="1" ht="26.25" customHeight="1">
      <c r="A89" s="100">
        <v>3830</v>
      </c>
      <c r="B89" s="101" t="s">
        <v>11</v>
      </c>
      <c r="C89" s="105" t="s">
        <v>52</v>
      </c>
      <c r="D89" s="105" t="s">
        <v>227</v>
      </c>
      <c r="E89" s="105" t="s">
        <v>44</v>
      </c>
      <c r="F89" s="101" t="str">
        <f t="shared" si="5"/>
        <v>-</v>
      </c>
      <c r="G89" s="106" t="s">
        <v>53</v>
      </c>
      <c r="H89" s="105"/>
      <c r="I89" s="106" t="s">
        <v>228</v>
      </c>
      <c r="J89" s="107" t="s">
        <v>54</v>
      </c>
      <c r="K89" s="108"/>
      <c r="L89" s="106"/>
      <c r="M89" s="110"/>
      <c r="N89" s="105" t="s">
        <v>78</v>
      </c>
      <c r="O89" s="105" t="str">
        <f t="shared" si="6"/>
        <v/>
      </c>
      <c r="P89" s="105"/>
      <c r="Q89" s="105" t="s">
        <v>77</v>
      </c>
      <c r="R89" s="105" t="s">
        <v>77</v>
      </c>
      <c r="S89" s="105"/>
      <c r="T89" s="105"/>
      <c r="U89" s="105"/>
      <c r="V89" s="105"/>
      <c r="W89" s="105" t="s">
        <v>80</v>
      </c>
      <c r="X89" s="105"/>
      <c r="Y89" s="105"/>
    </row>
    <row r="90" spans="1:25" s="99" customFormat="1" ht="26.25" customHeight="1">
      <c r="A90" s="100">
        <v>3831</v>
      </c>
      <c r="B90" s="101" t="s">
        <v>11</v>
      </c>
      <c r="C90" s="105" t="s">
        <v>52</v>
      </c>
      <c r="D90" s="105" t="s">
        <v>229</v>
      </c>
      <c r="E90" s="105" t="s">
        <v>44</v>
      </c>
      <c r="F90" s="101" t="str">
        <f t="shared" si="5"/>
        <v>-</v>
      </c>
      <c r="G90" s="106" t="s">
        <v>53</v>
      </c>
      <c r="H90" s="105"/>
      <c r="I90" s="106" t="s">
        <v>230</v>
      </c>
      <c r="J90" s="107" t="s">
        <v>54</v>
      </c>
      <c r="K90" s="108"/>
      <c r="L90" s="106"/>
      <c r="M90" s="110"/>
      <c r="N90" s="105" t="s">
        <v>78</v>
      </c>
      <c r="O90" s="105" t="str">
        <f t="shared" si="6"/>
        <v/>
      </c>
      <c r="P90" s="105"/>
      <c r="Q90" s="105" t="s">
        <v>77</v>
      </c>
      <c r="R90" s="105" t="s">
        <v>77</v>
      </c>
      <c r="S90" s="105"/>
      <c r="T90" s="105"/>
      <c r="U90" s="105"/>
      <c r="V90" s="105"/>
      <c r="W90" s="105" t="s">
        <v>80</v>
      </c>
      <c r="X90" s="105"/>
      <c r="Y90" s="105"/>
    </row>
    <row r="91" spans="1:25" s="99" customFormat="1" ht="26.25" customHeight="1">
      <c r="A91" s="100">
        <v>3832</v>
      </c>
      <c r="B91" s="101" t="s">
        <v>11</v>
      </c>
      <c r="C91" s="105" t="s">
        <v>52</v>
      </c>
      <c r="D91" s="105" t="s">
        <v>231</v>
      </c>
      <c r="E91" s="105" t="s">
        <v>44</v>
      </c>
      <c r="F91" s="101" t="str">
        <f t="shared" si="5"/>
        <v>-</v>
      </c>
      <c r="G91" s="106" t="s">
        <v>53</v>
      </c>
      <c r="H91" s="105"/>
      <c r="I91" s="106" t="s">
        <v>232</v>
      </c>
      <c r="J91" s="107" t="s">
        <v>54</v>
      </c>
      <c r="K91" s="108"/>
      <c r="L91" s="106"/>
      <c r="M91" s="110"/>
      <c r="N91" s="105" t="s">
        <v>78</v>
      </c>
      <c r="O91" s="105" t="str">
        <f t="shared" si="6"/>
        <v/>
      </c>
      <c r="P91" s="105"/>
      <c r="Q91" s="105" t="s">
        <v>77</v>
      </c>
      <c r="R91" s="105" t="s">
        <v>77</v>
      </c>
      <c r="S91" s="105"/>
      <c r="T91" s="105"/>
      <c r="U91" s="105"/>
      <c r="V91" s="105"/>
      <c r="W91" s="105" t="s">
        <v>80</v>
      </c>
      <c r="X91" s="105"/>
      <c r="Y91" s="105"/>
    </row>
    <row r="92" spans="1:25" s="99" customFormat="1" ht="26.25" customHeight="1">
      <c r="A92" s="100">
        <v>3833</v>
      </c>
      <c r="B92" s="101" t="s">
        <v>11</v>
      </c>
      <c r="C92" s="105" t="s">
        <v>52</v>
      </c>
      <c r="D92" s="105" t="s">
        <v>233</v>
      </c>
      <c r="E92" s="105" t="s">
        <v>44</v>
      </c>
      <c r="F92" s="101" t="str">
        <f t="shared" si="5"/>
        <v>-</v>
      </c>
      <c r="G92" s="106" t="s">
        <v>53</v>
      </c>
      <c r="H92" s="105"/>
      <c r="I92" s="106" t="s">
        <v>234</v>
      </c>
      <c r="J92" s="107" t="s">
        <v>54</v>
      </c>
      <c r="K92" s="108"/>
      <c r="L92" s="106"/>
      <c r="M92" s="110"/>
      <c r="N92" s="105" t="s">
        <v>78</v>
      </c>
      <c r="O92" s="105" t="str">
        <f t="shared" si="6"/>
        <v/>
      </c>
      <c r="P92" s="105"/>
      <c r="Q92" s="105" t="s">
        <v>77</v>
      </c>
      <c r="R92" s="105" t="s">
        <v>77</v>
      </c>
      <c r="S92" s="105"/>
      <c r="T92" s="105"/>
      <c r="U92" s="105"/>
      <c r="V92" s="105"/>
      <c r="W92" s="105" t="s">
        <v>80</v>
      </c>
      <c r="X92" s="105"/>
      <c r="Y92" s="105"/>
    </row>
    <row r="93" spans="1:25" s="99" customFormat="1" ht="26.25" customHeight="1">
      <c r="A93" s="100">
        <v>3834</v>
      </c>
      <c r="B93" s="101" t="s">
        <v>11</v>
      </c>
      <c r="C93" s="105" t="s">
        <v>52</v>
      </c>
      <c r="D93" s="105" t="s">
        <v>235</v>
      </c>
      <c r="E93" s="105" t="s">
        <v>44</v>
      </c>
      <c r="F93" s="101" t="str">
        <f t="shared" si="5"/>
        <v>-</v>
      </c>
      <c r="G93" s="106" t="s">
        <v>53</v>
      </c>
      <c r="H93" s="105"/>
      <c r="I93" s="106" t="s">
        <v>236</v>
      </c>
      <c r="J93" s="107" t="s">
        <v>54</v>
      </c>
      <c r="K93" s="108"/>
      <c r="L93" s="106"/>
      <c r="M93" s="110"/>
      <c r="N93" s="105" t="s">
        <v>78</v>
      </c>
      <c r="O93" s="105" t="str">
        <f t="shared" si="6"/>
        <v/>
      </c>
      <c r="P93" s="105"/>
      <c r="Q93" s="105" t="s">
        <v>77</v>
      </c>
      <c r="R93" s="105" t="s">
        <v>77</v>
      </c>
      <c r="S93" s="105"/>
      <c r="T93" s="105"/>
      <c r="U93" s="105"/>
      <c r="V93" s="105"/>
      <c r="W93" s="105" t="s">
        <v>80</v>
      </c>
      <c r="X93" s="105"/>
      <c r="Y93" s="105"/>
    </row>
    <row r="94" spans="1:25" s="99" customFormat="1" ht="26.25" customHeight="1">
      <c r="A94" s="100">
        <v>3835</v>
      </c>
      <c r="B94" s="101" t="s">
        <v>11</v>
      </c>
      <c r="C94" s="105" t="s">
        <v>52</v>
      </c>
      <c r="D94" s="105" t="s">
        <v>237</v>
      </c>
      <c r="E94" s="105" t="s">
        <v>44</v>
      </c>
      <c r="F94" s="101" t="str">
        <f t="shared" si="5"/>
        <v>-</v>
      </c>
      <c r="G94" s="106" t="s">
        <v>53</v>
      </c>
      <c r="H94" s="105"/>
      <c r="I94" s="106" t="s">
        <v>238</v>
      </c>
      <c r="J94" s="107" t="s">
        <v>54</v>
      </c>
      <c r="K94" s="108"/>
      <c r="L94" s="106"/>
      <c r="M94" s="110"/>
      <c r="N94" s="105" t="s">
        <v>78</v>
      </c>
      <c r="O94" s="105" t="str">
        <f t="shared" si="6"/>
        <v/>
      </c>
      <c r="P94" s="105"/>
      <c r="Q94" s="105" t="s">
        <v>77</v>
      </c>
      <c r="R94" s="105" t="s">
        <v>77</v>
      </c>
      <c r="S94" s="105"/>
      <c r="T94" s="105"/>
      <c r="U94" s="105"/>
      <c r="V94" s="105"/>
      <c r="W94" s="105" t="s">
        <v>80</v>
      </c>
      <c r="X94" s="105"/>
      <c r="Y94" s="105"/>
    </row>
    <row r="95" spans="1:25" s="99" customFormat="1" ht="26.25" customHeight="1">
      <c r="A95" s="100">
        <v>3836</v>
      </c>
      <c r="B95" s="101" t="s">
        <v>11</v>
      </c>
      <c r="C95" s="105" t="s">
        <v>52</v>
      </c>
      <c r="D95" s="105" t="s">
        <v>239</v>
      </c>
      <c r="E95" s="105" t="s">
        <v>44</v>
      </c>
      <c r="F95" s="101" t="str">
        <f t="shared" si="5"/>
        <v>-</v>
      </c>
      <c r="G95" s="106" t="s">
        <v>53</v>
      </c>
      <c r="H95" s="105"/>
      <c r="I95" s="106" t="s">
        <v>240</v>
      </c>
      <c r="J95" s="107" t="s">
        <v>54</v>
      </c>
      <c r="K95" s="108"/>
      <c r="L95" s="106"/>
      <c r="M95" s="110"/>
      <c r="N95" s="105" t="s">
        <v>78</v>
      </c>
      <c r="O95" s="105" t="str">
        <f t="shared" si="6"/>
        <v/>
      </c>
      <c r="P95" s="105"/>
      <c r="Q95" s="105" t="s">
        <v>77</v>
      </c>
      <c r="R95" s="105" t="s">
        <v>77</v>
      </c>
      <c r="S95" s="105"/>
      <c r="T95" s="105"/>
      <c r="U95" s="105"/>
      <c r="V95" s="105"/>
      <c r="W95" s="105" t="s">
        <v>80</v>
      </c>
      <c r="X95" s="105"/>
      <c r="Y95" s="105"/>
    </row>
    <row r="96" spans="1:25" s="99" customFormat="1" ht="26.25" customHeight="1">
      <c r="A96" s="100">
        <v>3837</v>
      </c>
      <c r="B96" s="101" t="s">
        <v>11</v>
      </c>
      <c r="C96" s="105" t="s">
        <v>52</v>
      </c>
      <c r="D96" s="105" t="s">
        <v>241</v>
      </c>
      <c r="E96" s="105" t="s">
        <v>44</v>
      </c>
      <c r="F96" s="101" t="str">
        <f t="shared" si="5"/>
        <v>-</v>
      </c>
      <c r="G96" s="106" t="s">
        <v>53</v>
      </c>
      <c r="H96" s="105"/>
      <c r="I96" s="106" t="s">
        <v>242</v>
      </c>
      <c r="J96" s="107" t="s">
        <v>54</v>
      </c>
      <c r="K96" s="108"/>
      <c r="L96" s="106"/>
      <c r="M96" s="110"/>
      <c r="N96" s="105" t="s">
        <v>78</v>
      </c>
      <c r="O96" s="105" t="str">
        <f t="shared" si="6"/>
        <v/>
      </c>
      <c r="P96" s="105"/>
      <c r="Q96" s="105" t="s">
        <v>77</v>
      </c>
      <c r="R96" s="105" t="s">
        <v>77</v>
      </c>
      <c r="S96" s="105"/>
      <c r="T96" s="105"/>
      <c r="U96" s="105"/>
      <c r="V96" s="105"/>
      <c r="W96" s="105" t="s">
        <v>80</v>
      </c>
      <c r="X96" s="105"/>
      <c r="Y96" s="105"/>
    </row>
    <row r="97" spans="1:25" s="99" customFormat="1" ht="26.25" customHeight="1">
      <c r="A97" s="100">
        <v>3838</v>
      </c>
      <c r="B97" s="101" t="s">
        <v>11</v>
      </c>
      <c r="C97" s="105" t="s">
        <v>52</v>
      </c>
      <c r="D97" s="105" t="s">
        <v>243</v>
      </c>
      <c r="E97" s="105" t="s">
        <v>44</v>
      </c>
      <c r="F97" s="101" t="str">
        <f t="shared" si="5"/>
        <v>-</v>
      </c>
      <c r="G97" s="106" t="s">
        <v>53</v>
      </c>
      <c r="H97" s="105"/>
      <c r="I97" s="106" t="s">
        <v>244</v>
      </c>
      <c r="J97" s="107" t="s">
        <v>54</v>
      </c>
      <c r="K97" s="108"/>
      <c r="L97" s="106"/>
      <c r="M97" s="110"/>
      <c r="N97" s="105" t="s">
        <v>78</v>
      </c>
      <c r="O97" s="105" t="str">
        <f t="shared" si="6"/>
        <v/>
      </c>
      <c r="P97" s="105"/>
      <c r="Q97" s="105" t="s">
        <v>77</v>
      </c>
      <c r="R97" s="105" t="s">
        <v>77</v>
      </c>
      <c r="S97" s="105"/>
      <c r="T97" s="105"/>
      <c r="U97" s="105"/>
      <c r="V97" s="105"/>
      <c r="W97" s="105" t="s">
        <v>80</v>
      </c>
      <c r="X97" s="105"/>
      <c r="Y97" s="105"/>
    </row>
    <row r="98" spans="1:25" s="99" customFormat="1" ht="26.25" customHeight="1">
      <c r="A98" s="100">
        <v>3839</v>
      </c>
      <c r="B98" s="101" t="s">
        <v>11</v>
      </c>
      <c r="C98" s="105" t="s">
        <v>52</v>
      </c>
      <c r="D98" s="105" t="s">
        <v>245</v>
      </c>
      <c r="E98" s="105" t="s">
        <v>44</v>
      </c>
      <c r="F98" s="101" t="str">
        <f t="shared" si="5"/>
        <v>-</v>
      </c>
      <c r="G98" s="106" t="s">
        <v>53</v>
      </c>
      <c r="H98" s="105"/>
      <c r="I98" s="106" t="s">
        <v>246</v>
      </c>
      <c r="J98" s="107" t="s">
        <v>54</v>
      </c>
      <c r="K98" s="108"/>
      <c r="L98" s="106"/>
      <c r="M98" s="110"/>
      <c r="N98" s="105" t="s">
        <v>78</v>
      </c>
      <c r="O98" s="105" t="str">
        <f t="shared" si="6"/>
        <v/>
      </c>
      <c r="P98" s="105"/>
      <c r="Q98" s="105" t="s">
        <v>77</v>
      </c>
      <c r="R98" s="105" t="s">
        <v>77</v>
      </c>
      <c r="S98" s="105"/>
      <c r="T98" s="105"/>
      <c r="U98" s="105"/>
      <c r="V98" s="105"/>
      <c r="W98" s="105" t="s">
        <v>80</v>
      </c>
      <c r="X98" s="105"/>
      <c r="Y98" s="105"/>
    </row>
    <row r="99" spans="1:25" s="99" customFormat="1" ht="26.25" customHeight="1">
      <c r="A99" s="100">
        <v>3840</v>
      </c>
      <c r="B99" s="101" t="s">
        <v>11</v>
      </c>
      <c r="C99" s="105" t="s">
        <v>52</v>
      </c>
      <c r="D99" s="105" t="s">
        <v>247</v>
      </c>
      <c r="E99" s="105" t="s">
        <v>44</v>
      </c>
      <c r="F99" s="101" t="str">
        <f t="shared" si="5"/>
        <v>-</v>
      </c>
      <c r="G99" s="106" t="s">
        <v>53</v>
      </c>
      <c r="H99" s="105"/>
      <c r="I99" s="106" t="s">
        <v>248</v>
      </c>
      <c r="J99" s="107" t="s">
        <v>54</v>
      </c>
      <c r="K99" s="108"/>
      <c r="L99" s="106"/>
      <c r="M99" s="110"/>
      <c r="N99" s="105" t="s">
        <v>78</v>
      </c>
      <c r="O99" s="105" t="str">
        <f t="shared" si="6"/>
        <v/>
      </c>
      <c r="P99" s="105"/>
      <c r="Q99" s="105" t="s">
        <v>77</v>
      </c>
      <c r="R99" s="105" t="s">
        <v>77</v>
      </c>
      <c r="S99" s="105"/>
      <c r="T99" s="105"/>
      <c r="U99" s="105"/>
      <c r="V99" s="105"/>
      <c r="W99" s="105" t="s">
        <v>80</v>
      </c>
      <c r="X99" s="105"/>
      <c r="Y99" s="105"/>
    </row>
    <row r="100" spans="1:25" s="99" customFormat="1" ht="26.25" customHeight="1">
      <c r="A100" s="100">
        <v>3841</v>
      </c>
      <c r="B100" s="101" t="s">
        <v>11</v>
      </c>
      <c r="C100" s="105" t="s">
        <v>52</v>
      </c>
      <c r="D100" s="105" t="s">
        <v>249</v>
      </c>
      <c r="E100" s="105" t="s">
        <v>44</v>
      </c>
      <c r="F100" s="101" t="str">
        <f t="shared" si="5"/>
        <v>-</v>
      </c>
      <c r="G100" s="106" t="s">
        <v>53</v>
      </c>
      <c r="H100" s="105"/>
      <c r="I100" s="106" t="s">
        <v>250</v>
      </c>
      <c r="J100" s="107" t="s">
        <v>54</v>
      </c>
      <c r="K100" s="108"/>
      <c r="L100" s="106"/>
      <c r="M100" s="110"/>
      <c r="N100" s="105" t="s">
        <v>78</v>
      </c>
      <c r="O100" s="105" t="str">
        <f t="shared" si="6"/>
        <v/>
      </c>
      <c r="P100" s="105"/>
      <c r="Q100" s="105" t="s">
        <v>77</v>
      </c>
      <c r="R100" s="105" t="s">
        <v>77</v>
      </c>
      <c r="S100" s="105"/>
      <c r="T100" s="105"/>
      <c r="U100" s="105"/>
      <c r="V100" s="105"/>
      <c r="W100" s="105" t="s">
        <v>80</v>
      </c>
      <c r="X100" s="105"/>
      <c r="Y100" s="105"/>
    </row>
    <row r="101" spans="1:25" s="99" customFormat="1" ht="26.25" customHeight="1">
      <c r="A101" s="100">
        <v>3842</v>
      </c>
      <c r="B101" s="101" t="s">
        <v>11</v>
      </c>
      <c r="C101" s="105" t="s">
        <v>52</v>
      </c>
      <c r="D101" s="105" t="s">
        <v>251</v>
      </c>
      <c r="E101" s="105" t="s">
        <v>44</v>
      </c>
      <c r="F101" s="101" t="str">
        <f t="shared" si="5"/>
        <v>-</v>
      </c>
      <c r="G101" s="106" t="s">
        <v>53</v>
      </c>
      <c r="H101" s="105"/>
      <c r="I101" s="106" t="s">
        <v>252</v>
      </c>
      <c r="J101" s="107" t="s">
        <v>54</v>
      </c>
      <c r="K101" s="108"/>
      <c r="L101" s="106"/>
      <c r="M101" s="110"/>
      <c r="N101" s="105" t="s">
        <v>78</v>
      </c>
      <c r="O101" s="105" t="str">
        <f t="shared" si="6"/>
        <v/>
      </c>
      <c r="P101" s="105"/>
      <c r="Q101" s="105" t="s">
        <v>77</v>
      </c>
      <c r="R101" s="105" t="s">
        <v>77</v>
      </c>
      <c r="S101" s="105"/>
      <c r="T101" s="105"/>
      <c r="U101" s="105"/>
      <c r="V101" s="105"/>
      <c r="W101" s="105" t="s">
        <v>80</v>
      </c>
      <c r="X101" s="105"/>
      <c r="Y101" s="105"/>
    </row>
    <row r="102" spans="1:25" s="99" customFormat="1" ht="26.25" customHeight="1">
      <c r="A102" s="100">
        <v>3843</v>
      </c>
      <c r="B102" s="101" t="s">
        <v>11</v>
      </c>
      <c r="C102" s="105" t="s">
        <v>52</v>
      </c>
      <c r="D102" s="105" t="s">
        <v>253</v>
      </c>
      <c r="E102" s="105" t="s">
        <v>44</v>
      </c>
      <c r="F102" s="101" t="str">
        <f t="shared" si="5"/>
        <v>-</v>
      </c>
      <c r="G102" s="106" t="s">
        <v>53</v>
      </c>
      <c r="H102" s="105"/>
      <c r="I102" s="106" t="s">
        <v>254</v>
      </c>
      <c r="J102" s="107" t="s">
        <v>54</v>
      </c>
      <c r="K102" s="108"/>
      <c r="L102" s="106"/>
      <c r="M102" s="110"/>
      <c r="N102" s="105" t="s">
        <v>78</v>
      </c>
      <c r="O102" s="105" t="str">
        <f t="shared" si="6"/>
        <v/>
      </c>
      <c r="P102" s="105"/>
      <c r="Q102" s="105" t="s">
        <v>77</v>
      </c>
      <c r="R102" s="105" t="s">
        <v>77</v>
      </c>
      <c r="S102" s="105"/>
      <c r="T102" s="105"/>
      <c r="U102" s="105"/>
      <c r="V102" s="105"/>
      <c r="W102" s="105" t="s">
        <v>80</v>
      </c>
      <c r="X102" s="105"/>
      <c r="Y102" s="105"/>
    </row>
    <row r="103" spans="1:25" s="99" customFormat="1" ht="26.25" customHeight="1">
      <c r="A103" s="100">
        <v>3844</v>
      </c>
      <c r="B103" s="101" t="s">
        <v>11</v>
      </c>
      <c r="C103" s="105" t="s">
        <v>52</v>
      </c>
      <c r="D103" s="105" t="s">
        <v>255</v>
      </c>
      <c r="E103" s="105" t="s">
        <v>44</v>
      </c>
      <c r="F103" s="101" t="str">
        <f t="shared" si="5"/>
        <v>-</v>
      </c>
      <c r="G103" s="106" t="s">
        <v>53</v>
      </c>
      <c r="H103" s="105"/>
      <c r="I103" s="106" t="s">
        <v>256</v>
      </c>
      <c r="J103" s="107" t="s">
        <v>54</v>
      </c>
      <c r="K103" s="108"/>
      <c r="L103" s="106"/>
      <c r="M103" s="110"/>
      <c r="N103" s="105" t="s">
        <v>78</v>
      </c>
      <c r="O103" s="105" t="str">
        <f t="shared" si="6"/>
        <v/>
      </c>
      <c r="P103" s="105"/>
      <c r="Q103" s="105" t="s">
        <v>77</v>
      </c>
      <c r="R103" s="105" t="s">
        <v>77</v>
      </c>
      <c r="S103" s="105"/>
      <c r="T103" s="105"/>
      <c r="U103" s="105"/>
      <c r="V103" s="105"/>
      <c r="W103" s="105" t="s">
        <v>80</v>
      </c>
      <c r="X103" s="105"/>
      <c r="Y103" s="105"/>
    </row>
    <row r="104" spans="1:25" s="99" customFormat="1" ht="26.25" customHeight="1">
      <c r="A104" s="100">
        <v>3845</v>
      </c>
      <c r="B104" s="101" t="s">
        <v>11</v>
      </c>
      <c r="C104" s="105" t="s">
        <v>52</v>
      </c>
      <c r="D104" s="105" t="s">
        <v>257</v>
      </c>
      <c r="E104" s="105" t="s">
        <v>44</v>
      </c>
      <c r="F104" s="101" t="str">
        <f t="shared" si="5"/>
        <v>-</v>
      </c>
      <c r="G104" s="106" t="s">
        <v>53</v>
      </c>
      <c r="H104" s="105"/>
      <c r="I104" s="106" t="s">
        <v>258</v>
      </c>
      <c r="J104" s="107" t="s">
        <v>54</v>
      </c>
      <c r="K104" s="108"/>
      <c r="L104" s="106"/>
      <c r="M104" s="110"/>
      <c r="N104" s="105" t="s">
        <v>78</v>
      </c>
      <c r="O104" s="105" t="str">
        <f t="shared" si="6"/>
        <v/>
      </c>
      <c r="P104" s="105"/>
      <c r="Q104" s="105" t="s">
        <v>77</v>
      </c>
      <c r="R104" s="105" t="s">
        <v>77</v>
      </c>
      <c r="S104" s="105"/>
      <c r="T104" s="105"/>
      <c r="U104" s="105"/>
      <c r="V104" s="105"/>
      <c r="W104" s="105" t="s">
        <v>80</v>
      </c>
      <c r="X104" s="105"/>
      <c r="Y104" s="105"/>
    </row>
    <row r="105" spans="1:25" s="99" customFormat="1" ht="26.25" customHeight="1">
      <c r="A105" s="100">
        <v>3846</v>
      </c>
      <c r="B105" s="101" t="s">
        <v>11</v>
      </c>
      <c r="C105" s="105" t="s">
        <v>52</v>
      </c>
      <c r="D105" s="105" t="s">
        <v>259</v>
      </c>
      <c r="E105" s="105" t="s">
        <v>44</v>
      </c>
      <c r="F105" s="101" t="str">
        <f t="shared" si="5"/>
        <v>-</v>
      </c>
      <c r="G105" s="106" t="s">
        <v>53</v>
      </c>
      <c r="H105" s="105"/>
      <c r="I105" s="106" t="s">
        <v>260</v>
      </c>
      <c r="J105" s="107" t="s">
        <v>54</v>
      </c>
      <c r="K105" s="108"/>
      <c r="L105" s="106"/>
      <c r="M105" s="110"/>
      <c r="N105" s="105" t="s">
        <v>78</v>
      </c>
      <c r="O105" s="105" t="str">
        <f t="shared" si="6"/>
        <v/>
      </c>
      <c r="P105" s="105"/>
      <c r="Q105" s="105" t="s">
        <v>77</v>
      </c>
      <c r="R105" s="105" t="s">
        <v>77</v>
      </c>
      <c r="S105" s="105"/>
      <c r="T105" s="105"/>
      <c r="U105" s="105"/>
      <c r="V105" s="105"/>
      <c r="W105" s="105" t="s">
        <v>80</v>
      </c>
      <c r="X105" s="105"/>
      <c r="Y105" s="105"/>
    </row>
    <row r="106" spans="1:25" s="99" customFormat="1" ht="26.25" customHeight="1">
      <c r="A106" s="100">
        <v>3847</v>
      </c>
      <c r="B106" s="101" t="s">
        <v>11</v>
      </c>
      <c r="C106" s="105" t="s">
        <v>52</v>
      </c>
      <c r="D106" s="105" t="s">
        <v>261</v>
      </c>
      <c r="E106" s="105" t="s">
        <v>44</v>
      </c>
      <c r="F106" s="101" t="str">
        <f t="shared" si="5"/>
        <v>-</v>
      </c>
      <c r="G106" s="106" t="s">
        <v>53</v>
      </c>
      <c r="H106" s="105"/>
      <c r="I106" s="106" t="s">
        <v>262</v>
      </c>
      <c r="J106" s="107" t="s">
        <v>54</v>
      </c>
      <c r="K106" s="108"/>
      <c r="L106" s="106"/>
      <c r="M106" s="110"/>
      <c r="N106" s="105" t="s">
        <v>78</v>
      </c>
      <c r="O106" s="105" t="str">
        <f t="shared" si="6"/>
        <v/>
      </c>
      <c r="P106" s="105"/>
      <c r="Q106" s="105" t="s">
        <v>77</v>
      </c>
      <c r="R106" s="105" t="s">
        <v>77</v>
      </c>
      <c r="S106" s="105"/>
      <c r="T106" s="105"/>
      <c r="U106" s="105"/>
      <c r="V106" s="105"/>
      <c r="W106" s="105" t="s">
        <v>80</v>
      </c>
      <c r="X106" s="105"/>
      <c r="Y106" s="105"/>
    </row>
    <row r="107" spans="1:25" s="99" customFormat="1" ht="26.25" customHeight="1">
      <c r="A107" s="100">
        <v>3848</v>
      </c>
      <c r="B107" s="101" t="s">
        <v>11</v>
      </c>
      <c r="C107" s="105" t="s">
        <v>52</v>
      </c>
      <c r="D107" s="105" t="s">
        <v>263</v>
      </c>
      <c r="E107" s="105" t="s">
        <v>44</v>
      </c>
      <c r="F107" s="101" t="str">
        <f t="shared" si="5"/>
        <v>-</v>
      </c>
      <c r="G107" s="106" t="s">
        <v>53</v>
      </c>
      <c r="H107" s="105"/>
      <c r="I107" s="106" t="s">
        <v>264</v>
      </c>
      <c r="J107" s="107" t="s">
        <v>54</v>
      </c>
      <c r="K107" s="108"/>
      <c r="L107" s="106"/>
      <c r="M107" s="110"/>
      <c r="N107" s="105" t="s">
        <v>78</v>
      </c>
      <c r="O107" s="105" t="str">
        <f t="shared" si="6"/>
        <v/>
      </c>
      <c r="P107" s="105"/>
      <c r="Q107" s="105" t="s">
        <v>77</v>
      </c>
      <c r="R107" s="105" t="s">
        <v>77</v>
      </c>
      <c r="S107" s="105"/>
      <c r="T107" s="105"/>
      <c r="U107" s="105"/>
      <c r="V107" s="105"/>
      <c r="W107" s="105" t="s">
        <v>80</v>
      </c>
      <c r="X107" s="105"/>
      <c r="Y107" s="105"/>
    </row>
    <row r="108" spans="1:25" s="99" customFormat="1" ht="26.25" customHeight="1">
      <c r="A108" s="100">
        <v>3849</v>
      </c>
      <c r="B108" s="101" t="s">
        <v>11</v>
      </c>
      <c r="C108" s="105" t="s">
        <v>52</v>
      </c>
      <c r="D108" s="105" t="s">
        <v>265</v>
      </c>
      <c r="E108" s="105" t="s">
        <v>44</v>
      </c>
      <c r="F108" s="101" t="str">
        <f t="shared" si="5"/>
        <v>-</v>
      </c>
      <c r="G108" s="106" t="s">
        <v>53</v>
      </c>
      <c r="H108" s="105"/>
      <c r="I108" s="106" t="s">
        <v>266</v>
      </c>
      <c r="J108" s="107" t="s">
        <v>54</v>
      </c>
      <c r="K108" s="108"/>
      <c r="L108" s="106"/>
      <c r="M108" s="110"/>
      <c r="N108" s="105" t="s">
        <v>78</v>
      </c>
      <c r="O108" s="105" t="str">
        <f t="shared" si="6"/>
        <v/>
      </c>
      <c r="P108" s="105"/>
      <c r="Q108" s="105" t="s">
        <v>77</v>
      </c>
      <c r="R108" s="105" t="s">
        <v>77</v>
      </c>
      <c r="S108" s="105"/>
      <c r="T108" s="105"/>
      <c r="U108" s="105"/>
      <c r="V108" s="105"/>
      <c r="W108" s="105" t="s">
        <v>80</v>
      </c>
      <c r="X108" s="105"/>
      <c r="Y108" s="105"/>
    </row>
    <row r="109" spans="1:25" s="99" customFormat="1" ht="26.25" customHeight="1">
      <c r="A109" s="100">
        <v>3850</v>
      </c>
      <c r="B109" s="101" t="s">
        <v>11</v>
      </c>
      <c r="C109" s="105" t="s">
        <v>52</v>
      </c>
      <c r="D109" s="105" t="s">
        <v>267</v>
      </c>
      <c r="E109" s="105" t="s">
        <v>44</v>
      </c>
      <c r="F109" s="101" t="str">
        <f t="shared" si="5"/>
        <v>-</v>
      </c>
      <c r="G109" s="106" t="s">
        <v>53</v>
      </c>
      <c r="H109" s="105"/>
      <c r="I109" s="106" t="s">
        <v>268</v>
      </c>
      <c r="J109" s="107" t="s">
        <v>54</v>
      </c>
      <c r="K109" s="108"/>
      <c r="L109" s="106"/>
      <c r="M109" s="110"/>
      <c r="N109" s="105" t="s">
        <v>78</v>
      </c>
      <c r="O109" s="105" t="str">
        <f t="shared" si="6"/>
        <v/>
      </c>
      <c r="P109" s="105"/>
      <c r="Q109" s="105" t="s">
        <v>77</v>
      </c>
      <c r="R109" s="105" t="s">
        <v>77</v>
      </c>
      <c r="S109" s="105"/>
      <c r="T109" s="105"/>
      <c r="U109" s="105"/>
      <c r="V109" s="105"/>
      <c r="W109" s="105" t="s">
        <v>80</v>
      </c>
      <c r="X109" s="105"/>
      <c r="Y109" s="105"/>
    </row>
    <row r="110" spans="1:25" s="99" customFormat="1" ht="26.25" customHeight="1">
      <c r="A110" s="100">
        <v>3851</v>
      </c>
      <c r="B110" s="101" t="s">
        <v>11</v>
      </c>
      <c r="C110" s="105" t="s">
        <v>52</v>
      </c>
      <c r="D110" s="105" t="s">
        <v>269</v>
      </c>
      <c r="E110" s="105" t="s">
        <v>44</v>
      </c>
      <c r="F110" s="101" t="str">
        <f t="shared" si="5"/>
        <v>-</v>
      </c>
      <c r="G110" s="106" t="s">
        <v>53</v>
      </c>
      <c r="H110" s="105"/>
      <c r="I110" s="106" t="s">
        <v>270</v>
      </c>
      <c r="J110" s="107" t="s">
        <v>54</v>
      </c>
      <c r="K110" s="108"/>
      <c r="L110" s="106"/>
      <c r="M110" s="110"/>
      <c r="N110" s="105" t="s">
        <v>78</v>
      </c>
      <c r="O110" s="105" t="str">
        <f t="shared" si="6"/>
        <v/>
      </c>
      <c r="P110" s="105"/>
      <c r="Q110" s="105" t="s">
        <v>77</v>
      </c>
      <c r="R110" s="105" t="s">
        <v>77</v>
      </c>
      <c r="S110" s="105"/>
      <c r="T110" s="105"/>
      <c r="U110" s="105"/>
      <c r="V110" s="105"/>
      <c r="W110" s="105" t="s">
        <v>80</v>
      </c>
      <c r="X110" s="105"/>
      <c r="Y110" s="105"/>
    </row>
    <row r="111" spans="1:25" s="99" customFormat="1" ht="26.25" customHeight="1">
      <c r="A111" s="100">
        <v>3852</v>
      </c>
      <c r="B111" s="101" t="s">
        <v>11</v>
      </c>
      <c r="C111" s="105" t="s">
        <v>52</v>
      </c>
      <c r="D111" s="105" t="s">
        <v>271</v>
      </c>
      <c r="E111" s="105" t="s">
        <v>44</v>
      </c>
      <c r="F111" s="101" t="str">
        <f t="shared" si="5"/>
        <v>-</v>
      </c>
      <c r="G111" s="106" t="s">
        <v>53</v>
      </c>
      <c r="H111" s="105"/>
      <c r="I111" s="106" t="s">
        <v>272</v>
      </c>
      <c r="J111" s="107" t="s">
        <v>54</v>
      </c>
      <c r="K111" s="108"/>
      <c r="L111" s="106"/>
      <c r="M111" s="110"/>
      <c r="N111" s="105" t="s">
        <v>78</v>
      </c>
      <c r="O111" s="105" t="str">
        <f t="shared" si="6"/>
        <v/>
      </c>
      <c r="P111" s="105"/>
      <c r="Q111" s="105" t="s">
        <v>77</v>
      </c>
      <c r="R111" s="105" t="s">
        <v>77</v>
      </c>
      <c r="S111" s="105"/>
      <c r="T111" s="105"/>
      <c r="U111" s="105"/>
      <c r="V111" s="105"/>
      <c r="W111" s="105" t="s">
        <v>80</v>
      </c>
      <c r="X111" s="105"/>
      <c r="Y111" s="105"/>
    </row>
    <row r="112" spans="1:25" s="99" customFormat="1" ht="26.25" customHeight="1">
      <c r="A112" s="100">
        <v>3853</v>
      </c>
      <c r="B112" s="101" t="s">
        <v>11</v>
      </c>
      <c r="C112" s="105" t="s">
        <v>52</v>
      </c>
      <c r="D112" s="105" t="s">
        <v>273</v>
      </c>
      <c r="E112" s="105" t="s">
        <v>44</v>
      </c>
      <c r="F112" s="101" t="str">
        <f t="shared" si="5"/>
        <v>-</v>
      </c>
      <c r="G112" s="106" t="s">
        <v>53</v>
      </c>
      <c r="H112" s="105"/>
      <c r="I112" s="106" t="s">
        <v>274</v>
      </c>
      <c r="J112" s="107" t="s">
        <v>54</v>
      </c>
      <c r="K112" s="108"/>
      <c r="L112" s="106"/>
      <c r="M112" s="110"/>
      <c r="N112" s="105" t="s">
        <v>78</v>
      </c>
      <c r="O112" s="105" t="str">
        <f t="shared" si="6"/>
        <v/>
      </c>
      <c r="P112" s="105"/>
      <c r="Q112" s="105" t="s">
        <v>77</v>
      </c>
      <c r="R112" s="105" t="s">
        <v>77</v>
      </c>
      <c r="S112" s="105"/>
      <c r="T112" s="105"/>
      <c r="U112" s="105"/>
      <c r="V112" s="105"/>
      <c r="W112" s="105" t="s">
        <v>80</v>
      </c>
      <c r="X112" s="105"/>
      <c r="Y112" s="105"/>
    </row>
    <row r="113" spans="1:25" s="99" customFormat="1" ht="26.25" customHeight="1">
      <c r="A113" s="100">
        <v>3854</v>
      </c>
      <c r="B113" s="101" t="s">
        <v>11</v>
      </c>
      <c r="C113" s="105" t="s">
        <v>52</v>
      </c>
      <c r="D113" s="105" t="s">
        <v>275</v>
      </c>
      <c r="E113" s="105" t="s">
        <v>44</v>
      </c>
      <c r="F113" s="101" t="str">
        <f t="shared" si="5"/>
        <v>-</v>
      </c>
      <c r="G113" s="106" t="s">
        <v>53</v>
      </c>
      <c r="H113" s="105"/>
      <c r="I113" s="106" t="s">
        <v>276</v>
      </c>
      <c r="J113" s="107" t="s">
        <v>54</v>
      </c>
      <c r="K113" s="108"/>
      <c r="L113" s="106"/>
      <c r="M113" s="110"/>
      <c r="N113" s="105" t="s">
        <v>78</v>
      </c>
      <c r="O113" s="105" t="str">
        <f t="shared" si="6"/>
        <v/>
      </c>
      <c r="P113" s="105"/>
      <c r="Q113" s="105" t="s">
        <v>77</v>
      </c>
      <c r="R113" s="105" t="s">
        <v>77</v>
      </c>
      <c r="S113" s="105"/>
      <c r="T113" s="105"/>
      <c r="U113" s="105"/>
      <c r="V113" s="105"/>
      <c r="W113" s="105" t="s">
        <v>80</v>
      </c>
      <c r="X113" s="105"/>
      <c r="Y113" s="105"/>
    </row>
    <row r="114" spans="1:25" s="99" customFormat="1" ht="26.25" customHeight="1">
      <c r="A114" s="100">
        <v>3855</v>
      </c>
      <c r="B114" s="101" t="s">
        <v>11</v>
      </c>
      <c r="C114" s="105" t="s">
        <v>52</v>
      </c>
      <c r="D114" s="105" t="s">
        <v>277</v>
      </c>
      <c r="E114" s="105" t="s">
        <v>44</v>
      </c>
      <c r="F114" s="101" t="str">
        <f t="shared" si="5"/>
        <v>-</v>
      </c>
      <c r="G114" s="106" t="s">
        <v>53</v>
      </c>
      <c r="H114" s="105"/>
      <c r="I114" s="106" t="s">
        <v>278</v>
      </c>
      <c r="J114" s="107" t="s">
        <v>54</v>
      </c>
      <c r="K114" s="108"/>
      <c r="L114" s="106"/>
      <c r="M114" s="110"/>
      <c r="N114" s="105" t="s">
        <v>78</v>
      </c>
      <c r="O114" s="105" t="str">
        <f t="shared" si="6"/>
        <v/>
      </c>
      <c r="P114" s="105"/>
      <c r="Q114" s="105" t="s">
        <v>77</v>
      </c>
      <c r="R114" s="105" t="s">
        <v>77</v>
      </c>
      <c r="S114" s="105"/>
      <c r="T114" s="105"/>
      <c r="U114" s="105"/>
      <c r="V114" s="105"/>
      <c r="W114" s="105" t="s">
        <v>80</v>
      </c>
      <c r="X114" s="105"/>
      <c r="Y114" s="105"/>
    </row>
    <row r="115" spans="1:25" s="99" customFormat="1" ht="26.25" customHeight="1">
      <c r="A115" s="100">
        <v>3856</v>
      </c>
      <c r="B115" s="101" t="s">
        <v>11</v>
      </c>
      <c r="C115" s="105" t="s">
        <v>52</v>
      </c>
      <c r="D115" s="105" t="s">
        <v>279</v>
      </c>
      <c r="E115" s="105" t="s">
        <v>44</v>
      </c>
      <c r="F115" s="101" t="str">
        <f t="shared" si="5"/>
        <v>-</v>
      </c>
      <c r="G115" s="106" t="s">
        <v>53</v>
      </c>
      <c r="H115" s="105"/>
      <c r="I115" s="106" t="s">
        <v>280</v>
      </c>
      <c r="J115" s="107" t="s">
        <v>54</v>
      </c>
      <c r="K115" s="108"/>
      <c r="L115" s="106"/>
      <c r="M115" s="110"/>
      <c r="N115" s="105" t="s">
        <v>78</v>
      </c>
      <c r="O115" s="105" t="str">
        <f t="shared" si="6"/>
        <v/>
      </c>
      <c r="P115" s="105"/>
      <c r="Q115" s="105" t="s">
        <v>77</v>
      </c>
      <c r="R115" s="105" t="s">
        <v>77</v>
      </c>
      <c r="S115" s="105"/>
      <c r="T115" s="105"/>
      <c r="U115" s="105"/>
      <c r="V115" s="105"/>
      <c r="W115" s="105" t="s">
        <v>80</v>
      </c>
      <c r="X115" s="105"/>
      <c r="Y115" s="105"/>
    </row>
    <row r="116" spans="1:25" s="99" customFormat="1" ht="26.25" customHeight="1">
      <c r="A116" s="100">
        <v>3857</v>
      </c>
      <c r="B116" s="101" t="s">
        <v>11</v>
      </c>
      <c r="C116" s="105" t="s">
        <v>52</v>
      </c>
      <c r="D116" s="105" t="s">
        <v>281</v>
      </c>
      <c r="E116" s="105" t="s">
        <v>44</v>
      </c>
      <c r="F116" s="101" t="str">
        <f t="shared" si="5"/>
        <v>-</v>
      </c>
      <c r="G116" s="106" t="s">
        <v>53</v>
      </c>
      <c r="H116" s="105"/>
      <c r="I116" s="106" t="s">
        <v>282</v>
      </c>
      <c r="J116" s="107" t="s">
        <v>54</v>
      </c>
      <c r="K116" s="108"/>
      <c r="L116" s="106"/>
      <c r="M116" s="110"/>
      <c r="N116" s="105" t="s">
        <v>78</v>
      </c>
      <c r="O116" s="105" t="str">
        <f t="shared" si="6"/>
        <v/>
      </c>
      <c r="P116" s="105"/>
      <c r="Q116" s="105" t="s">
        <v>77</v>
      </c>
      <c r="R116" s="105" t="s">
        <v>77</v>
      </c>
      <c r="S116" s="105"/>
      <c r="T116" s="105"/>
      <c r="U116" s="105"/>
      <c r="V116" s="105"/>
      <c r="W116" s="105" t="s">
        <v>80</v>
      </c>
      <c r="X116" s="105"/>
      <c r="Y116" s="105"/>
    </row>
    <row r="117" spans="1:25" s="99" customFormat="1" ht="26.25" customHeight="1">
      <c r="A117" s="100">
        <v>3858</v>
      </c>
      <c r="B117" s="101" t="s">
        <v>11</v>
      </c>
      <c r="C117" s="105" t="s">
        <v>52</v>
      </c>
      <c r="D117" s="105" t="s">
        <v>283</v>
      </c>
      <c r="E117" s="105" t="s">
        <v>44</v>
      </c>
      <c r="F117" s="101" t="str">
        <f t="shared" si="5"/>
        <v>-</v>
      </c>
      <c r="G117" s="106" t="s">
        <v>53</v>
      </c>
      <c r="H117" s="105"/>
      <c r="I117" s="106" t="s">
        <v>284</v>
      </c>
      <c r="J117" s="107" t="s">
        <v>54</v>
      </c>
      <c r="K117" s="108"/>
      <c r="L117" s="106"/>
      <c r="M117" s="110"/>
      <c r="N117" s="105" t="s">
        <v>78</v>
      </c>
      <c r="O117" s="105" t="str">
        <f t="shared" si="6"/>
        <v/>
      </c>
      <c r="P117" s="105"/>
      <c r="Q117" s="105" t="s">
        <v>77</v>
      </c>
      <c r="R117" s="105" t="s">
        <v>77</v>
      </c>
      <c r="S117" s="105"/>
      <c r="T117" s="105"/>
      <c r="U117" s="105"/>
      <c r="V117" s="105"/>
      <c r="W117" s="105" t="s">
        <v>80</v>
      </c>
      <c r="X117" s="105"/>
      <c r="Y117" s="105"/>
    </row>
    <row r="118" spans="1:25" s="99" customFormat="1" ht="26.25" customHeight="1">
      <c r="A118" s="100">
        <v>3859</v>
      </c>
      <c r="B118" s="101" t="s">
        <v>11</v>
      </c>
      <c r="C118" s="105" t="s">
        <v>52</v>
      </c>
      <c r="D118" s="105" t="s">
        <v>285</v>
      </c>
      <c r="E118" s="105" t="s">
        <v>44</v>
      </c>
      <c r="F118" s="101" t="str">
        <f t="shared" si="5"/>
        <v>-</v>
      </c>
      <c r="G118" s="106" t="s">
        <v>53</v>
      </c>
      <c r="H118" s="105"/>
      <c r="I118" s="106" t="s">
        <v>286</v>
      </c>
      <c r="J118" s="107" t="s">
        <v>54</v>
      </c>
      <c r="K118" s="108"/>
      <c r="L118" s="106"/>
      <c r="M118" s="110"/>
      <c r="N118" s="105" t="s">
        <v>78</v>
      </c>
      <c r="O118" s="105" t="str">
        <f t="shared" si="6"/>
        <v/>
      </c>
      <c r="P118" s="105"/>
      <c r="Q118" s="105" t="s">
        <v>77</v>
      </c>
      <c r="R118" s="105" t="s">
        <v>77</v>
      </c>
      <c r="S118" s="105"/>
      <c r="T118" s="105"/>
      <c r="U118" s="105"/>
      <c r="V118" s="105"/>
      <c r="W118" s="105" t="s">
        <v>80</v>
      </c>
      <c r="X118" s="105"/>
      <c r="Y118" s="105"/>
    </row>
    <row r="119" spans="1:25" s="99" customFormat="1" ht="26.25" customHeight="1">
      <c r="A119" s="100">
        <v>3860</v>
      </c>
      <c r="B119" s="101" t="s">
        <v>11</v>
      </c>
      <c r="C119" s="105" t="s">
        <v>52</v>
      </c>
      <c r="D119" s="105" t="s">
        <v>287</v>
      </c>
      <c r="E119" s="105" t="s">
        <v>44</v>
      </c>
      <c r="F119" s="101" t="str">
        <f t="shared" si="5"/>
        <v>-</v>
      </c>
      <c r="G119" s="106" t="s">
        <v>53</v>
      </c>
      <c r="H119" s="105"/>
      <c r="I119" s="106" t="s">
        <v>288</v>
      </c>
      <c r="J119" s="107" t="s">
        <v>54</v>
      </c>
      <c r="K119" s="108"/>
      <c r="L119" s="106"/>
      <c r="M119" s="110"/>
      <c r="N119" s="105" t="s">
        <v>78</v>
      </c>
      <c r="O119" s="105" t="str">
        <f t="shared" si="6"/>
        <v/>
      </c>
      <c r="P119" s="105"/>
      <c r="Q119" s="105" t="s">
        <v>77</v>
      </c>
      <c r="R119" s="105" t="s">
        <v>77</v>
      </c>
      <c r="S119" s="105"/>
      <c r="T119" s="105"/>
      <c r="U119" s="105"/>
      <c r="V119" s="105"/>
      <c r="W119" s="105" t="s">
        <v>80</v>
      </c>
      <c r="X119" s="105"/>
      <c r="Y119" s="105"/>
    </row>
    <row r="120" spans="1:25" s="99" customFormat="1" ht="26.25" customHeight="1">
      <c r="A120" s="100">
        <v>3861</v>
      </c>
      <c r="B120" s="101" t="s">
        <v>11</v>
      </c>
      <c r="C120" s="105" t="s">
        <v>52</v>
      </c>
      <c r="D120" s="105" t="s">
        <v>289</v>
      </c>
      <c r="E120" s="105" t="s">
        <v>44</v>
      </c>
      <c r="F120" s="101" t="str">
        <f t="shared" si="5"/>
        <v>-</v>
      </c>
      <c r="G120" s="106" t="s">
        <v>53</v>
      </c>
      <c r="H120" s="105"/>
      <c r="I120" s="106" t="s">
        <v>290</v>
      </c>
      <c r="J120" s="107" t="s">
        <v>54</v>
      </c>
      <c r="K120" s="108"/>
      <c r="L120" s="106"/>
      <c r="M120" s="110"/>
      <c r="N120" s="105" t="s">
        <v>78</v>
      </c>
      <c r="O120" s="105" t="str">
        <f t="shared" si="6"/>
        <v/>
      </c>
      <c r="P120" s="105"/>
      <c r="Q120" s="105" t="s">
        <v>77</v>
      </c>
      <c r="R120" s="105" t="s">
        <v>77</v>
      </c>
      <c r="S120" s="105"/>
      <c r="T120" s="105"/>
      <c r="U120" s="105"/>
      <c r="V120" s="105"/>
      <c r="W120" s="105" t="s">
        <v>80</v>
      </c>
      <c r="X120" s="105"/>
      <c r="Y120" s="105"/>
    </row>
    <row r="121" spans="1:25" s="99" customFormat="1" ht="26.25" customHeight="1">
      <c r="A121" s="100">
        <v>3862</v>
      </c>
      <c r="B121" s="101" t="s">
        <v>11</v>
      </c>
      <c r="C121" s="105" t="s">
        <v>52</v>
      </c>
      <c r="D121" s="105" t="s">
        <v>291</v>
      </c>
      <c r="E121" s="105" t="s">
        <v>44</v>
      </c>
      <c r="F121" s="101" t="str">
        <f t="shared" si="5"/>
        <v>-</v>
      </c>
      <c r="G121" s="106" t="s">
        <v>53</v>
      </c>
      <c r="H121" s="105"/>
      <c r="I121" s="106" t="s">
        <v>292</v>
      </c>
      <c r="J121" s="107" t="s">
        <v>54</v>
      </c>
      <c r="K121" s="108"/>
      <c r="L121" s="106"/>
      <c r="M121" s="110"/>
      <c r="N121" s="105" t="s">
        <v>78</v>
      </c>
      <c r="O121" s="105" t="str">
        <f t="shared" si="6"/>
        <v/>
      </c>
      <c r="P121" s="105"/>
      <c r="Q121" s="105" t="s">
        <v>77</v>
      </c>
      <c r="R121" s="105" t="s">
        <v>77</v>
      </c>
      <c r="S121" s="105"/>
      <c r="T121" s="105"/>
      <c r="U121" s="105"/>
      <c r="V121" s="105"/>
      <c r="W121" s="105" t="s">
        <v>80</v>
      </c>
      <c r="X121" s="105"/>
      <c r="Y121" s="105"/>
    </row>
    <row r="122" spans="1:25" s="99" customFormat="1" ht="26.25" customHeight="1">
      <c r="A122" s="100">
        <v>3863</v>
      </c>
      <c r="B122" s="101" t="s">
        <v>11</v>
      </c>
      <c r="C122" s="105" t="s">
        <v>52</v>
      </c>
      <c r="D122" s="105" t="s">
        <v>293</v>
      </c>
      <c r="E122" s="105" t="s">
        <v>44</v>
      </c>
      <c r="F122" s="101" t="str">
        <f t="shared" si="5"/>
        <v>-</v>
      </c>
      <c r="G122" s="106" t="s">
        <v>53</v>
      </c>
      <c r="H122" s="105"/>
      <c r="I122" s="106" t="s">
        <v>294</v>
      </c>
      <c r="J122" s="107" t="s">
        <v>54</v>
      </c>
      <c r="K122" s="108"/>
      <c r="L122" s="106"/>
      <c r="M122" s="110"/>
      <c r="N122" s="105" t="s">
        <v>78</v>
      </c>
      <c r="O122" s="105" t="str">
        <f t="shared" si="6"/>
        <v/>
      </c>
      <c r="P122" s="105"/>
      <c r="Q122" s="105" t="s">
        <v>77</v>
      </c>
      <c r="R122" s="105" t="s">
        <v>77</v>
      </c>
      <c r="S122" s="105"/>
      <c r="T122" s="105"/>
      <c r="U122" s="105"/>
      <c r="V122" s="105"/>
      <c r="W122" s="105" t="s">
        <v>80</v>
      </c>
      <c r="X122" s="105"/>
      <c r="Y122" s="105"/>
    </row>
    <row r="123" spans="1:25" s="99" customFormat="1" ht="26.25" customHeight="1">
      <c r="A123" s="100">
        <v>3864</v>
      </c>
      <c r="B123" s="101" t="s">
        <v>11</v>
      </c>
      <c r="C123" s="105" t="s">
        <v>52</v>
      </c>
      <c r="D123" s="105" t="s">
        <v>295</v>
      </c>
      <c r="E123" s="105" t="s">
        <v>44</v>
      </c>
      <c r="F123" s="101" t="str">
        <f t="shared" si="5"/>
        <v>-</v>
      </c>
      <c r="G123" s="106" t="s">
        <v>53</v>
      </c>
      <c r="H123" s="105"/>
      <c r="I123" s="106" t="s">
        <v>296</v>
      </c>
      <c r="J123" s="107" t="s">
        <v>54</v>
      </c>
      <c r="K123" s="108"/>
      <c r="L123" s="106"/>
      <c r="M123" s="110"/>
      <c r="N123" s="105" t="s">
        <v>78</v>
      </c>
      <c r="O123" s="105" t="str">
        <f t="shared" si="6"/>
        <v/>
      </c>
      <c r="P123" s="105"/>
      <c r="Q123" s="105" t="s">
        <v>77</v>
      </c>
      <c r="R123" s="105" t="s">
        <v>77</v>
      </c>
      <c r="S123" s="105"/>
      <c r="T123" s="105"/>
      <c r="U123" s="105"/>
      <c r="V123" s="105"/>
      <c r="W123" s="105" t="s">
        <v>80</v>
      </c>
      <c r="X123" s="105"/>
      <c r="Y123" s="105"/>
    </row>
    <row r="124" spans="1:25" s="99" customFormat="1" ht="26.25" customHeight="1">
      <c r="A124" s="100">
        <v>3865</v>
      </c>
      <c r="B124" s="101" t="s">
        <v>11</v>
      </c>
      <c r="C124" s="105" t="s">
        <v>52</v>
      </c>
      <c r="D124" s="105" t="s">
        <v>297</v>
      </c>
      <c r="E124" s="105" t="s">
        <v>44</v>
      </c>
      <c r="F124" s="101" t="str">
        <f t="shared" si="5"/>
        <v>-</v>
      </c>
      <c r="G124" s="106" t="s">
        <v>53</v>
      </c>
      <c r="H124" s="105"/>
      <c r="I124" s="106" t="s">
        <v>298</v>
      </c>
      <c r="J124" s="107" t="s">
        <v>54</v>
      </c>
      <c r="K124" s="108"/>
      <c r="L124" s="106"/>
      <c r="M124" s="110"/>
      <c r="N124" s="105" t="s">
        <v>78</v>
      </c>
      <c r="O124" s="105" t="str">
        <f t="shared" si="6"/>
        <v/>
      </c>
      <c r="P124" s="105"/>
      <c r="Q124" s="105" t="s">
        <v>77</v>
      </c>
      <c r="R124" s="105" t="s">
        <v>77</v>
      </c>
      <c r="S124" s="105"/>
      <c r="T124" s="105"/>
      <c r="U124" s="105"/>
      <c r="V124" s="105"/>
      <c r="W124" s="105" t="s">
        <v>80</v>
      </c>
      <c r="X124" s="105"/>
      <c r="Y124" s="105"/>
    </row>
    <row r="125" spans="1:25" s="99" customFormat="1" ht="26.25" customHeight="1">
      <c r="A125" s="100">
        <v>3866</v>
      </c>
      <c r="B125" s="101" t="s">
        <v>11</v>
      </c>
      <c r="C125" s="105" t="s">
        <v>52</v>
      </c>
      <c r="D125" s="105" t="s">
        <v>299</v>
      </c>
      <c r="E125" s="105" t="s">
        <v>44</v>
      </c>
      <c r="F125" s="101" t="str">
        <f t="shared" si="5"/>
        <v>-</v>
      </c>
      <c r="G125" s="106" t="s">
        <v>53</v>
      </c>
      <c r="H125" s="105"/>
      <c r="I125" s="106" t="s">
        <v>300</v>
      </c>
      <c r="J125" s="107" t="s">
        <v>54</v>
      </c>
      <c r="K125" s="108"/>
      <c r="L125" s="106"/>
      <c r="M125" s="110"/>
      <c r="N125" s="105" t="s">
        <v>78</v>
      </c>
      <c r="O125" s="105" t="str">
        <f t="shared" si="6"/>
        <v/>
      </c>
      <c r="P125" s="105"/>
      <c r="Q125" s="105" t="s">
        <v>77</v>
      </c>
      <c r="R125" s="105" t="s">
        <v>77</v>
      </c>
      <c r="S125" s="105"/>
      <c r="T125" s="105"/>
      <c r="U125" s="105"/>
      <c r="V125" s="105"/>
      <c r="W125" s="105" t="s">
        <v>80</v>
      </c>
      <c r="X125" s="105"/>
      <c r="Y125" s="105"/>
    </row>
    <row r="126" spans="1:25" s="99" customFormat="1" ht="26.25" customHeight="1">
      <c r="A126" s="100">
        <v>3867</v>
      </c>
      <c r="B126" s="101" t="s">
        <v>11</v>
      </c>
      <c r="C126" s="105" t="s">
        <v>52</v>
      </c>
      <c r="D126" s="105" t="s">
        <v>301</v>
      </c>
      <c r="E126" s="105" t="s">
        <v>44</v>
      </c>
      <c r="F126" s="101" t="str">
        <f t="shared" si="5"/>
        <v>-</v>
      </c>
      <c r="G126" s="106" t="s">
        <v>53</v>
      </c>
      <c r="H126" s="105"/>
      <c r="I126" s="106" t="s">
        <v>302</v>
      </c>
      <c r="J126" s="107" t="s">
        <v>54</v>
      </c>
      <c r="K126" s="108"/>
      <c r="L126" s="106"/>
      <c r="M126" s="110"/>
      <c r="N126" s="105" t="s">
        <v>78</v>
      </c>
      <c r="O126" s="105" t="str">
        <f t="shared" si="6"/>
        <v/>
      </c>
      <c r="P126" s="105"/>
      <c r="Q126" s="105" t="s">
        <v>77</v>
      </c>
      <c r="R126" s="105" t="s">
        <v>77</v>
      </c>
      <c r="S126" s="105"/>
      <c r="T126" s="105"/>
      <c r="U126" s="105"/>
      <c r="V126" s="105"/>
      <c r="W126" s="105" t="s">
        <v>80</v>
      </c>
      <c r="X126" s="105"/>
      <c r="Y126" s="105"/>
    </row>
    <row r="127" spans="1:25" s="99" customFormat="1" ht="26.25" customHeight="1">
      <c r="A127" s="100">
        <v>3868</v>
      </c>
      <c r="B127" s="101" t="s">
        <v>11</v>
      </c>
      <c r="C127" s="105" t="s">
        <v>52</v>
      </c>
      <c r="D127" s="105" t="s">
        <v>303</v>
      </c>
      <c r="E127" s="105" t="s">
        <v>44</v>
      </c>
      <c r="F127" s="101" t="str">
        <f t="shared" si="5"/>
        <v>-</v>
      </c>
      <c r="G127" s="106" t="s">
        <v>53</v>
      </c>
      <c r="H127" s="105"/>
      <c r="I127" s="106" t="s">
        <v>304</v>
      </c>
      <c r="J127" s="107" t="s">
        <v>54</v>
      </c>
      <c r="K127" s="108"/>
      <c r="L127" s="106"/>
      <c r="M127" s="110"/>
      <c r="N127" s="105" t="s">
        <v>78</v>
      </c>
      <c r="O127" s="105" t="str">
        <f t="shared" si="6"/>
        <v/>
      </c>
      <c r="P127" s="105"/>
      <c r="Q127" s="105" t="s">
        <v>77</v>
      </c>
      <c r="R127" s="105" t="s">
        <v>77</v>
      </c>
      <c r="S127" s="105"/>
      <c r="T127" s="105"/>
      <c r="U127" s="105"/>
      <c r="V127" s="105"/>
      <c r="W127" s="105" t="s">
        <v>80</v>
      </c>
      <c r="X127" s="105"/>
      <c r="Y127" s="105"/>
    </row>
    <row r="128" spans="1:25" s="99" customFormat="1" ht="26.25" customHeight="1">
      <c r="A128" s="100">
        <v>3869</v>
      </c>
      <c r="B128" s="101" t="s">
        <v>11</v>
      </c>
      <c r="C128" s="105" t="s">
        <v>52</v>
      </c>
      <c r="D128" s="105" t="s">
        <v>305</v>
      </c>
      <c r="E128" s="105" t="s">
        <v>44</v>
      </c>
      <c r="F128" s="101" t="str">
        <f t="shared" si="5"/>
        <v>-</v>
      </c>
      <c r="G128" s="106" t="s">
        <v>53</v>
      </c>
      <c r="H128" s="105"/>
      <c r="I128" s="106" t="s">
        <v>306</v>
      </c>
      <c r="J128" s="107" t="s">
        <v>54</v>
      </c>
      <c r="K128" s="108"/>
      <c r="L128" s="106"/>
      <c r="M128" s="110"/>
      <c r="N128" s="105" t="s">
        <v>78</v>
      </c>
      <c r="O128" s="105" t="str">
        <f t="shared" si="6"/>
        <v/>
      </c>
      <c r="P128" s="105"/>
      <c r="Q128" s="105" t="s">
        <v>77</v>
      </c>
      <c r="R128" s="105" t="s">
        <v>77</v>
      </c>
      <c r="S128" s="105"/>
      <c r="T128" s="105"/>
      <c r="U128" s="105"/>
      <c r="V128" s="105"/>
      <c r="W128" s="105" t="s">
        <v>80</v>
      </c>
      <c r="X128" s="105"/>
      <c r="Y128" s="105"/>
    </row>
    <row r="129" spans="1:25" s="99" customFormat="1" ht="26.25" customHeight="1">
      <c r="A129" s="100">
        <v>3870</v>
      </c>
      <c r="B129" s="101" t="s">
        <v>11</v>
      </c>
      <c r="C129" s="105" t="s">
        <v>52</v>
      </c>
      <c r="D129" s="105" t="s">
        <v>307</v>
      </c>
      <c r="E129" s="105" t="s">
        <v>44</v>
      </c>
      <c r="F129" s="101" t="str">
        <f t="shared" si="5"/>
        <v>-</v>
      </c>
      <c r="G129" s="106" t="s">
        <v>53</v>
      </c>
      <c r="H129" s="105"/>
      <c r="I129" s="106" t="s">
        <v>308</v>
      </c>
      <c r="J129" s="107" t="s">
        <v>54</v>
      </c>
      <c r="K129" s="108"/>
      <c r="L129" s="106"/>
      <c r="M129" s="110"/>
      <c r="N129" s="105" t="s">
        <v>78</v>
      </c>
      <c r="O129" s="105" t="str">
        <f t="shared" si="6"/>
        <v/>
      </c>
      <c r="P129" s="105"/>
      <c r="Q129" s="105" t="s">
        <v>77</v>
      </c>
      <c r="R129" s="105" t="s">
        <v>77</v>
      </c>
      <c r="S129" s="105"/>
      <c r="T129" s="105"/>
      <c r="U129" s="105"/>
      <c r="V129" s="105"/>
      <c r="W129" s="105" t="s">
        <v>80</v>
      </c>
      <c r="X129" s="105"/>
      <c r="Y129" s="105"/>
    </row>
    <row r="130" spans="1:25" s="99" customFormat="1" ht="26.25" customHeight="1">
      <c r="A130" s="100">
        <v>3871</v>
      </c>
      <c r="B130" s="101" t="s">
        <v>11</v>
      </c>
      <c r="C130" s="105" t="s">
        <v>52</v>
      </c>
      <c r="D130" s="105" t="s">
        <v>309</v>
      </c>
      <c r="E130" s="105" t="s">
        <v>44</v>
      </c>
      <c r="F130" s="101" t="str">
        <f t="shared" si="5"/>
        <v>-</v>
      </c>
      <c r="G130" s="106" t="s">
        <v>53</v>
      </c>
      <c r="H130" s="105"/>
      <c r="I130" s="106" t="s">
        <v>310</v>
      </c>
      <c r="J130" s="107" t="s">
        <v>54</v>
      </c>
      <c r="K130" s="108"/>
      <c r="L130" s="106"/>
      <c r="M130" s="110"/>
      <c r="N130" s="105" t="s">
        <v>78</v>
      </c>
      <c r="O130" s="105" t="str">
        <f t="shared" si="6"/>
        <v/>
      </c>
      <c r="P130" s="105"/>
      <c r="Q130" s="105" t="s">
        <v>77</v>
      </c>
      <c r="R130" s="105" t="s">
        <v>77</v>
      </c>
      <c r="S130" s="105"/>
      <c r="T130" s="105"/>
      <c r="U130" s="105"/>
      <c r="V130" s="105"/>
      <c r="W130" s="105" t="s">
        <v>80</v>
      </c>
      <c r="X130" s="105"/>
      <c r="Y130" s="105"/>
    </row>
    <row r="131" spans="1:25" s="99" customFormat="1" ht="26.25" customHeight="1">
      <c r="A131" s="100">
        <v>3872</v>
      </c>
      <c r="B131" s="101" t="s">
        <v>11</v>
      </c>
      <c r="C131" s="105" t="s">
        <v>52</v>
      </c>
      <c r="D131" s="105" t="s">
        <v>311</v>
      </c>
      <c r="E131" s="105" t="s">
        <v>44</v>
      </c>
      <c r="F131" s="101" t="str">
        <f t="shared" si="5"/>
        <v>-</v>
      </c>
      <c r="G131" s="106" t="s">
        <v>53</v>
      </c>
      <c r="H131" s="105"/>
      <c r="I131" s="106" t="s">
        <v>312</v>
      </c>
      <c r="J131" s="107" t="s">
        <v>54</v>
      </c>
      <c r="K131" s="108"/>
      <c r="L131" s="106"/>
      <c r="M131" s="110"/>
      <c r="N131" s="105" t="s">
        <v>78</v>
      </c>
      <c r="O131" s="105" t="str">
        <f t="shared" si="6"/>
        <v/>
      </c>
      <c r="P131" s="105"/>
      <c r="Q131" s="105" t="s">
        <v>77</v>
      </c>
      <c r="R131" s="105" t="s">
        <v>77</v>
      </c>
      <c r="S131" s="105"/>
      <c r="T131" s="105"/>
      <c r="U131" s="105"/>
      <c r="V131" s="105"/>
      <c r="W131" s="105" t="s">
        <v>80</v>
      </c>
      <c r="X131" s="105"/>
      <c r="Y131" s="105"/>
    </row>
    <row r="132" spans="1:25" s="99" customFormat="1" ht="26.25" customHeight="1">
      <c r="A132" s="100">
        <v>3873</v>
      </c>
      <c r="B132" s="101" t="s">
        <v>11</v>
      </c>
      <c r="C132" s="105" t="s">
        <v>52</v>
      </c>
      <c r="D132" s="105" t="s">
        <v>313</v>
      </c>
      <c r="E132" s="105" t="s">
        <v>44</v>
      </c>
      <c r="F132" s="101" t="str">
        <f t="shared" si="5"/>
        <v>-</v>
      </c>
      <c r="G132" s="106" t="s">
        <v>53</v>
      </c>
      <c r="H132" s="105"/>
      <c r="I132" s="106" t="s">
        <v>314</v>
      </c>
      <c r="J132" s="107" t="s">
        <v>54</v>
      </c>
      <c r="K132" s="108"/>
      <c r="L132" s="106"/>
      <c r="M132" s="110"/>
      <c r="N132" s="105" t="s">
        <v>78</v>
      </c>
      <c r="O132" s="105" t="str">
        <f t="shared" si="6"/>
        <v/>
      </c>
      <c r="P132" s="105"/>
      <c r="Q132" s="105" t="s">
        <v>77</v>
      </c>
      <c r="R132" s="105" t="s">
        <v>77</v>
      </c>
      <c r="S132" s="105"/>
      <c r="T132" s="105"/>
      <c r="U132" s="105"/>
      <c r="V132" s="105"/>
      <c r="W132" s="105" t="s">
        <v>80</v>
      </c>
      <c r="X132" s="105"/>
      <c r="Y132" s="105"/>
    </row>
    <row r="133" spans="1:25" s="99" customFormat="1" ht="26.25" customHeight="1">
      <c r="A133" s="100">
        <v>3874</v>
      </c>
      <c r="B133" s="101" t="s">
        <v>11</v>
      </c>
      <c r="C133" s="105" t="s">
        <v>52</v>
      </c>
      <c r="D133" s="105" t="s">
        <v>315</v>
      </c>
      <c r="E133" s="105" t="s">
        <v>44</v>
      </c>
      <c r="F133" s="101" t="str">
        <f t="shared" si="5"/>
        <v>-</v>
      </c>
      <c r="G133" s="106" t="s">
        <v>53</v>
      </c>
      <c r="H133" s="105"/>
      <c r="I133" s="106" t="s">
        <v>316</v>
      </c>
      <c r="J133" s="107" t="s">
        <v>54</v>
      </c>
      <c r="K133" s="108"/>
      <c r="L133" s="106"/>
      <c r="M133" s="110"/>
      <c r="N133" s="105" t="s">
        <v>78</v>
      </c>
      <c r="O133" s="105" t="str">
        <f t="shared" si="6"/>
        <v/>
      </c>
      <c r="P133" s="105"/>
      <c r="Q133" s="105" t="s">
        <v>77</v>
      </c>
      <c r="R133" s="105" t="s">
        <v>77</v>
      </c>
      <c r="S133" s="105"/>
      <c r="T133" s="105"/>
      <c r="U133" s="105"/>
      <c r="V133" s="105"/>
      <c r="W133" s="105" t="s">
        <v>80</v>
      </c>
      <c r="X133" s="105"/>
      <c r="Y133" s="105"/>
    </row>
    <row r="134" spans="1:25" s="99" customFormat="1" ht="26.25" customHeight="1">
      <c r="A134" s="100">
        <v>3875</v>
      </c>
      <c r="B134" s="101" t="s">
        <v>11</v>
      </c>
      <c r="C134" s="105" t="s">
        <v>52</v>
      </c>
      <c r="D134" s="105" t="s">
        <v>317</v>
      </c>
      <c r="E134" s="105" t="s">
        <v>44</v>
      </c>
      <c r="F134" s="101" t="str">
        <f t="shared" si="5"/>
        <v>-</v>
      </c>
      <c r="G134" s="106" t="s">
        <v>53</v>
      </c>
      <c r="H134" s="105"/>
      <c r="I134" s="106" t="s">
        <v>318</v>
      </c>
      <c r="J134" s="107" t="s">
        <v>54</v>
      </c>
      <c r="K134" s="108"/>
      <c r="L134" s="106"/>
      <c r="M134" s="110"/>
      <c r="N134" s="105" t="s">
        <v>78</v>
      </c>
      <c r="O134" s="105" t="str">
        <f t="shared" si="6"/>
        <v/>
      </c>
      <c r="P134" s="105"/>
      <c r="Q134" s="105" t="s">
        <v>77</v>
      </c>
      <c r="R134" s="105" t="s">
        <v>77</v>
      </c>
      <c r="S134" s="105"/>
      <c r="T134" s="105"/>
      <c r="U134" s="105"/>
      <c r="V134" s="105"/>
      <c r="W134" s="105" t="s">
        <v>80</v>
      </c>
      <c r="X134" s="105"/>
      <c r="Y134" s="105"/>
    </row>
    <row r="135" spans="1:25" s="99" customFormat="1" ht="26.25" customHeight="1">
      <c r="A135" s="100">
        <v>3876</v>
      </c>
      <c r="B135" s="101" t="s">
        <v>11</v>
      </c>
      <c r="C135" s="105" t="s">
        <v>52</v>
      </c>
      <c r="D135" s="105" t="s">
        <v>319</v>
      </c>
      <c r="E135" s="105" t="s">
        <v>44</v>
      </c>
      <c r="F135" s="101" t="str">
        <f t="shared" si="5"/>
        <v>-</v>
      </c>
      <c r="G135" s="106" t="s">
        <v>53</v>
      </c>
      <c r="H135" s="105"/>
      <c r="I135" s="106" t="s">
        <v>320</v>
      </c>
      <c r="J135" s="107" t="s">
        <v>54</v>
      </c>
      <c r="K135" s="108"/>
      <c r="L135" s="106"/>
      <c r="M135" s="110"/>
      <c r="N135" s="105" t="s">
        <v>78</v>
      </c>
      <c r="O135" s="105" t="str">
        <f t="shared" si="6"/>
        <v/>
      </c>
      <c r="P135" s="105"/>
      <c r="Q135" s="105" t="s">
        <v>77</v>
      </c>
      <c r="R135" s="105" t="s">
        <v>77</v>
      </c>
      <c r="S135" s="105"/>
      <c r="T135" s="105"/>
      <c r="U135" s="105"/>
      <c r="V135" s="105"/>
      <c r="W135" s="105" t="s">
        <v>80</v>
      </c>
      <c r="X135" s="105"/>
      <c r="Y135" s="105"/>
    </row>
    <row r="136" spans="1:25" s="99" customFormat="1" ht="26.25" customHeight="1">
      <c r="A136" s="100">
        <v>3877</v>
      </c>
      <c r="B136" s="101" t="s">
        <v>11</v>
      </c>
      <c r="C136" s="105" t="s">
        <v>52</v>
      </c>
      <c r="D136" s="105" t="s">
        <v>321</v>
      </c>
      <c r="E136" s="105" t="s">
        <v>44</v>
      </c>
      <c r="F136" s="101" t="str">
        <f t="shared" si="5"/>
        <v>-</v>
      </c>
      <c r="G136" s="106" t="s">
        <v>53</v>
      </c>
      <c r="H136" s="105"/>
      <c r="I136" s="106" t="s">
        <v>322</v>
      </c>
      <c r="J136" s="107" t="s">
        <v>54</v>
      </c>
      <c r="K136" s="108"/>
      <c r="L136" s="106"/>
      <c r="M136" s="110"/>
      <c r="N136" s="105" t="s">
        <v>78</v>
      </c>
      <c r="O136" s="105" t="str">
        <f t="shared" si="6"/>
        <v/>
      </c>
      <c r="P136" s="105"/>
      <c r="Q136" s="105" t="s">
        <v>77</v>
      </c>
      <c r="R136" s="105" t="s">
        <v>77</v>
      </c>
      <c r="S136" s="105"/>
      <c r="T136" s="105"/>
      <c r="U136" s="105"/>
      <c r="V136" s="105"/>
      <c r="W136" s="105" t="s">
        <v>80</v>
      </c>
      <c r="X136" s="105"/>
      <c r="Y136" s="105"/>
    </row>
    <row r="137" spans="1:25" s="99" customFormat="1" ht="26.25" customHeight="1">
      <c r="A137" s="100">
        <v>3878</v>
      </c>
      <c r="B137" s="101" t="s">
        <v>11</v>
      </c>
      <c r="C137" s="105" t="s">
        <v>52</v>
      </c>
      <c r="D137" s="105" t="s">
        <v>323</v>
      </c>
      <c r="E137" s="105" t="s">
        <v>44</v>
      </c>
      <c r="F137" s="101" t="str">
        <f t="shared" si="5"/>
        <v>-</v>
      </c>
      <c r="G137" s="106" t="s">
        <v>53</v>
      </c>
      <c r="H137" s="105"/>
      <c r="I137" s="106" t="s">
        <v>324</v>
      </c>
      <c r="J137" s="107" t="s">
        <v>54</v>
      </c>
      <c r="K137" s="108"/>
      <c r="L137" s="106"/>
      <c r="M137" s="110"/>
      <c r="N137" s="105" t="s">
        <v>78</v>
      </c>
      <c r="O137" s="105" t="str">
        <f t="shared" si="6"/>
        <v/>
      </c>
      <c r="P137" s="105"/>
      <c r="Q137" s="105" t="s">
        <v>77</v>
      </c>
      <c r="R137" s="105" t="s">
        <v>77</v>
      </c>
      <c r="S137" s="105"/>
      <c r="T137" s="105"/>
      <c r="U137" s="105"/>
      <c r="V137" s="105"/>
      <c r="W137" s="105" t="s">
        <v>80</v>
      </c>
      <c r="X137" s="105"/>
      <c r="Y137" s="105"/>
    </row>
    <row r="138" spans="1:25" s="99" customFormat="1" ht="26.25" customHeight="1">
      <c r="A138" s="100">
        <v>3879</v>
      </c>
      <c r="B138" s="101" t="s">
        <v>11</v>
      </c>
      <c r="C138" s="105" t="s">
        <v>52</v>
      </c>
      <c r="D138" s="105" t="s">
        <v>325</v>
      </c>
      <c r="E138" s="105" t="s">
        <v>44</v>
      </c>
      <c r="F138" s="101" t="str">
        <f t="shared" si="5"/>
        <v>-</v>
      </c>
      <c r="G138" s="106" t="s">
        <v>53</v>
      </c>
      <c r="H138" s="105"/>
      <c r="I138" s="106" t="s">
        <v>326</v>
      </c>
      <c r="J138" s="107" t="s">
        <v>54</v>
      </c>
      <c r="K138" s="108"/>
      <c r="L138" s="106"/>
      <c r="M138" s="110"/>
      <c r="N138" s="105" t="s">
        <v>78</v>
      </c>
      <c r="O138" s="105" t="str">
        <f t="shared" si="6"/>
        <v/>
      </c>
      <c r="P138" s="105"/>
      <c r="Q138" s="105" t="s">
        <v>77</v>
      </c>
      <c r="R138" s="105" t="s">
        <v>77</v>
      </c>
      <c r="S138" s="105"/>
      <c r="T138" s="105"/>
      <c r="U138" s="105"/>
      <c r="V138" s="105"/>
      <c r="W138" s="105" t="s">
        <v>80</v>
      </c>
      <c r="X138" s="105"/>
      <c r="Y138" s="105"/>
    </row>
    <row r="139" spans="1:25" s="99" customFormat="1" ht="26.25" customHeight="1">
      <c r="A139" s="100">
        <v>3880</v>
      </c>
      <c r="B139" s="101" t="s">
        <v>11</v>
      </c>
      <c r="C139" s="105" t="s">
        <v>52</v>
      </c>
      <c r="D139" s="105" t="s">
        <v>327</v>
      </c>
      <c r="E139" s="105" t="s">
        <v>44</v>
      </c>
      <c r="F139" s="101" t="str">
        <f t="shared" si="5"/>
        <v>-</v>
      </c>
      <c r="G139" s="106" t="s">
        <v>53</v>
      </c>
      <c r="H139" s="105"/>
      <c r="I139" s="106" t="s">
        <v>328</v>
      </c>
      <c r="J139" s="107" t="s">
        <v>54</v>
      </c>
      <c r="K139" s="108"/>
      <c r="L139" s="106"/>
      <c r="M139" s="110"/>
      <c r="N139" s="105" t="s">
        <v>78</v>
      </c>
      <c r="O139" s="105" t="str">
        <f t="shared" si="6"/>
        <v/>
      </c>
      <c r="P139" s="105"/>
      <c r="Q139" s="105" t="s">
        <v>77</v>
      </c>
      <c r="R139" s="105" t="s">
        <v>77</v>
      </c>
      <c r="S139" s="105"/>
      <c r="T139" s="105"/>
      <c r="U139" s="105"/>
      <c r="V139" s="105"/>
      <c r="W139" s="105" t="s">
        <v>80</v>
      </c>
      <c r="X139" s="105"/>
      <c r="Y139" s="105"/>
    </row>
    <row r="140" spans="1:25" s="99" customFormat="1" ht="26.25" customHeight="1">
      <c r="A140" s="100">
        <v>3881</v>
      </c>
      <c r="B140" s="101" t="s">
        <v>11</v>
      </c>
      <c r="C140" s="105" t="s">
        <v>52</v>
      </c>
      <c r="D140" s="105" t="s">
        <v>329</v>
      </c>
      <c r="E140" s="105" t="s">
        <v>44</v>
      </c>
      <c r="F140" s="101" t="str">
        <f t="shared" si="5"/>
        <v>-</v>
      </c>
      <c r="G140" s="106" t="s">
        <v>53</v>
      </c>
      <c r="H140" s="105"/>
      <c r="I140" s="106" t="s">
        <v>330</v>
      </c>
      <c r="J140" s="107" t="s">
        <v>54</v>
      </c>
      <c r="K140" s="108"/>
      <c r="L140" s="106"/>
      <c r="M140" s="110"/>
      <c r="N140" s="105" t="s">
        <v>78</v>
      </c>
      <c r="O140" s="105" t="str">
        <f t="shared" si="6"/>
        <v/>
      </c>
      <c r="P140" s="105"/>
      <c r="Q140" s="105" t="s">
        <v>77</v>
      </c>
      <c r="R140" s="105" t="s">
        <v>77</v>
      </c>
      <c r="S140" s="105"/>
      <c r="T140" s="105"/>
      <c r="U140" s="105"/>
      <c r="V140" s="105"/>
      <c r="W140" s="105" t="s">
        <v>80</v>
      </c>
      <c r="X140" s="105"/>
      <c r="Y140" s="105"/>
    </row>
    <row r="141" spans="1:25" s="99" customFormat="1" ht="26.25" customHeight="1">
      <c r="A141" s="100">
        <v>3882</v>
      </c>
      <c r="B141" s="101" t="s">
        <v>11</v>
      </c>
      <c r="C141" s="105" t="s">
        <v>52</v>
      </c>
      <c r="D141" s="105" t="s">
        <v>331</v>
      </c>
      <c r="E141" s="105" t="s">
        <v>44</v>
      </c>
      <c r="F141" s="101" t="str">
        <f t="shared" si="5"/>
        <v>-</v>
      </c>
      <c r="G141" s="106" t="s">
        <v>53</v>
      </c>
      <c r="H141" s="105"/>
      <c r="I141" s="106" t="s">
        <v>332</v>
      </c>
      <c r="J141" s="107" t="s">
        <v>54</v>
      </c>
      <c r="K141" s="108"/>
      <c r="L141" s="106"/>
      <c r="M141" s="110"/>
      <c r="N141" s="105" t="s">
        <v>78</v>
      </c>
      <c r="O141" s="105" t="str">
        <f t="shared" si="6"/>
        <v/>
      </c>
      <c r="P141" s="105"/>
      <c r="Q141" s="105" t="s">
        <v>77</v>
      </c>
      <c r="R141" s="105" t="s">
        <v>77</v>
      </c>
      <c r="S141" s="105"/>
      <c r="T141" s="105"/>
      <c r="U141" s="105"/>
      <c r="V141" s="105"/>
      <c r="W141" s="105" t="s">
        <v>80</v>
      </c>
      <c r="X141" s="105"/>
      <c r="Y141" s="105"/>
    </row>
    <row r="142" spans="1:25" s="99" customFormat="1" ht="26.25" customHeight="1">
      <c r="A142" s="100">
        <v>3883</v>
      </c>
      <c r="B142" s="101" t="s">
        <v>11</v>
      </c>
      <c r="C142" s="105" t="s">
        <v>52</v>
      </c>
      <c r="D142" s="105" t="s">
        <v>333</v>
      </c>
      <c r="E142" s="105" t="s">
        <v>44</v>
      </c>
      <c r="F142" s="101" t="str">
        <f t="shared" si="5"/>
        <v>-</v>
      </c>
      <c r="G142" s="106" t="s">
        <v>53</v>
      </c>
      <c r="H142" s="105"/>
      <c r="I142" s="106" t="s">
        <v>334</v>
      </c>
      <c r="J142" s="107" t="s">
        <v>54</v>
      </c>
      <c r="K142" s="108"/>
      <c r="L142" s="106"/>
      <c r="M142" s="110"/>
      <c r="N142" s="105" t="s">
        <v>78</v>
      </c>
      <c r="O142" s="105" t="str">
        <f t="shared" si="6"/>
        <v/>
      </c>
      <c r="P142" s="105"/>
      <c r="Q142" s="105" t="s">
        <v>77</v>
      </c>
      <c r="R142" s="105" t="s">
        <v>77</v>
      </c>
      <c r="S142" s="105"/>
      <c r="T142" s="105"/>
      <c r="U142" s="105"/>
      <c r="V142" s="105"/>
      <c r="W142" s="105" t="s">
        <v>80</v>
      </c>
      <c r="X142" s="105"/>
      <c r="Y142" s="105"/>
    </row>
    <row r="143" spans="1:25" s="99" customFormat="1" ht="26.25" customHeight="1">
      <c r="A143" s="100">
        <v>3884</v>
      </c>
      <c r="B143" s="101" t="s">
        <v>11</v>
      </c>
      <c r="C143" s="105" t="s">
        <v>52</v>
      </c>
      <c r="D143" s="105" t="s">
        <v>335</v>
      </c>
      <c r="E143" s="105" t="s">
        <v>44</v>
      </c>
      <c r="F143" s="101" t="str">
        <f t="shared" si="5"/>
        <v>-</v>
      </c>
      <c r="G143" s="106" t="s">
        <v>53</v>
      </c>
      <c r="H143" s="105"/>
      <c r="I143" s="106" t="s">
        <v>336</v>
      </c>
      <c r="J143" s="107" t="s">
        <v>54</v>
      </c>
      <c r="K143" s="108"/>
      <c r="L143" s="106"/>
      <c r="M143" s="110"/>
      <c r="N143" s="105" t="s">
        <v>78</v>
      </c>
      <c r="O143" s="105" t="str">
        <f t="shared" si="6"/>
        <v/>
      </c>
      <c r="P143" s="105"/>
      <c r="Q143" s="105" t="s">
        <v>77</v>
      </c>
      <c r="R143" s="105" t="s">
        <v>77</v>
      </c>
      <c r="S143" s="105"/>
      <c r="T143" s="105"/>
      <c r="U143" s="105"/>
      <c r="V143" s="105"/>
      <c r="W143" s="105" t="s">
        <v>80</v>
      </c>
      <c r="X143" s="105"/>
      <c r="Y143" s="105"/>
    </row>
    <row r="144" spans="1:25" s="99" customFormat="1" ht="26.25" customHeight="1">
      <c r="A144" s="100">
        <v>3885</v>
      </c>
      <c r="B144" s="101" t="s">
        <v>11</v>
      </c>
      <c r="C144" s="105" t="s">
        <v>52</v>
      </c>
      <c r="D144" s="105" t="s">
        <v>337</v>
      </c>
      <c r="E144" s="105" t="s">
        <v>44</v>
      </c>
      <c r="F144" s="101" t="str">
        <f t="shared" si="5"/>
        <v>-</v>
      </c>
      <c r="G144" s="106" t="s">
        <v>53</v>
      </c>
      <c r="H144" s="105"/>
      <c r="I144" s="106" t="s">
        <v>338</v>
      </c>
      <c r="J144" s="107" t="s">
        <v>54</v>
      </c>
      <c r="K144" s="108"/>
      <c r="L144" s="106"/>
      <c r="M144" s="110"/>
      <c r="N144" s="105" t="s">
        <v>78</v>
      </c>
      <c r="O144" s="105" t="str">
        <f t="shared" si="6"/>
        <v/>
      </c>
      <c r="P144" s="105"/>
      <c r="Q144" s="105" t="s">
        <v>77</v>
      </c>
      <c r="R144" s="105" t="s">
        <v>77</v>
      </c>
      <c r="S144" s="105"/>
      <c r="T144" s="105"/>
      <c r="U144" s="105"/>
      <c r="V144" s="105"/>
      <c r="W144" s="105" t="s">
        <v>80</v>
      </c>
      <c r="X144" s="105"/>
      <c r="Y144" s="105"/>
    </row>
    <row r="145" spans="1:25" s="99" customFormat="1" ht="26.25" customHeight="1">
      <c r="A145" s="100">
        <v>3886</v>
      </c>
      <c r="B145" s="101" t="s">
        <v>11</v>
      </c>
      <c r="C145" s="105" t="s">
        <v>52</v>
      </c>
      <c r="D145" s="105" t="s">
        <v>339</v>
      </c>
      <c r="E145" s="105" t="s">
        <v>44</v>
      </c>
      <c r="F145" s="101" t="str">
        <f t="shared" si="5"/>
        <v>-</v>
      </c>
      <c r="G145" s="106" t="s">
        <v>53</v>
      </c>
      <c r="H145" s="105"/>
      <c r="I145" s="106" t="s">
        <v>340</v>
      </c>
      <c r="J145" s="107" t="s">
        <v>54</v>
      </c>
      <c r="K145" s="108"/>
      <c r="L145" s="106"/>
      <c r="M145" s="110"/>
      <c r="N145" s="105" t="s">
        <v>78</v>
      </c>
      <c r="O145" s="105" t="str">
        <f t="shared" si="6"/>
        <v/>
      </c>
      <c r="P145" s="105"/>
      <c r="Q145" s="105" t="s">
        <v>77</v>
      </c>
      <c r="R145" s="105" t="s">
        <v>77</v>
      </c>
      <c r="S145" s="105"/>
      <c r="T145" s="105"/>
      <c r="U145" s="105"/>
      <c r="V145" s="105"/>
      <c r="W145" s="105" t="s">
        <v>80</v>
      </c>
      <c r="X145" s="105"/>
      <c r="Y145" s="105"/>
    </row>
    <row r="146" spans="1:25" s="99" customFormat="1" ht="26.25" customHeight="1">
      <c r="A146" s="100">
        <v>3887</v>
      </c>
      <c r="B146" s="101" t="s">
        <v>11</v>
      </c>
      <c r="C146" s="105" t="s">
        <v>52</v>
      </c>
      <c r="D146" s="105" t="s">
        <v>341</v>
      </c>
      <c r="E146" s="105" t="s">
        <v>44</v>
      </c>
      <c r="F146" s="101" t="str">
        <f t="shared" si="5"/>
        <v>-</v>
      </c>
      <c r="G146" s="106" t="s">
        <v>53</v>
      </c>
      <c r="H146" s="105"/>
      <c r="I146" s="106" t="s">
        <v>342</v>
      </c>
      <c r="J146" s="107" t="s">
        <v>54</v>
      </c>
      <c r="K146" s="108"/>
      <c r="L146" s="106"/>
      <c r="M146" s="110"/>
      <c r="N146" s="105" t="s">
        <v>78</v>
      </c>
      <c r="O146" s="105" t="str">
        <f t="shared" si="6"/>
        <v/>
      </c>
      <c r="P146" s="105"/>
      <c r="Q146" s="105" t="s">
        <v>77</v>
      </c>
      <c r="R146" s="105" t="s">
        <v>77</v>
      </c>
      <c r="S146" s="105"/>
      <c r="T146" s="105"/>
      <c r="U146" s="105"/>
      <c r="V146" s="105"/>
      <c r="W146" s="105" t="s">
        <v>80</v>
      </c>
      <c r="X146" s="105"/>
      <c r="Y146" s="105"/>
    </row>
    <row r="147" spans="1:25" s="99" customFormat="1" ht="26.25" customHeight="1">
      <c r="A147" s="100">
        <v>3888</v>
      </c>
      <c r="B147" s="101" t="s">
        <v>11</v>
      </c>
      <c r="C147" s="105" t="s">
        <v>52</v>
      </c>
      <c r="D147" s="105" t="s">
        <v>343</v>
      </c>
      <c r="E147" s="105" t="s">
        <v>44</v>
      </c>
      <c r="F147" s="101" t="str">
        <f t="shared" si="5"/>
        <v>-</v>
      </c>
      <c r="G147" s="106" t="s">
        <v>53</v>
      </c>
      <c r="H147" s="105"/>
      <c r="I147" s="106" t="s">
        <v>344</v>
      </c>
      <c r="J147" s="107" t="s">
        <v>54</v>
      </c>
      <c r="K147" s="108"/>
      <c r="L147" s="106"/>
      <c r="M147" s="110"/>
      <c r="N147" s="105" t="s">
        <v>78</v>
      </c>
      <c r="O147" s="105" t="str">
        <f t="shared" si="6"/>
        <v/>
      </c>
      <c r="P147" s="105"/>
      <c r="Q147" s="105" t="s">
        <v>77</v>
      </c>
      <c r="R147" s="105" t="s">
        <v>77</v>
      </c>
      <c r="S147" s="105"/>
      <c r="T147" s="105"/>
      <c r="U147" s="105"/>
      <c r="V147" s="105"/>
      <c r="W147" s="105" t="s">
        <v>80</v>
      </c>
      <c r="X147" s="105"/>
      <c r="Y147" s="105"/>
    </row>
    <row r="148" spans="1:25" s="99" customFormat="1" ht="26.25" customHeight="1">
      <c r="A148" s="100">
        <v>3889</v>
      </c>
      <c r="B148" s="101" t="s">
        <v>11</v>
      </c>
      <c r="C148" s="105" t="s">
        <v>52</v>
      </c>
      <c r="D148" s="105" t="s">
        <v>345</v>
      </c>
      <c r="E148" s="105" t="s">
        <v>44</v>
      </c>
      <c r="F148" s="101" t="str">
        <f t="shared" si="5"/>
        <v>-</v>
      </c>
      <c r="G148" s="106" t="s">
        <v>53</v>
      </c>
      <c r="H148" s="105"/>
      <c r="I148" s="106" t="s">
        <v>346</v>
      </c>
      <c r="J148" s="107" t="s">
        <v>54</v>
      </c>
      <c r="K148" s="108"/>
      <c r="L148" s="106"/>
      <c r="M148" s="110"/>
      <c r="N148" s="105" t="s">
        <v>78</v>
      </c>
      <c r="O148" s="105" t="str">
        <f t="shared" si="6"/>
        <v/>
      </c>
      <c r="P148" s="105"/>
      <c r="Q148" s="105" t="s">
        <v>77</v>
      </c>
      <c r="R148" s="105" t="s">
        <v>77</v>
      </c>
      <c r="S148" s="105"/>
      <c r="T148" s="105"/>
      <c r="U148" s="105"/>
      <c r="V148" s="105"/>
      <c r="W148" s="105" t="s">
        <v>80</v>
      </c>
      <c r="X148" s="105"/>
      <c r="Y148" s="105"/>
    </row>
    <row r="149" spans="1:25" s="99" customFormat="1" ht="26.25" customHeight="1">
      <c r="A149" s="100">
        <v>3890</v>
      </c>
      <c r="B149" s="101" t="s">
        <v>11</v>
      </c>
      <c r="C149" s="105" t="s">
        <v>52</v>
      </c>
      <c r="D149" s="105" t="s">
        <v>347</v>
      </c>
      <c r="E149" s="105" t="s">
        <v>44</v>
      </c>
      <c r="F149" s="101" t="str">
        <f t="shared" si="5"/>
        <v>-</v>
      </c>
      <c r="G149" s="106" t="s">
        <v>53</v>
      </c>
      <c r="H149" s="105"/>
      <c r="I149" s="106" t="s">
        <v>348</v>
      </c>
      <c r="J149" s="107" t="s">
        <v>54</v>
      </c>
      <c r="K149" s="108"/>
      <c r="L149" s="106"/>
      <c r="M149" s="110"/>
      <c r="N149" s="105" t="s">
        <v>78</v>
      </c>
      <c r="O149" s="105" t="str">
        <f t="shared" si="6"/>
        <v/>
      </c>
      <c r="P149" s="105"/>
      <c r="Q149" s="105" t="s">
        <v>77</v>
      </c>
      <c r="R149" s="105" t="s">
        <v>77</v>
      </c>
      <c r="S149" s="105"/>
      <c r="T149" s="105"/>
      <c r="U149" s="105"/>
      <c r="V149" s="105"/>
      <c r="W149" s="105" t="s">
        <v>80</v>
      </c>
      <c r="X149" s="105"/>
      <c r="Y149" s="105"/>
    </row>
    <row r="150" spans="1:25" s="99" customFormat="1" ht="26.25" customHeight="1">
      <c r="A150" s="100">
        <v>3891</v>
      </c>
      <c r="B150" s="101" t="s">
        <v>11</v>
      </c>
      <c r="C150" s="105" t="s">
        <v>52</v>
      </c>
      <c r="D150" s="105" t="s">
        <v>349</v>
      </c>
      <c r="E150" s="105" t="s">
        <v>44</v>
      </c>
      <c r="F150" s="101" t="str">
        <f t="shared" ref="F150:F213" si="7">IF(B150&lt;&gt;"","-","")</f>
        <v>-</v>
      </c>
      <c r="G150" s="106" t="s">
        <v>53</v>
      </c>
      <c r="H150" s="105"/>
      <c r="I150" s="106" t="s">
        <v>350</v>
      </c>
      <c r="J150" s="107" t="s">
        <v>54</v>
      </c>
      <c r="K150" s="108"/>
      <c r="L150" s="106"/>
      <c r="M150" s="110"/>
      <c r="N150" s="105" t="s">
        <v>78</v>
      </c>
      <c r="O150" s="105" t="str">
        <f t="shared" ref="O150:O213" si="8">IF(OR(R150&lt;&gt;"",Q150&lt;&gt;""),"X","")</f>
        <v/>
      </c>
      <c r="P150" s="105"/>
      <c r="Q150" s="105" t="s">
        <v>77</v>
      </c>
      <c r="R150" s="105" t="s">
        <v>77</v>
      </c>
      <c r="S150" s="105"/>
      <c r="T150" s="105"/>
      <c r="U150" s="105"/>
      <c r="V150" s="105"/>
      <c r="W150" s="105" t="s">
        <v>80</v>
      </c>
      <c r="X150" s="105"/>
      <c r="Y150" s="105"/>
    </row>
    <row r="151" spans="1:25" s="99" customFormat="1" ht="26.25" customHeight="1">
      <c r="A151" s="100">
        <v>3892</v>
      </c>
      <c r="B151" s="101" t="s">
        <v>11</v>
      </c>
      <c r="C151" s="105" t="s">
        <v>52</v>
      </c>
      <c r="D151" s="105" t="s">
        <v>351</v>
      </c>
      <c r="E151" s="105" t="s">
        <v>44</v>
      </c>
      <c r="F151" s="101" t="str">
        <f t="shared" si="7"/>
        <v>-</v>
      </c>
      <c r="G151" s="106" t="s">
        <v>53</v>
      </c>
      <c r="H151" s="105"/>
      <c r="I151" s="106" t="s">
        <v>352</v>
      </c>
      <c r="J151" s="107" t="s">
        <v>54</v>
      </c>
      <c r="K151" s="108"/>
      <c r="L151" s="106"/>
      <c r="M151" s="110"/>
      <c r="N151" s="105" t="s">
        <v>78</v>
      </c>
      <c r="O151" s="105" t="str">
        <f t="shared" si="8"/>
        <v/>
      </c>
      <c r="P151" s="105"/>
      <c r="Q151" s="105" t="s">
        <v>77</v>
      </c>
      <c r="R151" s="105" t="s">
        <v>77</v>
      </c>
      <c r="S151" s="105"/>
      <c r="T151" s="105"/>
      <c r="U151" s="105"/>
      <c r="V151" s="105"/>
      <c r="W151" s="105" t="s">
        <v>80</v>
      </c>
      <c r="X151" s="105"/>
      <c r="Y151" s="105"/>
    </row>
    <row r="152" spans="1:25" s="99" customFormat="1" ht="26.25" customHeight="1">
      <c r="A152" s="100">
        <v>3893</v>
      </c>
      <c r="B152" s="101" t="s">
        <v>11</v>
      </c>
      <c r="C152" s="105" t="s">
        <v>52</v>
      </c>
      <c r="D152" s="105" t="s">
        <v>353</v>
      </c>
      <c r="E152" s="105" t="s">
        <v>44</v>
      </c>
      <c r="F152" s="101" t="str">
        <f t="shared" si="7"/>
        <v>-</v>
      </c>
      <c r="G152" s="106" t="s">
        <v>53</v>
      </c>
      <c r="H152" s="105"/>
      <c r="I152" s="106" t="s">
        <v>354</v>
      </c>
      <c r="J152" s="107" t="s">
        <v>54</v>
      </c>
      <c r="K152" s="108"/>
      <c r="L152" s="106"/>
      <c r="M152" s="110"/>
      <c r="N152" s="105" t="s">
        <v>78</v>
      </c>
      <c r="O152" s="105" t="str">
        <f t="shared" si="8"/>
        <v/>
      </c>
      <c r="P152" s="105"/>
      <c r="Q152" s="105" t="s">
        <v>77</v>
      </c>
      <c r="R152" s="105" t="s">
        <v>77</v>
      </c>
      <c r="S152" s="105"/>
      <c r="T152" s="105"/>
      <c r="U152" s="105"/>
      <c r="V152" s="105"/>
      <c r="W152" s="105" t="s">
        <v>80</v>
      </c>
      <c r="X152" s="105"/>
      <c r="Y152" s="105"/>
    </row>
    <row r="153" spans="1:25" s="99" customFormat="1" ht="26.25" customHeight="1">
      <c r="A153" s="100">
        <v>3894</v>
      </c>
      <c r="B153" s="101" t="s">
        <v>11</v>
      </c>
      <c r="C153" s="105" t="s">
        <v>52</v>
      </c>
      <c r="D153" s="105" t="s">
        <v>355</v>
      </c>
      <c r="E153" s="105" t="s">
        <v>44</v>
      </c>
      <c r="F153" s="101" t="str">
        <f t="shared" si="7"/>
        <v>-</v>
      </c>
      <c r="G153" s="106" t="s">
        <v>53</v>
      </c>
      <c r="H153" s="105"/>
      <c r="I153" s="106" t="s">
        <v>356</v>
      </c>
      <c r="J153" s="107" t="s">
        <v>54</v>
      </c>
      <c r="K153" s="108"/>
      <c r="L153" s="106"/>
      <c r="M153" s="110"/>
      <c r="N153" s="105" t="s">
        <v>78</v>
      </c>
      <c r="O153" s="105" t="str">
        <f t="shared" si="8"/>
        <v/>
      </c>
      <c r="P153" s="105"/>
      <c r="Q153" s="105" t="s">
        <v>77</v>
      </c>
      <c r="R153" s="105" t="s">
        <v>77</v>
      </c>
      <c r="S153" s="105"/>
      <c r="T153" s="105"/>
      <c r="U153" s="105"/>
      <c r="V153" s="105"/>
      <c r="W153" s="105" t="s">
        <v>80</v>
      </c>
      <c r="X153" s="105"/>
      <c r="Y153" s="105"/>
    </row>
    <row r="154" spans="1:25" s="99" customFormat="1" ht="26.25" customHeight="1">
      <c r="A154" s="100">
        <v>3895</v>
      </c>
      <c r="B154" s="101" t="s">
        <v>11</v>
      </c>
      <c r="C154" s="105" t="s">
        <v>52</v>
      </c>
      <c r="D154" s="105" t="s">
        <v>357</v>
      </c>
      <c r="E154" s="105" t="s">
        <v>44</v>
      </c>
      <c r="F154" s="101" t="str">
        <f t="shared" si="7"/>
        <v>-</v>
      </c>
      <c r="G154" s="106" t="s">
        <v>53</v>
      </c>
      <c r="H154" s="105"/>
      <c r="I154" s="106" t="s">
        <v>358</v>
      </c>
      <c r="J154" s="107" t="s">
        <v>54</v>
      </c>
      <c r="K154" s="108"/>
      <c r="L154" s="106"/>
      <c r="M154" s="110"/>
      <c r="N154" s="105" t="s">
        <v>78</v>
      </c>
      <c r="O154" s="105" t="str">
        <f t="shared" si="8"/>
        <v/>
      </c>
      <c r="P154" s="105"/>
      <c r="Q154" s="105" t="s">
        <v>77</v>
      </c>
      <c r="R154" s="105" t="s">
        <v>77</v>
      </c>
      <c r="S154" s="105"/>
      <c r="T154" s="105"/>
      <c r="U154" s="105"/>
      <c r="V154" s="105"/>
      <c r="W154" s="105" t="s">
        <v>80</v>
      </c>
      <c r="X154" s="105"/>
      <c r="Y154" s="105"/>
    </row>
    <row r="155" spans="1:25" s="99" customFormat="1" ht="26.25" customHeight="1">
      <c r="A155" s="100">
        <v>3896</v>
      </c>
      <c r="B155" s="101" t="s">
        <v>11</v>
      </c>
      <c r="C155" s="105" t="s">
        <v>52</v>
      </c>
      <c r="D155" s="105" t="s">
        <v>359</v>
      </c>
      <c r="E155" s="105" t="s">
        <v>44</v>
      </c>
      <c r="F155" s="101" t="str">
        <f t="shared" si="7"/>
        <v>-</v>
      </c>
      <c r="G155" s="106" t="s">
        <v>53</v>
      </c>
      <c r="H155" s="105"/>
      <c r="I155" s="106" t="s">
        <v>360</v>
      </c>
      <c r="J155" s="107" t="s">
        <v>54</v>
      </c>
      <c r="K155" s="108"/>
      <c r="L155" s="106"/>
      <c r="M155" s="110"/>
      <c r="N155" s="105" t="s">
        <v>78</v>
      </c>
      <c r="O155" s="105" t="str">
        <f t="shared" si="8"/>
        <v/>
      </c>
      <c r="P155" s="105"/>
      <c r="Q155" s="105" t="s">
        <v>77</v>
      </c>
      <c r="R155" s="105" t="s">
        <v>77</v>
      </c>
      <c r="S155" s="105"/>
      <c r="T155" s="105"/>
      <c r="U155" s="105"/>
      <c r="V155" s="105"/>
      <c r="W155" s="105" t="s">
        <v>80</v>
      </c>
      <c r="X155" s="105"/>
      <c r="Y155" s="105"/>
    </row>
    <row r="156" spans="1:25" s="99" customFormat="1" ht="26.25" customHeight="1">
      <c r="A156" s="100">
        <v>3897</v>
      </c>
      <c r="B156" s="101" t="s">
        <v>11</v>
      </c>
      <c r="C156" s="105" t="s">
        <v>52</v>
      </c>
      <c r="D156" s="105" t="s">
        <v>361</v>
      </c>
      <c r="E156" s="105" t="s">
        <v>44</v>
      </c>
      <c r="F156" s="101" t="str">
        <f t="shared" si="7"/>
        <v>-</v>
      </c>
      <c r="G156" s="106" t="s">
        <v>53</v>
      </c>
      <c r="H156" s="105"/>
      <c r="I156" s="106" t="s">
        <v>362</v>
      </c>
      <c r="J156" s="107" t="s">
        <v>54</v>
      </c>
      <c r="K156" s="108"/>
      <c r="L156" s="106"/>
      <c r="M156" s="110"/>
      <c r="N156" s="105" t="s">
        <v>78</v>
      </c>
      <c r="O156" s="105" t="str">
        <f t="shared" si="8"/>
        <v/>
      </c>
      <c r="P156" s="105"/>
      <c r="Q156" s="105" t="s">
        <v>77</v>
      </c>
      <c r="R156" s="105" t="s">
        <v>77</v>
      </c>
      <c r="S156" s="105"/>
      <c r="T156" s="105"/>
      <c r="U156" s="105"/>
      <c r="V156" s="105"/>
      <c r="W156" s="105" t="s">
        <v>80</v>
      </c>
      <c r="X156" s="105"/>
      <c r="Y156" s="105"/>
    </row>
    <row r="157" spans="1:25" s="99" customFormat="1" ht="26.25" customHeight="1">
      <c r="A157" s="100">
        <v>3898</v>
      </c>
      <c r="B157" s="101" t="s">
        <v>11</v>
      </c>
      <c r="C157" s="105" t="s">
        <v>52</v>
      </c>
      <c r="D157" s="105" t="s">
        <v>363</v>
      </c>
      <c r="E157" s="105" t="s">
        <v>44</v>
      </c>
      <c r="F157" s="101" t="str">
        <f t="shared" si="7"/>
        <v>-</v>
      </c>
      <c r="G157" s="106" t="s">
        <v>53</v>
      </c>
      <c r="H157" s="105"/>
      <c r="I157" s="106" t="s">
        <v>364</v>
      </c>
      <c r="J157" s="107" t="s">
        <v>54</v>
      </c>
      <c r="K157" s="108"/>
      <c r="L157" s="106"/>
      <c r="M157" s="110"/>
      <c r="N157" s="105" t="s">
        <v>78</v>
      </c>
      <c r="O157" s="105" t="str">
        <f t="shared" si="8"/>
        <v/>
      </c>
      <c r="P157" s="105"/>
      <c r="Q157" s="105" t="s">
        <v>77</v>
      </c>
      <c r="R157" s="105" t="s">
        <v>77</v>
      </c>
      <c r="S157" s="105"/>
      <c r="T157" s="105"/>
      <c r="U157" s="105"/>
      <c r="V157" s="105"/>
      <c r="W157" s="105" t="s">
        <v>80</v>
      </c>
      <c r="X157" s="105"/>
      <c r="Y157" s="105"/>
    </row>
    <row r="158" spans="1:25" s="99" customFormat="1" ht="26.25" customHeight="1">
      <c r="A158" s="100">
        <v>3899</v>
      </c>
      <c r="B158" s="101" t="s">
        <v>11</v>
      </c>
      <c r="C158" s="105" t="s">
        <v>52</v>
      </c>
      <c r="D158" s="105" t="s">
        <v>365</v>
      </c>
      <c r="E158" s="105" t="s">
        <v>44</v>
      </c>
      <c r="F158" s="101" t="str">
        <f t="shared" si="7"/>
        <v>-</v>
      </c>
      <c r="G158" s="106" t="s">
        <v>53</v>
      </c>
      <c r="H158" s="105"/>
      <c r="I158" s="106" t="s">
        <v>366</v>
      </c>
      <c r="J158" s="107" t="s">
        <v>54</v>
      </c>
      <c r="K158" s="108"/>
      <c r="L158" s="106"/>
      <c r="M158" s="110"/>
      <c r="N158" s="105" t="s">
        <v>78</v>
      </c>
      <c r="O158" s="105" t="str">
        <f t="shared" si="8"/>
        <v/>
      </c>
      <c r="P158" s="105"/>
      <c r="Q158" s="105" t="s">
        <v>77</v>
      </c>
      <c r="R158" s="105" t="s">
        <v>77</v>
      </c>
      <c r="S158" s="105"/>
      <c r="T158" s="105"/>
      <c r="U158" s="105"/>
      <c r="V158" s="105"/>
      <c r="W158" s="105" t="s">
        <v>80</v>
      </c>
      <c r="X158" s="105"/>
      <c r="Y158" s="105"/>
    </row>
    <row r="159" spans="1:25" s="99" customFormat="1" ht="26.25" customHeight="1">
      <c r="A159" s="100">
        <v>3900</v>
      </c>
      <c r="B159" s="101" t="s">
        <v>11</v>
      </c>
      <c r="C159" s="105" t="s">
        <v>52</v>
      </c>
      <c r="D159" s="105" t="s">
        <v>367</v>
      </c>
      <c r="E159" s="105" t="s">
        <v>44</v>
      </c>
      <c r="F159" s="101" t="str">
        <f t="shared" si="7"/>
        <v>-</v>
      </c>
      <c r="G159" s="106" t="s">
        <v>53</v>
      </c>
      <c r="H159" s="105"/>
      <c r="I159" s="106" t="s">
        <v>368</v>
      </c>
      <c r="J159" s="107" t="s">
        <v>54</v>
      </c>
      <c r="K159" s="108"/>
      <c r="L159" s="106"/>
      <c r="M159" s="110"/>
      <c r="N159" s="105" t="s">
        <v>78</v>
      </c>
      <c r="O159" s="105" t="str">
        <f t="shared" si="8"/>
        <v/>
      </c>
      <c r="P159" s="105"/>
      <c r="Q159" s="105" t="s">
        <v>77</v>
      </c>
      <c r="R159" s="105" t="s">
        <v>77</v>
      </c>
      <c r="S159" s="105"/>
      <c r="T159" s="105"/>
      <c r="U159" s="105"/>
      <c r="V159" s="105"/>
      <c r="W159" s="105" t="s">
        <v>80</v>
      </c>
      <c r="X159" s="105"/>
      <c r="Y159" s="105"/>
    </row>
    <row r="160" spans="1:25" s="99" customFormat="1" ht="26.25" customHeight="1">
      <c r="A160" s="100">
        <v>3901</v>
      </c>
      <c r="B160" s="101" t="s">
        <v>11</v>
      </c>
      <c r="C160" s="105" t="s">
        <v>52</v>
      </c>
      <c r="D160" s="105" t="s">
        <v>369</v>
      </c>
      <c r="E160" s="105" t="s">
        <v>44</v>
      </c>
      <c r="F160" s="101" t="str">
        <f t="shared" si="7"/>
        <v>-</v>
      </c>
      <c r="G160" s="106" t="s">
        <v>53</v>
      </c>
      <c r="H160" s="105"/>
      <c r="I160" s="106" t="s">
        <v>370</v>
      </c>
      <c r="J160" s="107" t="s">
        <v>54</v>
      </c>
      <c r="K160" s="108"/>
      <c r="L160" s="106"/>
      <c r="M160" s="110"/>
      <c r="N160" s="105" t="s">
        <v>78</v>
      </c>
      <c r="O160" s="105" t="str">
        <f t="shared" si="8"/>
        <v/>
      </c>
      <c r="P160" s="105"/>
      <c r="Q160" s="105" t="s">
        <v>77</v>
      </c>
      <c r="R160" s="105" t="s">
        <v>77</v>
      </c>
      <c r="S160" s="105"/>
      <c r="T160" s="105"/>
      <c r="U160" s="105"/>
      <c r="V160" s="105"/>
      <c r="W160" s="105" t="s">
        <v>80</v>
      </c>
      <c r="X160" s="105"/>
      <c r="Y160" s="105"/>
    </row>
    <row r="161" spans="1:25" s="99" customFormat="1" ht="26.25" customHeight="1">
      <c r="A161" s="100">
        <v>3902</v>
      </c>
      <c r="B161" s="101" t="s">
        <v>11</v>
      </c>
      <c r="C161" s="105" t="s">
        <v>52</v>
      </c>
      <c r="D161" s="105" t="s">
        <v>371</v>
      </c>
      <c r="E161" s="105" t="s">
        <v>44</v>
      </c>
      <c r="F161" s="101" t="str">
        <f t="shared" si="7"/>
        <v>-</v>
      </c>
      <c r="G161" s="106" t="s">
        <v>53</v>
      </c>
      <c r="H161" s="105"/>
      <c r="I161" s="106" t="s">
        <v>372</v>
      </c>
      <c r="J161" s="107" t="s">
        <v>54</v>
      </c>
      <c r="K161" s="108"/>
      <c r="L161" s="106"/>
      <c r="M161" s="110"/>
      <c r="N161" s="105" t="s">
        <v>78</v>
      </c>
      <c r="O161" s="105" t="str">
        <f t="shared" si="8"/>
        <v/>
      </c>
      <c r="P161" s="105"/>
      <c r="Q161" s="105" t="s">
        <v>77</v>
      </c>
      <c r="R161" s="105" t="s">
        <v>77</v>
      </c>
      <c r="S161" s="105"/>
      <c r="T161" s="105"/>
      <c r="U161" s="105"/>
      <c r="V161" s="105"/>
      <c r="W161" s="105" t="s">
        <v>80</v>
      </c>
      <c r="X161" s="105"/>
      <c r="Y161" s="105"/>
    </row>
    <row r="162" spans="1:25" s="99" customFormat="1" ht="26.25" customHeight="1">
      <c r="A162" s="100">
        <v>3903</v>
      </c>
      <c r="B162" s="101" t="s">
        <v>11</v>
      </c>
      <c r="C162" s="105" t="s">
        <v>52</v>
      </c>
      <c r="D162" s="105" t="s">
        <v>373</v>
      </c>
      <c r="E162" s="105" t="s">
        <v>44</v>
      </c>
      <c r="F162" s="101" t="str">
        <f t="shared" si="7"/>
        <v>-</v>
      </c>
      <c r="G162" s="106" t="s">
        <v>53</v>
      </c>
      <c r="H162" s="105"/>
      <c r="I162" s="106" t="s">
        <v>374</v>
      </c>
      <c r="J162" s="107" t="s">
        <v>54</v>
      </c>
      <c r="K162" s="108"/>
      <c r="L162" s="106"/>
      <c r="M162" s="110"/>
      <c r="N162" s="105" t="s">
        <v>78</v>
      </c>
      <c r="O162" s="105" t="str">
        <f t="shared" si="8"/>
        <v/>
      </c>
      <c r="P162" s="105"/>
      <c r="Q162" s="105" t="s">
        <v>77</v>
      </c>
      <c r="R162" s="105" t="s">
        <v>77</v>
      </c>
      <c r="S162" s="105"/>
      <c r="T162" s="105"/>
      <c r="U162" s="105"/>
      <c r="V162" s="105"/>
      <c r="W162" s="105" t="s">
        <v>80</v>
      </c>
      <c r="X162" s="105"/>
      <c r="Y162" s="105"/>
    </row>
    <row r="163" spans="1:25" s="99" customFormat="1" ht="26.25" customHeight="1">
      <c r="A163" s="100">
        <v>3904</v>
      </c>
      <c r="B163" s="101" t="s">
        <v>11</v>
      </c>
      <c r="C163" s="105" t="s">
        <v>52</v>
      </c>
      <c r="D163" s="105" t="s">
        <v>375</v>
      </c>
      <c r="E163" s="105" t="s">
        <v>44</v>
      </c>
      <c r="F163" s="101" t="str">
        <f t="shared" si="7"/>
        <v>-</v>
      </c>
      <c r="G163" s="106" t="s">
        <v>53</v>
      </c>
      <c r="H163" s="105"/>
      <c r="I163" s="106" t="s">
        <v>376</v>
      </c>
      <c r="J163" s="107" t="s">
        <v>54</v>
      </c>
      <c r="K163" s="108"/>
      <c r="L163" s="106"/>
      <c r="M163" s="110"/>
      <c r="N163" s="105" t="s">
        <v>78</v>
      </c>
      <c r="O163" s="105" t="str">
        <f t="shared" si="8"/>
        <v/>
      </c>
      <c r="P163" s="105"/>
      <c r="Q163" s="105" t="s">
        <v>77</v>
      </c>
      <c r="R163" s="105" t="s">
        <v>77</v>
      </c>
      <c r="S163" s="105"/>
      <c r="T163" s="105"/>
      <c r="U163" s="105"/>
      <c r="V163" s="105"/>
      <c r="W163" s="105" t="s">
        <v>80</v>
      </c>
      <c r="X163" s="105"/>
      <c r="Y163" s="105"/>
    </row>
    <row r="164" spans="1:25" s="99" customFormat="1" ht="26.25" customHeight="1">
      <c r="A164" s="100">
        <v>3905</v>
      </c>
      <c r="B164" s="101" t="s">
        <v>11</v>
      </c>
      <c r="C164" s="105" t="s">
        <v>52</v>
      </c>
      <c r="D164" s="105" t="s">
        <v>377</v>
      </c>
      <c r="E164" s="105" t="s">
        <v>44</v>
      </c>
      <c r="F164" s="101" t="str">
        <f t="shared" si="7"/>
        <v>-</v>
      </c>
      <c r="G164" s="106" t="s">
        <v>53</v>
      </c>
      <c r="H164" s="105"/>
      <c r="I164" s="106" t="s">
        <v>378</v>
      </c>
      <c r="J164" s="107" t="s">
        <v>54</v>
      </c>
      <c r="K164" s="108"/>
      <c r="L164" s="106"/>
      <c r="M164" s="110"/>
      <c r="N164" s="105" t="s">
        <v>78</v>
      </c>
      <c r="O164" s="105" t="str">
        <f t="shared" si="8"/>
        <v/>
      </c>
      <c r="P164" s="105"/>
      <c r="Q164" s="105" t="s">
        <v>77</v>
      </c>
      <c r="R164" s="105" t="s">
        <v>77</v>
      </c>
      <c r="S164" s="105"/>
      <c r="T164" s="105"/>
      <c r="U164" s="105"/>
      <c r="V164" s="105"/>
      <c r="W164" s="105" t="s">
        <v>80</v>
      </c>
      <c r="X164" s="105"/>
      <c r="Y164" s="105"/>
    </row>
    <row r="165" spans="1:25" s="99" customFormat="1" ht="26.25" customHeight="1">
      <c r="A165" s="100">
        <v>3906</v>
      </c>
      <c r="B165" s="101" t="s">
        <v>11</v>
      </c>
      <c r="C165" s="105" t="s">
        <v>52</v>
      </c>
      <c r="D165" s="105" t="s">
        <v>379</v>
      </c>
      <c r="E165" s="105" t="s">
        <v>44</v>
      </c>
      <c r="F165" s="101" t="str">
        <f t="shared" si="7"/>
        <v>-</v>
      </c>
      <c r="G165" s="106" t="s">
        <v>53</v>
      </c>
      <c r="H165" s="105"/>
      <c r="I165" s="106" t="s">
        <v>380</v>
      </c>
      <c r="J165" s="107" t="s">
        <v>54</v>
      </c>
      <c r="K165" s="108"/>
      <c r="L165" s="106"/>
      <c r="M165" s="110"/>
      <c r="N165" s="105" t="s">
        <v>78</v>
      </c>
      <c r="O165" s="105" t="str">
        <f t="shared" si="8"/>
        <v/>
      </c>
      <c r="P165" s="105"/>
      <c r="Q165" s="105" t="s">
        <v>77</v>
      </c>
      <c r="R165" s="105" t="s">
        <v>77</v>
      </c>
      <c r="S165" s="105"/>
      <c r="T165" s="105"/>
      <c r="U165" s="105"/>
      <c r="V165" s="105"/>
      <c r="W165" s="105" t="s">
        <v>80</v>
      </c>
      <c r="X165" s="105"/>
      <c r="Y165" s="105"/>
    </row>
    <row r="166" spans="1:25" s="99" customFormat="1" ht="26.25" customHeight="1">
      <c r="A166" s="100">
        <v>3907</v>
      </c>
      <c r="B166" s="101" t="s">
        <v>11</v>
      </c>
      <c r="C166" s="105" t="s">
        <v>52</v>
      </c>
      <c r="D166" s="105" t="s">
        <v>381</v>
      </c>
      <c r="E166" s="105" t="s">
        <v>44</v>
      </c>
      <c r="F166" s="101" t="str">
        <f t="shared" si="7"/>
        <v>-</v>
      </c>
      <c r="G166" s="106" t="s">
        <v>53</v>
      </c>
      <c r="H166" s="105"/>
      <c r="I166" s="106" t="s">
        <v>382</v>
      </c>
      <c r="J166" s="107" t="s">
        <v>54</v>
      </c>
      <c r="K166" s="108"/>
      <c r="L166" s="106"/>
      <c r="M166" s="110"/>
      <c r="N166" s="105" t="s">
        <v>78</v>
      </c>
      <c r="O166" s="105" t="str">
        <f t="shared" si="8"/>
        <v/>
      </c>
      <c r="P166" s="105"/>
      <c r="Q166" s="105" t="s">
        <v>77</v>
      </c>
      <c r="R166" s="105" t="s">
        <v>77</v>
      </c>
      <c r="S166" s="105"/>
      <c r="T166" s="105"/>
      <c r="U166" s="105"/>
      <c r="V166" s="105"/>
      <c r="W166" s="105" t="s">
        <v>80</v>
      </c>
      <c r="X166" s="105"/>
      <c r="Y166" s="105"/>
    </row>
    <row r="167" spans="1:25" s="99" customFormat="1" ht="26.25" customHeight="1">
      <c r="A167" s="100">
        <v>3908</v>
      </c>
      <c r="B167" s="101" t="s">
        <v>11</v>
      </c>
      <c r="C167" s="105" t="s">
        <v>52</v>
      </c>
      <c r="D167" s="105" t="s">
        <v>383</v>
      </c>
      <c r="E167" s="105" t="s">
        <v>44</v>
      </c>
      <c r="F167" s="101" t="str">
        <f t="shared" si="7"/>
        <v>-</v>
      </c>
      <c r="G167" s="106" t="s">
        <v>53</v>
      </c>
      <c r="H167" s="105"/>
      <c r="I167" s="106" t="s">
        <v>384</v>
      </c>
      <c r="J167" s="107" t="s">
        <v>54</v>
      </c>
      <c r="K167" s="108"/>
      <c r="L167" s="106"/>
      <c r="M167" s="110"/>
      <c r="N167" s="105" t="s">
        <v>78</v>
      </c>
      <c r="O167" s="105" t="str">
        <f t="shared" si="8"/>
        <v/>
      </c>
      <c r="P167" s="105"/>
      <c r="Q167" s="105" t="s">
        <v>77</v>
      </c>
      <c r="R167" s="105" t="s">
        <v>77</v>
      </c>
      <c r="S167" s="105"/>
      <c r="T167" s="105"/>
      <c r="U167" s="105"/>
      <c r="V167" s="105"/>
      <c r="W167" s="105" t="s">
        <v>80</v>
      </c>
      <c r="X167" s="105"/>
      <c r="Y167" s="105"/>
    </row>
    <row r="168" spans="1:25" s="99" customFormat="1" ht="26.25" customHeight="1">
      <c r="A168" s="100">
        <v>3909</v>
      </c>
      <c r="B168" s="101" t="s">
        <v>11</v>
      </c>
      <c r="C168" s="105" t="s">
        <v>52</v>
      </c>
      <c r="D168" s="105" t="s">
        <v>385</v>
      </c>
      <c r="E168" s="105" t="s">
        <v>44</v>
      </c>
      <c r="F168" s="101" t="str">
        <f t="shared" si="7"/>
        <v>-</v>
      </c>
      <c r="G168" s="106" t="s">
        <v>53</v>
      </c>
      <c r="H168" s="105"/>
      <c r="I168" s="106" t="s">
        <v>386</v>
      </c>
      <c r="J168" s="107" t="s">
        <v>54</v>
      </c>
      <c r="K168" s="108"/>
      <c r="L168" s="106"/>
      <c r="M168" s="110"/>
      <c r="N168" s="105" t="s">
        <v>78</v>
      </c>
      <c r="O168" s="105" t="str">
        <f t="shared" si="8"/>
        <v/>
      </c>
      <c r="P168" s="105"/>
      <c r="Q168" s="105" t="s">
        <v>77</v>
      </c>
      <c r="R168" s="105" t="s">
        <v>77</v>
      </c>
      <c r="S168" s="105"/>
      <c r="T168" s="105"/>
      <c r="U168" s="105"/>
      <c r="V168" s="105"/>
      <c r="W168" s="105" t="s">
        <v>80</v>
      </c>
      <c r="X168" s="105"/>
      <c r="Y168" s="105"/>
    </row>
    <row r="169" spans="1:25" s="99" customFormat="1" ht="26.25" customHeight="1">
      <c r="A169" s="100">
        <v>3910</v>
      </c>
      <c r="B169" s="101" t="s">
        <v>11</v>
      </c>
      <c r="C169" s="105" t="s">
        <v>52</v>
      </c>
      <c r="D169" s="105" t="s">
        <v>387</v>
      </c>
      <c r="E169" s="105" t="s">
        <v>44</v>
      </c>
      <c r="F169" s="101" t="str">
        <f t="shared" si="7"/>
        <v>-</v>
      </c>
      <c r="G169" s="106" t="s">
        <v>53</v>
      </c>
      <c r="H169" s="105"/>
      <c r="I169" s="106" t="s">
        <v>388</v>
      </c>
      <c r="J169" s="107" t="s">
        <v>54</v>
      </c>
      <c r="K169" s="108"/>
      <c r="L169" s="106"/>
      <c r="M169" s="110"/>
      <c r="N169" s="105" t="s">
        <v>78</v>
      </c>
      <c r="O169" s="105" t="str">
        <f t="shared" si="8"/>
        <v/>
      </c>
      <c r="P169" s="105"/>
      <c r="Q169" s="105" t="s">
        <v>77</v>
      </c>
      <c r="R169" s="105" t="s">
        <v>77</v>
      </c>
      <c r="S169" s="105"/>
      <c r="T169" s="105"/>
      <c r="U169" s="105"/>
      <c r="V169" s="105"/>
      <c r="W169" s="105" t="s">
        <v>80</v>
      </c>
      <c r="X169" s="105"/>
      <c r="Y169" s="105"/>
    </row>
    <row r="170" spans="1:25" s="99" customFormat="1" ht="26.25" customHeight="1">
      <c r="A170" s="100">
        <v>3911</v>
      </c>
      <c r="B170" s="101" t="s">
        <v>11</v>
      </c>
      <c r="C170" s="105" t="s">
        <v>52</v>
      </c>
      <c r="D170" s="105" t="s">
        <v>389</v>
      </c>
      <c r="E170" s="105" t="s">
        <v>44</v>
      </c>
      <c r="F170" s="101" t="str">
        <f t="shared" si="7"/>
        <v>-</v>
      </c>
      <c r="G170" s="106" t="s">
        <v>53</v>
      </c>
      <c r="H170" s="105"/>
      <c r="I170" s="106" t="s">
        <v>390</v>
      </c>
      <c r="J170" s="107" t="s">
        <v>54</v>
      </c>
      <c r="K170" s="108"/>
      <c r="L170" s="106"/>
      <c r="M170" s="110"/>
      <c r="N170" s="105" t="s">
        <v>78</v>
      </c>
      <c r="O170" s="105" t="str">
        <f t="shared" si="8"/>
        <v/>
      </c>
      <c r="P170" s="105"/>
      <c r="Q170" s="105" t="s">
        <v>77</v>
      </c>
      <c r="R170" s="105" t="s">
        <v>77</v>
      </c>
      <c r="S170" s="105"/>
      <c r="T170" s="105"/>
      <c r="U170" s="105"/>
      <c r="V170" s="105"/>
      <c r="W170" s="105" t="s">
        <v>80</v>
      </c>
      <c r="X170" s="105"/>
      <c r="Y170" s="105"/>
    </row>
    <row r="171" spans="1:25" s="99" customFormat="1" ht="26.25" customHeight="1">
      <c r="A171" s="100">
        <v>3912</v>
      </c>
      <c r="B171" s="101" t="s">
        <v>11</v>
      </c>
      <c r="C171" s="105" t="s">
        <v>52</v>
      </c>
      <c r="D171" s="105" t="s">
        <v>391</v>
      </c>
      <c r="E171" s="105" t="s">
        <v>44</v>
      </c>
      <c r="F171" s="101" t="str">
        <f t="shared" si="7"/>
        <v>-</v>
      </c>
      <c r="G171" s="106" t="s">
        <v>53</v>
      </c>
      <c r="H171" s="105"/>
      <c r="I171" s="106" t="s">
        <v>392</v>
      </c>
      <c r="J171" s="107" t="s">
        <v>54</v>
      </c>
      <c r="K171" s="108"/>
      <c r="L171" s="106"/>
      <c r="M171" s="110"/>
      <c r="N171" s="105" t="s">
        <v>78</v>
      </c>
      <c r="O171" s="105" t="str">
        <f t="shared" si="8"/>
        <v/>
      </c>
      <c r="P171" s="105"/>
      <c r="Q171" s="105" t="s">
        <v>77</v>
      </c>
      <c r="R171" s="105" t="s">
        <v>77</v>
      </c>
      <c r="S171" s="105"/>
      <c r="T171" s="105"/>
      <c r="U171" s="105"/>
      <c r="V171" s="105"/>
      <c r="W171" s="105" t="s">
        <v>80</v>
      </c>
      <c r="X171" s="105"/>
      <c r="Y171" s="105"/>
    </row>
    <row r="172" spans="1:25" s="99" customFormat="1" ht="26.25" customHeight="1">
      <c r="A172" s="100">
        <v>3913</v>
      </c>
      <c r="B172" s="101" t="s">
        <v>11</v>
      </c>
      <c r="C172" s="105" t="s">
        <v>52</v>
      </c>
      <c r="D172" s="105" t="s">
        <v>393</v>
      </c>
      <c r="E172" s="105" t="s">
        <v>44</v>
      </c>
      <c r="F172" s="101" t="str">
        <f t="shared" si="7"/>
        <v>-</v>
      </c>
      <c r="G172" s="106" t="s">
        <v>53</v>
      </c>
      <c r="H172" s="105"/>
      <c r="I172" s="106" t="s">
        <v>394</v>
      </c>
      <c r="J172" s="107" t="s">
        <v>54</v>
      </c>
      <c r="K172" s="108"/>
      <c r="L172" s="106"/>
      <c r="M172" s="110"/>
      <c r="N172" s="105" t="s">
        <v>78</v>
      </c>
      <c r="O172" s="105" t="str">
        <f t="shared" si="8"/>
        <v/>
      </c>
      <c r="P172" s="105"/>
      <c r="Q172" s="105" t="s">
        <v>77</v>
      </c>
      <c r="R172" s="105" t="s">
        <v>77</v>
      </c>
      <c r="S172" s="105"/>
      <c r="T172" s="105"/>
      <c r="U172" s="105"/>
      <c r="V172" s="105"/>
      <c r="W172" s="105" t="s">
        <v>80</v>
      </c>
      <c r="X172" s="105"/>
      <c r="Y172" s="105"/>
    </row>
    <row r="173" spans="1:25" s="99" customFormat="1" ht="26.25" customHeight="1">
      <c r="A173" s="100">
        <v>3914</v>
      </c>
      <c r="B173" s="101" t="s">
        <v>11</v>
      </c>
      <c r="C173" s="105" t="s">
        <v>52</v>
      </c>
      <c r="D173" s="105" t="s">
        <v>395</v>
      </c>
      <c r="E173" s="105" t="s">
        <v>44</v>
      </c>
      <c r="F173" s="101" t="str">
        <f t="shared" si="7"/>
        <v>-</v>
      </c>
      <c r="G173" s="106" t="s">
        <v>53</v>
      </c>
      <c r="H173" s="105"/>
      <c r="I173" s="106" t="s">
        <v>396</v>
      </c>
      <c r="J173" s="107" t="s">
        <v>54</v>
      </c>
      <c r="K173" s="108"/>
      <c r="L173" s="106"/>
      <c r="M173" s="110"/>
      <c r="N173" s="105" t="s">
        <v>78</v>
      </c>
      <c r="O173" s="105" t="str">
        <f t="shared" si="8"/>
        <v/>
      </c>
      <c r="P173" s="105"/>
      <c r="Q173" s="105" t="s">
        <v>77</v>
      </c>
      <c r="R173" s="105" t="s">
        <v>77</v>
      </c>
      <c r="S173" s="105"/>
      <c r="T173" s="105"/>
      <c r="U173" s="105"/>
      <c r="V173" s="105"/>
      <c r="W173" s="105" t="s">
        <v>80</v>
      </c>
      <c r="X173" s="105"/>
      <c r="Y173" s="105"/>
    </row>
    <row r="174" spans="1:25" s="99" customFormat="1" ht="26.25" customHeight="1">
      <c r="A174" s="100">
        <v>3915</v>
      </c>
      <c r="B174" s="101" t="s">
        <v>11</v>
      </c>
      <c r="C174" s="105" t="s">
        <v>52</v>
      </c>
      <c r="D174" s="105" t="s">
        <v>397</v>
      </c>
      <c r="E174" s="105" t="s">
        <v>44</v>
      </c>
      <c r="F174" s="101" t="str">
        <f t="shared" si="7"/>
        <v>-</v>
      </c>
      <c r="G174" s="106" t="s">
        <v>53</v>
      </c>
      <c r="H174" s="105"/>
      <c r="I174" s="106" t="s">
        <v>398</v>
      </c>
      <c r="J174" s="107" t="s">
        <v>54</v>
      </c>
      <c r="K174" s="108"/>
      <c r="L174" s="106"/>
      <c r="M174" s="110"/>
      <c r="N174" s="105" t="s">
        <v>78</v>
      </c>
      <c r="O174" s="105" t="str">
        <f t="shared" si="8"/>
        <v/>
      </c>
      <c r="P174" s="105"/>
      <c r="Q174" s="105" t="s">
        <v>77</v>
      </c>
      <c r="R174" s="105" t="s">
        <v>77</v>
      </c>
      <c r="S174" s="105"/>
      <c r="T174" s="105"/>
      <c r="U174" s="105"/>
      <c r="V174" s="105"/>
      <c r="W174" s="105" t="s">
        <v>80</v>
      </c>
      <c r="X174" s="105"/>
      <c r="Y174" s="105"/>
    </row>
    <row r="175" spans="1:25" s="99" customFormat="1" ht="26.25" customHeight="1">
      <c r="A175" s="100">
        <v>3916</v>
      </c>
      <c r="B175" s="101" t="s">
        <v>11</v>
      </c>
      <c r="C175" s="105" t="s">
        <v>52</v>
      </c>
      <c r="D175" s="105" t="s">
        <v>399</v>
      </c>
      <c r="E175" s="105" t="s">
        <v>44</v>
      </c>
      <c r="F175" s="101" t="str">
        <f t="shared" si="7"/>
        <v>-</v>
      </c>
      <c r="G175" s="106" t="s">
        <v>53</v>
      </c>
      <c r="H175" s="105"/>
      <c r="I175" s="106" t="s">
        <v>400</v>
      </c>
      <c r="J175" s="107" t="s">
        <v>54</v>
      </c>
      <c r="K175" s="108"/>
      <c r="L175" s="106"/>
      <c r="M175" s="110"/>
      <c r="N175" s="105" t="s">
        <v>78</v>
      </c>
      <c r="O175" s="105" t="str">
        <f t="shared" si="8"/>
        <v/>
      </c>
      <c r="P175" s="105"/>
      <c r="Q175" s="105" t="s">
        <v>77</v>
      </c>
      <c r="R175" s="105" t="s">
        <v>77</v>
      </c>
      <c r="S175" s="105"/>
      <c r="T175" s="105"/>
      <c r="U175" s="105"/>
      <c r="V175" s="105"/>
      <c r="W175" s="105" t="s">
        <v>80</v>
      </c>
      <c r="X175" s="105"/>
      <c r="Y175" s="105"/>
    </row>
    <row r="176" spans="1:25" s="99" customFormat="1" ht="26.25" customHeight="1">
      <c r="A176" s="100">
        <v>3917</v>
      </c>
      <c r="B176" s="101" t="s">
        <v>11</v>
      </c>
      <c r="C176" s="105" t="s">
        <v>52</v>
      </c>
      <c r="D176" s="105" t="s">
        <v>401</v>
      </c>
      <c r="E176" s="105" t="s">
        <v>44</v>
      </c>
      <c r="F176" s="101" t="str">
        <f t="shared" si="7"/>
        <v>-</v>
      </c>
      <c r="G176" s="106" t="s">
        <v>53</v>
      </c>
      <c r="H176" s="105"/>
      <c r="I176" s="106" t="s">
        <v>402</v>
      </c>
      <c r="J176" s="107" t="s">
        <v>54</v>
      </c>
      <c r="K176" s="108"/>
      <c r="L176" s="106"/>
      <c r="M176" s="110"/>
      <c r="N176" s="105" t="s">
        <v>78</v>
      </c>
      <c r="O176" s="105" t="str">
        <f t="shared" si="8"/>
        <v/>
      </c>
      <c r="P176" s="105"/>
      <c r="Q176" s="105" t="s">
        <v>77</v>
      </c>
      <c r="R176" s="105" t="s">
        <v>77</v>
      </c>
      <c r="S176" s="105"/>
      <c r="T176" s="105"/>
      <c r="U176" s="105"/>
      <c r="V176" s="105"/>
      <c r="W176" s="105" t="s">
        <v>80</v>
      </c>
      <c r="X176" s="105"/>
      <c r="Y176" s="105"/>
    </row>
    <row r="177" spans="1:25" s="99" customFormat="1" ht="26.25" customHeight="1">
      <c r="A177" s="100">
        <v>3918</v>
      </c>
      <c r="B177" s="101" t="s">
        <v>11</v>
      </c>
      <c r="C177" s="105" t="s">
        <v>52</v>
      </c>
      <c r="D177" s="105" t="s">
        <v>403</v>
      </c>
      <c r="E177" s="105" t="s">
        <v>44</v>
      </c>
      <c r="F177" s="101" t="str">
        <f t="shared" si="7"/>
        <v>-</v>
      </c>
      <c r="G177" s="106" t="s">
        <v>53</v>
      </c>
      <c r="H177" s="105"/>
      <c r="I177" s="106" t="s">
        <v>404</v>
      </c>
      <c r="J177" s="107" t="s">
        <v>54</v>
      </c>
      <c r="K177" s="108"/>
      <c r="L177" s="106"/>
      <c r="M177" s="110"/>
      <c r="N177" s="105" t="s">
        <v>78</v>
      </c>
      <c r="O177" s="105" t="str">
        <f t="shared" si="8"/>
        <v/>
      </c>
      <c r="P177" s="105"/>
      <c r="Q177" s="105" t="s">
        <v>77</v>
      </c>
      <c r="R177" s="105" t="s">
        <v>77</v>
      </c>
      <c r="S177" s="105"/>
      <c r="T177" s="105"/>
      <c r="U177" s="105"/>
      <c r="V177" s="105"/>
      <c r="W177" s="105" t="s">
        <v>80</v>
      </c>
      <c r="X177" s="105"/>
      <c r="Y177" s="105"/>
    </row>
    <row r="178" spans="1:25" s="99" customFormat="1" ht="26.25" customHeight="1">
      <c r="A178" s="100">
        <v>3919</v>
      </c>
      <c r="B178" s="101" t="s">
        <v>11</v>
      </c>
      <c r="C178" s="105" t="s">
        <v>52</v>
      </c>
      <c r="D178" s="105" t="s">
        <v>405</v>
      </c>
      <c r="E178" s="105" t="s">
        <v>44</v>
      </c>
      <c r="F178" s="101" t="str">
        <f t="shared" si="7"/>
        <v>-</v>
      </c>
      <c r="G178" s="106" t="s">
        <v>53</v>
      </c>
      <c r="H178" s="105"/>
      <c r="I178" s="106" t="s">
        <v>406</v>
      </c>
      <c r="J178" s="107" t="s">
        <v>54</v>
      </c>
      <c r="K178" s="108"/>
      <c r="L178" s="106"/>
      <c r="M178" s="110"/>
      <c r="N178" s="105" t="s">
        <v>78</v>
      </c>
      <c r="O178" s="105" t="str">
        <f t="shared" si="8"/>
        <v/>
      </c>
      <c r="P178" s="105"/>
      <c r="Q178" s="105" t="s">
        <v>77</v>
      </c>
      <c r="R178" s="105" t="s">
        <v>77</v>
      </c>
      <c r="S178" s="105"/>
      <c r="T178" s="105"/>
      <c r="U178" s="105"/>
      <c r="V178" s="105"/>
      <c r="W178" s="105" t="s">
        <v>80</v>
      </c>
      <c r="X178" s="105"/>
      <c r="Y178" s="105"/>
    </row>
    <row r="179" spans="1:25" s="99" customFormat="1" ht="26.25" customHeight="1">
      <c r="A179" s="100">
        <v>3920</v>
      </c>
      <c r="B179" s="101" t="s">
        <v>11</v>
      </c>
      <c r="C179" s="105" t="s">
        <v>52</v>
      </c>
      <c r="D179" s="105" t="s">
        <v>407</v>
      </c>
      <c r="E179" s="105" t="s">
        <v>44</v>
      </c>
      <c r="F179" s="101" t="str">
        <f t="shared" si="7"/>
        <v>-</v>
      </c>
      <c r="G179" s="106" t="s">
        <v>53</v>
      </c>
      <c r="H179" s="105"/>
      <c r="I179" s="106" t="s">
        <v>408</v>
      </c>
      <c r="J179" s="107" t="s">
        <v>54</v>
      </c>
      <c r="K179" s="108"/>
      <c r="L179" s="106"/>
      <c r="M179" s="110"/>
      <c r="N179" s="105" t="s">
        <v>78</v>
      </c>
      <c r="O179" s="105" t="str">
        <f t="shared" si="8"/>
        <v/>
      </c>
      <c r="P179" s="105"/>
      <c r="Q179" s="105" t="s">
        <v>77</v>
      </c>
      <c r="R179" s="105" t="s">
        <v>77</v>
      </c>
      <c r="S179" s="105"/>
      <c r="T179" s="105"/>
      <c r="U179" s="105"/>
      <c r="V179" s="105"/>
      <c r="W179" s="105" t="s">
        <v>80</v>
      </c>
      <c r="X179" s="105"/>
      <c r="Y179" s="105"/>
    </row>
    <row r="180" spans="1:25" s="99" customFormat="1" ht="26.25" customHeight="1">
      <c r="A180" s="100">
        <v>3921</v>
      </c>
      <c r="B180" s="101" t="s">
        <v>11</v>
      </c>
      <c r="C180" s="105" t="s">
        <v>52</v>
      </c>
      <c r="D180" s="105" t="s">
        <v>409</v>
      </c>
      <c r="E180" s="105" t="s">
        <v>44</v>
      </c>
      <c r="F180" s="101" t="str">
        <f t="shared" si="7"/>
        <v>-</v>
      </c>
      <c r="G180" s="106" t="s">
        <v>53</v>
      </c>
      <c r="H180" s="105"/>
      <c r="I180" s="106" t="s">
        <v>410</v>
      </c>
      <c r="J180" s="107" t="s">
        <v>54</v>
      </c>
      <c r="K180" s="108"/>
      <c r="L180" s="106"/>
      <c r="M180" s="110"/>
      <c r="N180" s="105" t="s">
        <v>78</v>
      </c>
      <c r="O180" s="105" t="str">
        <f t="shared" si="8"/>
        <v/>
      </c>
      <c r="P180" s="105"/>
      <c r="Q180" s="105" t="s">
        <v>77</v>
      </c>
      <c r="R180" s="105" t="s">
        <v>77</v>
      </c>
      <c r="S180" s="105"/>
      <c r="T180" s="105"/>
      <c r="U180" s="105"/>
      <c r="V180" s="105"/>
      <c r="W180" s="105" t="s">
        <v>80</v>
      </c>
      <c r="X180" s="105"/>
      <c r="Y180" s="105"/>
    </row>
    <row r="181" spans="1:25" s="99" customFormat="1" ht="26.25" customHeight="1">
      <c r="A181" s="100">
        <v>3922</v>
      </c>
      <c r="B181" s="101" t="s">
        <v>11</v>
      </c>
      <c r="C181" s="105" t="s">
        <v>52</v>
      </c>
      <c r="D181" s="105" t="s">
        <v>411</v>
      </c>
      <c r="E181" s="105" t="s">
        <v>44</v>
      </c>
      <c r="F181" s="101" t="str">
        <f t="shared" si="7"/>
        <v>-</v>
      </c>
      <c r="G181" s="106" t="s">
        <v>53</v>
      </c>
      <c r="H181" s="105"/>
      <c r="I181" s="106" t="s">
        <v>412</v>
      </c>
      <c r="J181" s="107" t="s">
        <v>54</v>
      </c>
      <c r="K181" s="108"/>
      <c r="L181" s="106"/>
      <c r="M181" s="110"/>
      <c r="N181" s="105" t="s">
        <v>78</v>
      </c>
      <c r="O181" s="105" t="str">
        <f t="shared" si="8"/>
        <v/>
      </c>
      <c r="P181" s="105"/>
      <c r="Q181" s="105" t="s">
        <v>77</v>
      </c>
      <c r="R181" s="105" t="s">
        <v>77</v>
      </c>
      <c r="S181" s="105"/>
      <c r="T181" s="105"/>
      <c r="U181" s="105"/>
      <c r="V181" s="105"/>
      <c r="W181" s="105" t="s">
        <v>80</v>
      </c>
      <c r="X181" s="105"/>
      <c r="Y181" s="105"/>
    </row>
    <row r="182" spans="1:25" s="99" customFormat="1" ht="26.25" customHeight="1">
      <c r="A182" s="100">
        <v>3923</v>
      </c>
      <c r="B182" s="101" t="s">
        <v>11</v>
      </c>
      <c r="C182" s="105" t="s">
        <v>52</v>
      </c>
      <c r="D182" s="105" t="s">
        <v>413</v>
      </c>
      <c r="E182" s="105" t="s">
        <v>44</v>
      </c>
      <c r="F182" s="101" t="str">
        <f t="shared" si="7"/>
        <v>-</v>
      </c>
      <c r="G182" s="106" t="s">
        <v>53</v>
      </c>
      <c r="H182" s="105"/>
      <c r="I182" s="106" t="s">
        <v>414</v>
      </c>
      <c r="J182" s="107" t="s">
        <v>54</v>
      </c>
      <c r="K182" s="108"/>
      <c r="L182" s="106"/>
      <c r="M182" s="110"/>
      <c r="N182" s="105" t="s">
        <v>78</v>
      </c>
      <c r="O182" s="105" t="str">
        <f t="shared" si="8"/>
        <v/>
      </c>
      <c r="P182" s="105"/>
      <c r="Q182" s="105" t="s">
        <v>77</v>
      </c>
      <c r="R182" s="105" t="s">
        <v>77</v>
      </c>
      <c r="S182" s="105"/>
      <c r="T182" s="105"/>
      <c r="U182" s="105"/>
      <c r="V182" s="105"/>
      <c r="W182" s="105" t="s">
        <v>80</v>
      </c>
      <c r="X182" s="105"/>
      <c r="Y182" s="105"/>
    </row>
    <row r="183" spans="1:25" s="99" customFormat="1" ht="26.25" customHeight="1">
      <c r="A183" s="100">
        <v>3924</v>
      </c>
      <c r="B183" s="101" t="s">
        <v>11</v>
      </c>
      <c r="C183" s="105" t="s">
        <v>52</v>
      </c>
      <c r="D183" s="105" t="s">
        <v>415</v>
      </c>
      <c r="E183" s="105" t="s">
        <v>44</v>
      </c>
      <c r="F183" s="101" t="str">
        <f t="shared" si="7"/>
        <v>-</v>
      </c>
      <c r="G183" s="106" t="s">
        <v>53</v>
      </c>
      <c r="H183" s="105"/>
      <c r="I183" s="106" t="s">
        <v>416</v>
      </c>
      <c r="J183" s="107" t="s">
        <v>54</v>
      </c>
      <c r="K183" s="108"/>
      <c r="L183" s="106"/>
      <c r="M183" s="110"/>
      <c r="N183" s="105" t="s">
        <v>78</v>
      </c>
      <c r="O183" s="105" t="str">
        <f t="shared" si="8"/>
        <v/>
      </c>
      <c r="P183" s="105"/>
      <c r="Q183" s="105" t="s">
        <v>77</v>
      </c>
      <c r="R183" s="105" t="s">
        <v>77</v>
      </c>
      <c r="S183" s="105"/>
      <c r="T183" s="105"/>
      <c r="U183" s="105"/>
      <c r="V183" s="105"/>
      <c r="W183" s="105" t="s">
        <v>80</v>
      </c>
      <c r="X183" s="105"/>
      <c r="Y183" s="105"/>
    </row>
    <row r="184" spans="1:25" s="99" customFormat="1" ht="26.25" customHeight="1">
      <c r="A184" s="100">
        <v>3925</v>
      </c>
      <c r="B184" s="101" t="s">
        <v>11</v>
      </c>
      <c r="C184" s="105" t="s">
        <v>52</v>
      </c>
      <c r="D184" s="105" t="s">
        <v>417</v>
      </c>
      <c r="E184" s="105" t="s">
        <v>44</v>
      </c>
      <c r="F184" s="101" t="str">
        <f t="shared" si="7"/>
        <v>-</v>
      </c>
      <c r="G184" s="106" t="s">
        <v>53</v>
      </c>
      <c r="H184" s="105"/>
      <c r="I184" s="106" t="s">
        <v>418</v>
      </c>
      <c r="J184" s="107" t="s">
        <v>54</v>
      </c>
      <c r="K184" s="108"/>
      <c r="L184" s="106"/>
      <c r="M184" s="110"/>
      <c r="N184" s="105" t="s">
        <v>78</v>
      </c>
      <c r="O184" s="105" t="str">
        <f t="shared" si="8"/>
        <v/>
      </c>
      <c r="P184" s="105"/>
      <c r="Q184" s="105" t="s">
        <v>77</v>
      </c>
      <c r="R184" s="105" t="s">
        <v>77</v>
      </c>
      <c r="S184" s="105"/>
      <c r="T184" s="105"/>
      <c r="U184" s="105"/>
      <c r="V184" s="105"/>
      <c r="W184" s="105" t="s">
        <v>80</v>
      </c>
      <c r="X184" s="105"/>
      <c r="Y184" s="105"/>
    </row>
    <row r="185" spans="1:25" s="99" customFormat="1" ht="26.25" customHeight="1">
      <c r="A185" s="100">
        <v>3926</v>
      </c>
      <c r="B185" s="101" t="s">
        <v>11</v>
      </c>
      <c r="C185" s="105" t="s">
        <v>52</v>
      </c>
      <c r="D185" s="105" t="s">
        <v>419</v>
      </c>
      <c r="E185" s="105" t="s">
        <v>44</v>
      </c>
      <c r="F185" s="101" t="str">
        <f t="shared" si="7"/>
        <v>-</v>
      </c>
      <c r="G185" s="106" t="s">
        <v>53</v>
      </c>
      <c r="H185" s="105"/>
      <c r="I185" s="106" t="s">
        <v>420</v>
      </c>
      <c r="J185" s="107" t="s">
        <v>54</v>
      </c>
      <c r="K185" s="108"/>
      <c r="L185" s="106"/>
      <c r="M185" s="110"/>
      <c r="N185" s="105" t="s">
        <v>78</v>
      </c>
      <c r="O185" s="105" t="str">
        <f t="shared" si="8"/>
        <v/>
      </c>
      <c r="P185" s="105"/>
      <c r="Q185" s="105" t="s">
        <v>77</v>
      </c>
      <c r="R185" s="105" t="s">
        <v>77</v>
      </c>
      <c r="S185" s="105"/>
      <c r="T185" s="105"/>
      <c r="U185" s="105"/>
      <c r="V185" s="105"/>
      <c r="W185" s="105" t="s">
        <v>80</v>
      </c>
      <c r="X185" s="105"/>
      <c r="Y185" s="105"/>
    </row>
    <row r="186" spans="1:25" s="99" customFormat="1" ht="26.25" customHeight="1">
      <c r="A186" s="100">
        <v>3927</v>
      </c>
      <c r="B186" s="101" t="s">
        <v>11</v>
      </c>
      <c r="C186" s="105" t="s">
        <v>52</v>
      </c>
      <c r="D186" s="105" t="s">
        <v>421</v>
      </c>
      <c r="E186" s="105" t="s">
        <v>44</v>
      </c>
      <c r="F186" s="101" t="str">
        <f t="shared" si="7"/>
        <v>-</v>
      </c>
      <c r="G186" s="106" t="s">
        <v>53</v>
      </c>
      <c r="H186" s="105"/>
      <c r="I186" s="106" t="s">
        <v>422</v>
      </c>
      <c r="J186" s="107" t="s">
        <v>54</v>
      </c>
      <c r="K186" s="108"/>
      <c r="L186" s="106"/>
      <c r="M186" s="110"/>
      <c r="N186" s="105" t="s">
        <v>78</v>
      </c>
      <c r="O186" s="105" t="str">
        <f t="shared" si="8"/>
        <v/>
      </c>
      <c r="P186" s="105"/>
      <c r="Q186" s="105" t="s">
        <v>77</v>
      </c>
      <c r="R186" s="105" t="s">
        <v>77</v>
      </c>
      <c r="S186" s="105"/>
      <c r="T186" s="105"/>
      <c r="U186" s="105"/>
      <c r="V186" s="105"/>
      <c r="W186" s="105" t="s">
        <v>80</v>
      </c>
      <c r="X186" s="105"/>
      <c r="Y186" s="105"/>
    </row>
    <row r="187" spans="1:25" s="99" customFormat="1" ht="26.25" customHeight="1">
      <c r="A187" s="100">
        <v>3928</v>
      </c>
      <c r="B187" s="101" t="s">
        <v>11</v>
      </c>
      <c r="C187" s="105" t="s">
        <v>52</v>
      </c>
      <c r="D187" s="105" t="s">
        <v>423</v>
      </c>
      <c r="E187" s="105" t="s">
        <v>44</v>
      </c>
      <c r="F187" s="101" t="str">
        <f t="shared" si="7"/>
        <v>-</v>
      </c>
      <c r="G187" s="106" t="s">
        <v>53</v>
      </c>
      <c r="H187" s="105"/>
      <c r="I187" s="106" t="s">
        <v>424</v>
      </c>
      <c r="J187" s="107" t="s">
        <v>54</v>
      </c>
      <c r="K187" s="108"/>
      <c r="L187" s="106"/>
      <c r="M187" s="110"/>
      <c r="N187" s="105" t="s">
        <v>78</v>
      </c>
      <c r="O187" s="105" t="str">
        <f t="shared" si="8"/>
        <v/>
      </c>
      <c r="P187" s="105"/>
      <c r="Q187" s="105" t="s">
        <v>77</v>
      </c>
      <c r="R187" s="105" t="s">
        <v>77</v>
      </c>
      <c r="S187" s="105"/>
      <c r="T187" s="105"/>
      <c r="U187" s="105"/>
      <c r="V187" s="105"/>
      <c r="W187" s="105" t="s">
        <v>80</v>
      </c>
      <c r="X187" s="105"/>
      <c r="Y187" s="105"/>
    </row>
    <row r="188" spans="1:25" s="99" customFormat="1" ht="26.25" customHeight="1">
      <c r="A188" s="100">
        <v>3929</v>
      </c>
      <c r="B188" s="101" t="s">
        <v>11</v>
      </c>
      <c r="C188" s="105" t="s">
        <v>52</v>
      </c>
      <c r="D188" s="105" t="s">
        <v>425</v>
      </c>
      <c r="E188" s="105" t="s">
        <v>44</v>
      </c>
      <c r="F188" s="101" t="str">
        <f t="shared" si="7"/>
        <v>-</v>
      </c>
      <c r="G188" s="106" t="s">
        <v>53</v>
      </c>
      <c r="H188" s="105"/>
      <c r="I188" s="106" t="s">
        <v>426</v>
      </c>
      <c r="J188" s="107" t="s">
        <v>54</v>
      </c>
      <c r="K188" s="108"/>
      <c r="L188" s="106"/>
      <c r="M188" s="110"/>
      <c r="N188" s="105" t="s">
        <v>78</v>
      </c>
      <c r="O188" s="105" t="str">
        <f t="shared" si="8"/>
        <v/>
      </c>
      <c r="P188" s="105"/>
      <c r="Q188" s="105" t="s">
        <v>77</v>
      </c>
      <c r="R188" s="105" t="s">
        <v>77</v>
      </c>
      <c r="S188" s="105"/>
      <c r="T188" s="105"/>
      <c r="U188" s="105"/>
      <c r="V188" s="105"/>
      <c r="W188" s="105" t="s">
        <v>80</v>
      </c>
      <c r="X188" s="105"/>
      <c r="Y188" s="105"/>
    </row>
    <row r="189" spans="1:25" s="99" customFormat="1" ht="26.25" customHeight="1">
      <c r="A189" s="100">
        <v>3930</v>
      </c>
      <c r="B189" s="101" t="s">
        <v>11</v>
      </c>
      <c r="C189" s="105" t="s">
        <v>52</v>
      </c>
      <c r="D189" s="105" t="s">
        <v>427</v>
      </c>
      <c r="E189" s="105" t="s">
        <v>44</v>
      </c>
      <c r="F189" s="101" t="str">
        <f t="shared" si="7"/>
        <v>-</v>
      </c>
      <c r="G189" s="106" t="s">
        <v>53</v>
      </c>
      <c r="H189" s="105"/>
      <c r="I189" s="106" t="s">
        <v>428</v>
      </c>
      <c r="J189" s="107" t="s">
        <v>54</v>
      </c>
      <c r="K189" s="108"/>
      <c r="L189" s="106"/>
      <c r="M189" s="110"/>
      <c r="N189" s="105" t="s">
        <v>78</v>
      </c>
      <c r="O189" s="105" t="str">
        <f t="shared" si="8"/>
        <v/>
      </c>
      <c r="P189" s="105"/>
      <c r="Q189" s="105" t="s">
        <v>77</v>
      </c>
      <c r="R189" s="105" t="s">
        <v>77</v>
      </c>
      <c r="S189" s="105"/>
      <c r="T189" s="105"/>
      <c r="U189" s="105"/>
      <c r="V189" s="105"/>
      <c r="W189" s="105" t="s">
        <v>80</v>
      </c>
      <c r="X189" s="105"/>
      <c r="Y189" s="105"/>
    </row>
    <row r="190" spans="1:25" s="99" customFormat="1" ht="26.25" customHeight="1">
      <c r="A190" s="100">
        <v>3931</v>
      </c>
      <c r="B190" s="101" t="s">
        <v>11</v>
      </c>
      <c r="C190" s="105" t="s">
        <v>52</v>
      </c>
      <c r="D190" s="105" t="s">
        <v>429</v>
      </c>
      <c r="E190" s="105" t="s">
        <v>44</v>
      </c>
      <c r="F190" s="101" t="str">
        <f t="shared" si="7"/>
        <v>-</v>
      </c>
      <c r="G190" s="106" t="s">
        <v>53</v>
      </c>
      <c r="H190" s="105"/>
      <c r="I190" s="106" t="s">
        <v>430</v>
      </c>
      <c r="J190" s="107" t="s">
        <v>54</v>
      </c>
      <c r="K190" s="108"/>
      <c r="L190" s="106"/>
      <c r="M190" s="110"/>
      <c r="N190" s="105" t="s">
        <v>78</v>
      </c>
      <c r="O190" s="105" t="str">
        <f t="shared" si="8"/>
        <v/>
      </c>
      <c r="P190" s="105"/>
      <c r="Q190" s="105" t="s">
        <v>77</v>
      </c>
      <c r="R190" s="105" t="s">
        <v>77</v>
      </c>
      <c r="S190" s="105"/>
      <c r="T190" s="105"/>
      <c r="U190" s="105"/>
      <c r="V190" s="105"/>
      <c r="W190" s="105" t="s">
        <v>80</v>
      </c>
      <c r="X190" s="105"/>
      <c r="Y190" s="105"/>
    </row>
    <row r="191" spans="1:25" s="99" customFormat="1" ht="26.25" customHeight="1">
      <c r="A191" s="100">
        <v>3932</v>
      </c>
      <c r="B191" s="101" t="s">
        <v>11</v>
      </c>
      <c r="C191" s="105" t="s">
        <v>52</v>
      </c>
      <c r="D191" s="105" t="s">
        <v>431</v>
      </c>
      <c r="E191" s="105" t="s">
        <v>44</v>
      </c>
      <c r="F191" s="101" t="str">
        <f t="shared" si="7"/>
        <v>-</v>
      </c>
      <c r="G191" s="106" t="s">
        <v>53</v>
      </c>
      <c r="H191" s="105"/>
      <c r="I191" s="106" t="s">
        <v>432</v>
      </c>
      <c r="J191" s="107" t="s">
        <v>54</v>
      </c>
      <c r="K191" s="108"/>
      <c r="L191" s="106"/>
      <c r="M191" s="110"/>
      <c r="N191" s="105" t="s">
        <v>78</v>
      </c>
      <c r="O191" s="105" t="str">
        <f t="shared" si="8"/>
        <v/>
      </c>
      <c r="P191" s="105"/>
      <c r="Q191" s="105" t="s">
        <v>77</v>
      </c>
      <c r="R191" s="105" t="s">
        <v>77</v>
      </c>
      <c r="S191" s="105"/>
      <c r="T191" s="105"/>
      <c r="U191" s="105"/>
      <c r="V191" s="105"/>
      <c r="W191" s="105" t="s">
        <v>80</v>
      </c>
      <c r="X191" s="105"/>
      <c r="Y191" s="105"/>
    </row>
    <row r="192" spans="1:25" s="99" customFormat="1" ht="26.25" customHeight="1">
      <c r="A192" s="100">
        <v>3933</v>
      </c>
      <c r="B192" s="101" t="s">
        <v>11</v>
      </c>
      <c r="C192" s="105" t="s">
        <v>52</v>
      </c>
      <c r="D192" s="105" t="s">
        <v>433</v>
      </c>
      <c r="E192" s="105" t="s">
        <v>44</v>
      </c>
      <c r="F192" s="101" t="str">
        <f t="shared" si="7"/>
        <v>-</v>
      </c>
      <c r="G192" s="106" t="s">
        <v>53</v>
      </c>
      <c r="H192" s="105"/>
      <c r="I192" s="106" t="s">
        <v>434</v>
      </c>
      <c r="J192" s="107" t="s">
        <v>54</v>
      </c>
      <c r="K192" s="108"/>
      <c r="L192" s="106"/>
      <c r="M192" s="110"/>
      <c r="N192" s="105" t="s">
        <v>78</v>
      </c>
      <c r="O192" s="105" t="str">
        <f t="shared" si="8"/>
        <v/>
      </c>
      <c r="P192" s="105"/>
      <c r="Q192" s="105" t="s">
        <v>77</v>
      </c>
      <c r="R192" s="105" t="s">
        <v>77</v>
      </c>
      <c r="S192" s="105"/>
      <c r="T192" s="105"/>
      <c r="U192" s="105"/>
      <c r="V192" s="105"/>
      <c r="W192" s="105" t="s">
        <v>80</v>
      </c>
      <c r="X192" s="105"/>
      <c r="Y192" s="105"/>
    </row>
    <row r="193" spans="1:25" s="99" customFormat="1" ht="26.25" customHeight="1">
      <c r="A193" s="100">
        <v>3934</v>
      </c>
      <c r="B193" s="101" t="s">
        <v>11</v>
      </c>
      <c r="C193" s="105" t="s">
        <v>52</v>
      </c>
      <c r="D193" s="105" t="s">
        <v>435</v>
      </c>
      <c r="E193" s="105" t="s">
        <v>44</v>
      </c>
      <c r="F193" s="101" t="str">
        <f t="shared" si="7"/>
        <v>-</v>
      </c>
      <c r="G193" s="106" t="s">
        <v>53</v>
      </c>
      <c r="H193" s="105"/>
      <c r="I193" s="106" t="s">
        <v>436</v>
      </c>
      <c r="J193" s="107" t="s">
        <v>54</v>
      </c>
      <c r="K193" s="108"/>
      <c r="L193" s="106"/>
      <c r="M193" s="110"/>
      <c r="N193" s="105" t="s">
        <v>78</v>
      </c>
      <c r="O193" s="105" t="str">
        <f t="shared" si="8"/>
        <v/>
      </c>
      <c r="P193" s="105"/>
      <c r="Q193" s="105" t="s">
        <v>77</v>
      </c>
      <c r="R193" s="105" t="s">
        <v>77</v>
      </c>
      <c r="S193" s="105"/>
      <c r="T193" s="105"/>
      <c r="U193" s="105"/>
      <c r="V193" s="105"/>
      <c r="W193" s="105" t="s">
        <v>80</v>
      </c>
      <c r="X193" s="105"/>
      <c r="Y193" s="105"/>
    </row>
    <row r="194" spans="1:25" s="99" customFormat="1" ht="26.25" customHeight="1">
      <c r="A194" s="100">
        <v>3935</v>
      </c>
      <c r="B194" s="101" t="s">
        <v>11</v>
      </c>
      <c r="C194" s="105" t="s">
        <v>52</v>
      </c>
      <c r="D194" s="105" t="s">
        <v>437</v>
      </c>
      <c r="E194" s="105" t="s">
        <v>44</v>
      </c>
      <c r="F194" s="101" t="str">
        <f t="shared" si="7"/>
        <v>-</v>
      </c>
      <c r="G194" s="106" t="s">
        <v>53</v>
      </c>
      <c r="H194" s="105"/>
      <c r="I194" s="106" t="s">
        <v>438</v>
      </c>
      <c r="J194" s="107" t="s">
        <v>54</v>
      </c>
      <c r="K194" s="108"/>
      <c r="L194" s="106"/>
      <c r="M194" s="110"/>
      <c r="N194" s="105" t="s">
        <v>78</v>
      </c>
      <c r="O194" s="105" t="str">
        <f t="shared" si="8"/>
        <v/>
      </c>
      <c r="P194" s="105"/>
      <c r="Q194" s="105" t="s">
        <v>77</v>
      </c>
      <c r="R194" s="105" t="s">
        <v>77</v>
      </c>
      <c r="S194" s="105"/>
      <c r="T194" s="105"/>
      <c r="U194" s="105"/>
      <c r="V194" s="105"/>
      <c r="W194" s="105" t="s">
        <v>80</v>
      </c>
      <c r="X194" s="105"/>
      <c r="Y194" s="105"/>
    </row>
    <row r="195" spans="1:25" s="99" customFormat="1" ht="26.25" customHeight="1">
      <c r="A195" s="100">
        <v>3936</v>
      </c>
      <c r="B195" s="101" t="s">
        <v>11</v>
      </c>
      <c r="C195" s="105" t="s">
        <v>52</v>
      </c>
      <c r="D195" s="105" t="s">
        <v>439</v>
      </c>
      <c r="E195" s="105" t="s">
        <v>44</v>
      </c>
      <c r="F195" s="101" t="str">
        <f t="shared" si="7"/>
        <v>-</v>
      </c>
      <c r="G195" s="106" t="s">
        <v>53</v>
      </c>
      <c r="H195" s="105"/>
      <c r="I195" s="106" t="s">
        <v>440</v>
      </c>
      <c r="J195" s="107" t="s">
        <v>54</v>
      </c>
      <c r="K195" s="108"/>
      <c r="L195" s="106"/>
      <c r="M195" s="110"/>
      <c r="N195" s="105" t="s">
        <v>78</v>
      </c>
      <c r="O195" s="105" t="str">
        <f t="shared" si="8"/>
        <v/>
      </c>
      <c r="P195" s="105"/>
      <c r="Q195" s="105" t="s">
        <v>77</v>
      </c>
      <c r="R195" s="105" t="s">
        <v>77</v>
      </c>
      <c r="S195" s="105"/>
      <c r="T195" s="105"/>
      <c r="U195" s="105"/>
      <c r="V195" s="105"/>
      <c r="W195" s="105" t="s">
        <v>80</v>
      </c>
      <c r="X195" s="105"/>
      <c r="Y195" s="105"/>
    </row>
    <row r="196" spans="1:25" s="99" customFormat="1" ht="26.25" customHeight="1">
      <c r="A196" s="100">
        <v>3937</v>
      </c>
      <c r="B196" s="101" t="s">
        <v>11</v>
      </c>
      <c r="C196" s="105" t="s">
        <v>52</v>
      </c>
      <c r="D196" s="105" t="s">
        <v>441</v>
      </c>
      <c r="E196" s="105" t="s">
        <v>44</v>
      </c>
      <c r="F196" s="101" t="str">
        <f t="shared" si="7"/>
        <v>-</v>
      </c>
      <c r="G196" s="106" t="s">
        <v>53</v>
      </c>
      <c r="H196" s="105"/>
      <c r="I196" s="106" t="s">
        <v>442</v>
      </c>
      <c r="J196" s="107" t="s">
        <v>54</v>
      </c>
      <c r="K196" s="108"/>
      <c r="L196" s="106"/>
      <c r="M196" s="110"/>
      <c r="N196" s="105" t="s">
        <v>78</v>
      </c>
      <c r="O196" s="105" t="str">
        <f t="shared" si="8"/>
        <v/>
      </c>
      <c r="P196" s="105"/>
      <c r="Q196" s="105" t="s">
        <v>77</v>
      </c>
      <c r="R196" s="105" t="s">
        <v>77</v>
      </c>
      <c r="S196" s="105"/>
      <c r="T196" s="105"/>
      <c r="U196" s="105"/>
      <c r="V196" s="105"/>
      <c r="W196" s="105" t="s">
        <v>80</v>
      </c>
      <c r="X196" s="105"/>
      <c r="Y196" s="105"/>
    </row>
    <row r="197" spans="1:25" s="99" customFormat="1" ht="26.25" customHeight="1">
      <c r="A197" s="100">
        <v>3938</v>
      </c>
      <c r="B197" s="101" t="s">
        <v>11</v>
      </c>
      <c r="C197" s="105" t="s">
        <v>52</v>
      </c>
      <c r="D197" s="105" t="s">
        <v>443</v>
      </c>
      <c r="E197" s="105" t="s">
        <v>44</v>
      </c>
      <c r="F197" s="101" t="str">
        <f t="shared" si="7"/>
        <v>-</v>
      </c>
      <c r="G197" s="106" t="s">
        <v>53</v>
      </c>
      <c r="H197" s="105"/>
      <c r="I197" s="106" t="s">
        <v>444</v>
      </c>
      <c r="J197" s="107" t="s">
        <v>54</v>
      </c>
      <c r="K197" s="108"/>
      <c r="L197" s="106"/>
      <c r="M197" s="110"/>
      <c r="N197" s="105" t="s">
        <v>78</v>
      </c>
      <c r="O197" s="105" t="str">
        <f t="shared" si="8"/>
        <v/>
      </c>
      <c r="P197" s="105"/>
      <c r="Q197" s="105" t="s">
        <v>77</v>
      </c>
      <c r="R197" s="105" t="s">
        <v>77</v>
      </c>
      <c r="S197" s="105"/>
      <c r="T197" s="105"/>
      <c r="U197" s="105"/>
      <c r="V197" s="105"/>
      <c r="W197" s="105" t="s">
        <v>80</v>
      </c>
      <c r="X197" s="105"/>
      <c r="Y197" s="105"/>
    </row>
    <row r="198" spans="1:25" s="99" customFormat="1" ht="26.25" customHeight="1">
      <c r="A198" s="100">
        <v>3939</v>
      </c>
      <c r="B198" s="101" t="s">
        <v>11</v>
      </c>
      <c r="C198" s="105" t="s">
        <v>52</v>
      </c>
      <c r="D198" s="105" t="s">
        <v>445</v>
      </c>
      <c r="E198" s="105" t="s">
        <v>44</v>
      </c>
      <c r="F198" s="101" t="str">
        <f t="shared" si="7"/>
        <v>-</v>
      </c>
      <c r="G198" s="106" t="s">
        <v>53</v>
      </c>
      <c r="H198" s="105"/>
      <c r="I198" s="106" t="s">
        <v>446</v>
      </c>
      <c r="J198" s="107" t="s">
        <v>54</v>
      </c>
      <c r="K198" s="108"/>
      <c r="L198" s="106"/>
      <c r="M198" s="110"/>
      <c r="N198" s="105" t="s">
        <v>78</v>
      </c>
      <c r="O198" s="105" t="str">
        <f t="shared" si="8"/>
        <v/>
      </c>
      <c r="P198" s="105"/>
      <c r="Q198" s="105" t="s">
        <v>77</v>
      </c>
      <c r="R198" s="105" t="s">
        <v>77</v>
      </c>
      <c r="S198" s="105"/>
      <c r="T198" s="105"/>
      <c r="U198" s="105"/>
      <c r="V198" s="105"/>
      <c r="W198" s="105" t="s">
        <v>80</v>
      </c>
      <c r="X198" s="105"/>
      <c r="Y198" s="105"/>
    </row>
    <row r="199" spans="1:25" s="99" customFormat="1" ht="26.25" customHeight="1">
      <c r="A199" s="100">
        <v>3940</v>
      </c>
      <c r="B199" s="101" t="s">
        <v>11</v>
      </c>
      <c r="C199" s="105" t="s">
        <v>52</v>
      </c>
      <c r="D199" s="105" t="s">
        <v>447</v>
      </c>
      <c r="E199" s="105" t="s">
        <v>44</v>
      </c>
      <c r="F199" s="101" t="str">
        <f t="shared" si="7"/>
        <v>-</v>
      </c>
      <c r="G199" s="106" t="s">
        <v>53</v>
      </c>
      <c r="H199" s="105"/>
      <c r="I199" s="106" t="s">
        <v>448</v>
      </c>
      <c r="J199" s="107" t="s">
        <v>54</v>
      </c>
      <c r="K199" s="108"/>
      <c r="L199" s="106"/>
      <c r="M199" s="110"/>
      <c r="N199" s="105" t="s">
        <v>78</v>
      </c>
      <c r="O199" s="105" t="str">
        <f t="shared" si="8"/>
        <v/>
      </c>
      <c r="P199" s="105"/>
      <c r="Q199" s="105" t="s">
        <v>77</v>
      </c>
      <c r="R199" s="105" t="s">
        <v>77</v>
      </c>
      <c r="S199" s="105"/>
      <c r="T199" s="105"/>
      <c r="U199" s="105"/>
      <c r="V199" s="105"/>
      <c r="W199" s="105" t="s">
        <v>80</v>
      </c>
      <c r="X199" s="105"/>
      <c r="Y199" s="105"/>
    </row>
    <row r="200" spans="1:25" s="99" customFormat="1" ht="26.25" customHeight="1">
      <c r="A200" s="100">
        <v>3941</v>
      </c>
      <c r="B200" s="101" t="s">
        <v>11</v>
      </c>
      <c r="C200" s="105" t="s">
        <v>52</v>
      </c>
      <c r="D200" s="105" t="s">
        <v>449</v>
      </c>
      <c r="E200" s="105" t="s">
        <v>44</v>
      </c>
      <c r="F200" s="101" t="str">
        <f t="shared" si="7"/>
        <v>-</v>
      </c>
      <c r="G200" s="106" t="s">
        <v>53</v>
      </c>
      <c r="H200" s="105"/>
      <c r="I200" s="106" t="s">
        <v>450</v>
      </c>
      <c r="J200" s="107" t="s">
        <v>54</v>
      </c>
      <c r="K200" s="108"/>
      <c r="L200" s="106"/>
      <c r="M200" s="110"/>
      <c r="N200" s="105" t="s">
        <v>78</v>
      </c>
      <c r="O200" s="105" t="str">
        <f t="shared" si="8"/>
        <v/>
      </c>
      <c r="P200" s="105"/>
      <c r="Q200" s="105" t="s">
        <v>77</v>
      </c>
      <c r="R200" s="105" t="s">
        <v>77</v>
      </c>
      <c r="S200" s="105"/>
      <c r="T200" s="105"/>
      <c r="U200" s="105"/>
      <c r="V200" s="105"/>
      <c r="W200" s="105" t="s">
        <v>80</v>
      </c>
      <c r="X200" s="105"/>
      <c r="Y200" s="105"/>
    </row>
    <row r="201" spans="1:25" s="99" customFormat="1" ht="26.25" customHeight="1">
      <c r="A201" s="100">
        <v>3942</v>
      </c>
      <c r="B201" s="101" t="s">
        <v>11</v>
      </c>
      <c r="C201" s="105" t="s">
        <v>52</v>
      </c>
      <c r="D201" s="105" t="s">
        <v>451</v>
      </c>
      <c r="E201" s="105" t="s">
        <v>44</v>
      </c>
      <c r="F201" s="101" t="str">
        <f t="shared" si="7"/>
        <v>-</v>
      </c>
      <c r="G201" s="106" t="s">
        <v>53</v>
      </c>
      <c r="H201" s="105"/>
      <c r="I201" s="106" t="s">
        <v>452</v>
      </c>
      <c r="J201" s="107" t="s">
        <v>54</v>
      </c>
      <c r="K201" s="108"/>
      <c r="L201" s="106"/>
      <c r="M201" s="110"/>
      <c r="N201" s="105" t="s">
        <v>78</v>
      </c>
      <c r="O201" s="105" t="str">
        <f t="shared" si="8"/>
        <v/>
      </c>
      <c r="P201" s="105"/>
      <c r="Q201" s="105" t="s">
        <v>77</v>
      </c>
      <c r="R201" s="105" t="s">
        <v>77</v>
      </c>
      <c r="S201" s="105"/>
      <c r="T201" s="105"/>
      <c r="U201" s="105"/>
      <c r="V201" s="105"/>
      <c r="W201" s="105" t="s">
        <v>80</v>
      </c>
      <c r="X201" s="105"/>
      <c r="Y201" s="105"/>
    </row>
    <row r="202" spans="1:25" s="99" customFormat="1" ht="26.25" customHeight="1">
      <c r="A202" s="100">
        <v>3943</v>
      </c>
      <c r="B202" s="101" t="s">
        <v>11</v>
      </c>
      <c r="C202" s="105" t="s">
        <v>52</v>
      </c>
      <c r="D202" s="105" t="s">
        <v>453</v>
      </c>
      <c r="E202" s="105" t="s">
        <v>44</v>
      </c>
      <c r="F202" s="101" t="str">
        <f t="shared" si="7"/>
        <v>-</v>
      </c>
      <c r="G202" s="106" t="s">
        <v>53</v>
      </c>
      <c r="H202" s="105"/>
      <c r="I202" s="106" t="s">
        <v>454</v>
      </c>
      <c r="J202" s="107" t="s">
        <v>54</v>
      </c>
      <c r="K202" s="108"/>
      <c r="L202" s="106"/>
      <c r="M202" s="110"/>
      <c r="N202" s="105" t="s">
        <v>78</v>
      </c>
      <c r="O202" s="105" t="str">
        <f t="shared" si="8"/>
        <v/>
      </c>
      <c r="P202" s="105"/>
      <c r="Q202" s="105" t="s">
        <v>77</v>
      </c>
      <c r="R202" s="105" t="s">
        <v>77</v>
      </c>
      <c r="S202" s="105"/>
      <c r="T202" s="105"/>
      <c r="U202" s="105"/>
      <c r="V202" s="105"/>
      <c r="W202" s="105" t="s">
        <v>80</v>
      </c>
      <c r="X202" s="105"/>
      <c r="Y202" s="105"/>
    </row>
    <row r="203" spans="1:25" s="99" customFormat="1" ht="26.25" customHeight="1">
      <c r="A203" s="100">
        <v>3944</v>
      </c>
      <c r="B203" s="101" t="s">
        <v>11</v>
      </c>
      <c r="C203" s="105" t="s">
        <v>52</v>
      </c>
      <c r="D203" s="105" t="s">
        <v>455</v>
      </c>
      <c r="E203" s="105" t="s">
        <v>44</v>
      </c>
      <c r="F203" s="101" t="str">
        <f t="shared" si="7"/>
        <v>-</v>
      </c>
      <c r="G203" s="106" t="s">
        <v>53</v>
      </c>
      <c r="H203" s="105"/>
      <c r="I203" s="106" t="s">
        <v>456</v>
      </c>
      <c r="J203" s="107" t="s">
        <v>54</v>
      </c>
      <c r="K203" s="108"/>
      <c r="L203" s="106"/>
      <c r="M203" s="110"/>
      <c r="N203" s="105" t="s">
        <v>78</v>
      </c>
      <c r="O203" s="105" t="str">
        <f t="shared" si="8"/>
        <v/>
      </c>
      <c r="P203" s="105"/>
      <c r="Q203" s="105" t="s">
        <v>77</v>
      </c>
      <c r="R203" s="105" t="s">
        <v>77</v>
      </c>
      <c r="S203" s="105"/>
      <c r="T203" s="105"/>
      <c r="U203" s="105"/>
      <c r="V203" s="105"/>
      <c r="W203" s="105" t="s">
        <v>80</v>
      </c>
      <c r="X203" s="105"/>
      <c r="Y203" s="105"/>
    </row>
    <row r="204" spans="1:25" s="99" customFormat="1" ht="26.25" customHeight="1">
      <c r="A204" s="100">
        <v>3945</v>
      </c>
      <c r="B204" s="101" t="s">
        <v>11</v>
      </c>
      <c r="C204" s="105" t="s">
        <v>52</v>
      </c>
      <c r="D204" s="105" t="s">
        <v>457</v>
      </c>
      <c r="E204" s="105" t="s">
        <v>44</v>
      </c>
      <c r="F204" s="101" t="str">
        <f t="shared" si="7"/>
        <v>-</v>
      </c>
      <c r="G204" s="106" t="s">
        <v>53</v>
      </c>
      <c r="H204" s="105"/>
      <c r="I204" s="106" t="s">
        <v>458</v>
      </c>
      <c r="J204" s="107" t="s">
        <v>54</v>
      </c>
      <c r="K204" s="108"/>
      <c r="L204" s="106"/>
      <c r="M204" s="110"/>
      <c r="N204" s="105" t="s">
        <v>78</v>
      </c>
      <c r="O204" s="105" t="str">
        <f t="shared" si="8"/>
        <v/>
      </c>
      <c r="P204" s="105"/>
      <c r="Q204" s="105" t="s">
        <v>77</v>
      </c>
      <c r="R204" s="105" t="s">
        <v>77</v>
      </c>
      <c r="S204" s="105"/>
      <c r="T204" s="105"/>
      <c r="U204" s="105"/>
      <c r="V204" s="105"/>
      <c r="W204" s="105" t="s">
        <v>80</v>
      </c>
      <c r="X204" s="105"/>
      <c r="Y204" s="105"/>
    </row>
    <row r="205" spans="1:25" s="99" customFormat="1" ht="26.25" customHeight="1">
      <c r="A205" s="100">
        <v>3946</v>
      </c>
      <c r="B205" s="101" t="s">
        <v>11</v>
      </c>
      <c r="C205" s="105" t="s">
        <v>52</v>
      </c>
      <c r="D205" s="105" t="s">
        <v>459</v>
      </c>
      <c r="E205" s="105" t="s">
        <v>44</v>
      </c>
      <c r="F205" s="101" t="str">
        <f t="shared" si="7"/>
        <v>-</v>
      </c>
      <c r="G205" s="106" t="s">
        <v>53</v>
      </c>
      <c r="H205" s="105"/>
      <c r="I205" s="106" t="s">
        <v>460</v>
      </c>
      <c r="J205" s="107" t="s">
        <v>54</v>
      </c>
      <c r="K205" s="108"/>
      <c r="L205" s="106"/>
      <c r="M205" s="110"/>
      <c r="N205" s="105" t="s">
        <v>78</v>
      </c>
      <c r="O205" s="105" t="str">
        <f t="shared" si="8"/>
        <v/>
      </c>
      <c r="P205" s="105"/>
      <c r="Q205" s="105" t="s">
        <v>77</v>
      </c>
      <c r="R205" s="105" t="s">
        <v>77</v>
      </c>
      <c r="S205" s="105"/>
      <c r="T205" s="105"/>
      <c r="U205" s="105"/>
      <c r="V205" s="105"/>
      <c r="W205" s="105" t="s">
        <v>80</v>
      </c>
      <c r="X205" s="105"/>
      <c r="Y205" s="105"/>
    </row>
    <row r="206" spans="1:25" s="99" customFormat="1" ht="26.25" customHeight="1">
      <c r="A206" s="100">
        <v>3947</v>
      </c>
      <c r="B206" s="101" t="s">
        <v>11</v>
      </c>
      <c r="C206" s="105" t="s">
        <v>52</v>
      </c>
      <c r="D206" s="105" t="s">
        <v>461</v>
      </c>
      <c r="E206" s="105" t="s">
        <v>44</v>
      </c>
      <c r="F206" s="101" t="str">
        <f t="shared" si="7"/>
        <v>-</v>
      </c>
      <c r="G206" s="106" t="s">
        <v>53</v>
      </c>
      <c r="H206" s="105"/>
      <c r="I206" s="106" t="s">
        <v>462</v>
      </c>
      <c r="J206" s="107" t="s">
        <v>54</v>
      </c>
      <c r="K206" s="108"/>
      <c r="L206" s="106"/>
      <c r="M206" s="110"/>
      <c r="N206" s="105" t="s">
        <v>78</v>
      </c>
      <c r="O206" s="105" t="str">
        <f t="shared" si="8"/>
        <v/>
      </c>
      <c r="P206" s="105"/>
      <c r="Q206" s="105" t="s">
        <v>77</v>
      </c>
      <c r="R206" s="105" t="s">
        <v>77</v>
      </c>
      <c r="S206" s="105"/>
      <c r="T206" s="105"/>
      <c r="U206" s="105"/>
      <c r="V206" s="105"/>
      <c r="W206" s="105" t="s">
        <v>80</v>
      </c>
      <c r="X206" s="105"/>
      <c r="Y206" s="105"/>
    </row>
    <row r="207" spans="1:25" s="99" customFormat="1" ht="26.25" customHeight="1">
      <c r="A207" s="100">
        <v>3948</v>
      </c>
      <c r="B207" s="101" t="s">
        <v>11</v>
      </c>
      <c r="C207" s="105" t="s">
        <v>52</v>
      </c>
      <c r="D207" s="105" t="s">
        <v>463</v>
      </c>
      <c r="E207" s="105" t="s">
        <v>44</v>
      </c>
      <c r="F207" s="101" t="str">
        <f t="shared" si="7"/>
        <v>-</v>
      </c>
      <c r="G207" s="106" t="s">
        <v>53</v>
      </c>
      <c r="H207" s="105"/>
      <c r="I207" s="106" t="s">
        <v>464</v>
      </c>
      <c r="J207" s="107" t="s">
        <v>54</v>
      </c>
      <c r="K207" s="108"/>
      <c r="L207" s="106"/>
      <c r="M207" s="110"/>
      <c r="N207" s="105" t="s">
        <v>78</v>
      </c>
      <c r="O207" s="105" t="str">
        <f t="shared" si="8"/>
        <v/>
      </c>
      <c r="P207" s="105"/>
      <c r="Q207" s="105" t="s">
        <v>77</v>
      </c>
      <c r="R207" s="105" t="s">
        <v>77</v>
      </c>
      <c r="S207" s="105"/>
      <c r="T207" s="105"/>
      <c r="U207" s="105"/>
      <c r="V207" s="105"/>
      <c r="W207" s="105" t="s">
        <v>80</v>
      </c>
      <c r="X207" s="105"/>
      <c r="Y207" s="105"/>
    </row>
    <row r="208" spans="1:25" s="99" customFormat="1" ht="26.25" customHeight="1">
      <c r="A208" s="100">
        <v>3949</v>
      </c>
      <c r="B208" s="101" t="s">
        <v>11</v>
      </c>
      <c r="C208" s="105" t="s">
        <v>52</v>
      </c>
      <c r="D208" s="105" t="s">
        <v>465</v>
      </c>
      <c r="E208" s="105" t="s">
        <v>44</v>
      </c>
      <c r="F208" s="101" t="str">
        <f t="shared" si="7"/>
        <v>-</v>
      </c>
      <c r="G208" s="106" t="s">
        <v>53</v>
      </c>
      <c r="H208" s="105"/>
      <c r="I208" s="106" t="s">
        <v>466</v>
      </c>
      <c r="J208" s="107" t="s">
        <v>54</v>
      </c>
      <c r="K208" s="108"/>
      <c r="L208" s="106"/>
      <c r="M208" s="110"/>
      <c r="N208" s="105" t="s">
        <v>78</v>
      </c>
      <c r="O208" s="105" t="str">
        <f t="shared" si="8"/>
        <v/>
      </c>
      <c r="P208" s="105"/>
      <c r="Q208" s="105" t="s">
        <v>77</v>
      </c>
      <c r="R208" s="105" t="s">
        <v>77</v>
      </c>
      <c r="S208" s="105"/>
      <c r="T208" s="105"/>
      <c r="U208" s="105"/>
      <c r="V208" s="105"/>
      <c r="W208" s="105" t="s">
        <v>80</v>
      </c>
      <c r="X208" s="105"/>
      <c r="Y208" s="105"/>
    </row>
    <row r="209" spans="1:25" s="99" customFormat="1" ht="26.25" customHeight="1">
      <c r="A209" s="100">
        <v>3950</v>
      </c>
      <c r="B209" s="101" t="s">
        <v>11</v>
      </c>
      <c r="C209" s="105" t="s">
        <v>52</v>
      </c>
      <c r="D209" s="105" t="s">
        <v>467</v>
      </c>
      <c r="E209" s="105" t="s">
        <v>44</v>
      </c>
      <c r="F209" s="101" t="str">
        <f t="shared" si="7"/>
        <v>-</v>
      </c>
      <c r="G209" s="106" t="s">
        <v>53</v>
      </c>
      <c r="H209" s="105"/>
      <c r="I209" s="106" t="s">
        <v>468</v>
      </c>
      <c r="J209" s="107" t="s">
        <v>54</v>
      </c>
      <c r="K209" s="108"/>
      <c r="L209" s="106"/>
      <c r="M209" s="110"/>
      <c r="N209" s="105" t="s">
        <v>78</v>
      </c>
      <c r="O209" s="105" t="str">
        <f t="shared" si="8"/>
        <v/>
      </c>
      <c r="P209" s="105"/>
      <c r="Q209" s="105" t="s">
        <v>77</v>
      </c>
      <c r="R209" s="105" t="s">
        <v>77</v>
      </c>
      <c r="S209" s="105"/>
      <c r="T209" s="105"/>
      <c r="U209" s="105"/>
      <c r="V209" s="105"/>
      <c r="W209" s="105" t="s">
        <v>80</v>
      </c>
      <c r="X209" s="105"/>
      <c r="Y209" s="105"/>
    </row>
    <row r="210" spans="1:25" s="99" customFormat="1" ht="26.25" customHeight="1">
      <c r="A210" s="100">
        <v>3951</v>
      </c>
      <c r="B210" s="101" t="s">
        <v>11</v>
      </c>
      <c r="C210" s="105" t="s">
        <v>52</v>
      </c>
      <c r="D210" s="105" t="s">
        <v>469</v>
      </c>
      <c r="E210" s="105" t="s">
        <v>44</v>
      </c>
      <c r="F210" s="101" t="str">
        <f t="shared" si="7"/>
        <v>-</v>
      </c>
      <c r="G210" s="106" t="s">
        <v>53</v>
      </c>
      <c r="H210" s="105"/>
      <c r="I210" s="106" t="s">
        <v>470</v>
      </c>
      <c r="J210" s="107" t="s">
        <v>54</v>
      </c>
      <c r="K210" s="108"/>
      <c r="L210" s="106"/>
      <c r="M210" s="110"/>
      <c r="N210" s="105" t="s">
        <v>78</v>
      </c>
      <c r="O210" s="105" t="str">
        <f t="shared" si="8"/>
        <v/>
      </c>
      <c r="P210" s="105"/>
      <c r="Q210" s="105" t="s">
        <v>77</v>
      </c>
      <c r="R210" s="105" t="s">
        <v>77</v>
      </c>
      <c r="S210" s="105"/>
      <c r="T210" s="105"/>
      <c r="U210" s="105"/>
      <c r="V210" s="105"/>
      <c r="W210" s="105" t="s">
        <v>80</v>
      </c>
      <c r="X210" s="105"/>
      <c r="Y210" s="105"/>
    </row>
    <row r="211" spans="1:25" s="99" customFormat="1" ht="26.25" customHeight="1">
      <c r="A211" s="100">
        <v>3952</v>
      </c>
      <c r="B211" s="101" t="s">
        <v>11</v>
      </c>
      <c r="C211" s="105" t="s">
        <v>52</v>
      </c>
      <c r="D211" s="105" t="s">
        <v>471</v>
      </c>
      <c r="E211" s="105" t="s">
        <v>44</v>
      </c>
      <c r="F211" s="101" t="str">
        <f t="shared" si="7"/>
        <v>-</v>
      </c>
      <c r="G211" s="106" t="s">
        <v>53</v>
      </c>
      <c r="H211" s="105"/>
      <c r="I211" s="106" t="s">
        <v>472</v>
      </c>
      <c r="J211" s="107" t="s">
        <v>54</v>
      </c>
      <c r="K211" s="108"/>
      <c r="L211" s="106"/>
      <c r="M211" s="110"/>
      <c r="N211" s="105" t="s">
        <v>78</v>
      </c>
      <c r="O211" s="105" t="str">
        <f t="shared" si="8"/>
        <v/>
      </c>
      <c r="P211" s="105"/>
      <c r="Q211" s="105" t="s">
        <v>77</v>
      </c>
      <c r="R211" s="105" t="s">
        <v>77</v>
      </c>
      <c r="S211" s="105"/>
      <c r="T211" s="105"/>
      <c r="U211" s="105"/>
      <c r="V211" s="105"/>
      <c r="W211" s="105" t="s">
        <v>80</v>
      </c>
      <c r="X211" s="105"/>
      <c r="Y211" s="105"/>
    </row>
    <row r="212" spans="1:25" s="99" customFormat="1" ht="26.25" customHeight="1">
      <c r="A212" s="100">
        <v>3953</v>
      </c>
      <c r="B212" s="101" t="s">
        <v>11</v>
      </c>
      <c r="C212" s="105" t="s">
        <v>52</v>
      </c>
      <c r="D212" s="105" t="s">
        <v>473</v>
      </c>
      <c r="E212" s="105" t="s">
        <v>44</v>
      </c>
      <c r="F212" s="101" t="str">
        <f t="shared" si="7"/>
        <v>-</v>
      </c>
      <c r="G212" s="106" t="s">
        <v>53</v>
      </c>
      <c r="H212" s="105"/>
      <c r="I212" s="106" t="s">
        <v>474</v>
      </c>
      <c r="J212" s="107" t="s">
        <v>54</v>
      </c>
      <c r="K212" s="108"/>
      <c r="L212" s="106"/>
      <c r="M212" s="110"/>
      <c r="N212" s="105" t="s">
        <v>78</v>
      </c>
      <c r="O212" s="105" t="str">
        <f t="shared" si="8"/>
        <v/>
      </c>
      <c r="P212" s="105"/>
      <c r="Q212" s="105" t="s">
        <v>77</v>
      </c>
      <c r="R212" s="105" t="s">
        <v>77</v>
      </c>
      <c r="S212" s="105"/>
      <c r="T212" s="105"/>
      <c r="U212" s="105"/>
      <c r="V212" s="105"/>
      <c r="W212" s="105" t="s">
        <v>80</v>
      </c>
      <c r="X212" s="105"/>
      <c r="Y212" s="105"/>
    </row>
    <row r="213" spans="1:25" s="99" customFormat="1" ht="26.25" customHeight="1">
      <c r="A213" s="100">
        <v>3954</v>
      </c>
      <c r="B213" s="101" t="s">
        <v>11</v>
      </c>
      <c r="C213" s="105" t="s">
        <v>52</v>
      </c>
      <c r="D213" s="105" t="s">
        <v>475</v>
      </c>
      <c r="E213" s="105" t="s">
        <v>44</v>
      </c>
      <c r="F213" s="101" t="str">
        <f t="shared" si="7"/>
        <v>-</v>
      </c>
      <c r="G213" s="106" t="s">
        <v>53</v>
      </c>
      <c r="H213" s="105"/>
      <c r="I213" s="106" t="s">
        <v>476</v>
      </c>
      <c r="J213" s="107" t="s">
        <v>54</v>
      </c>
      <c r="K213" s="108"/>
      <c r="L213" s="106"/>
      <c r="M213" s="110"/>
      <c r="N213" s="105" t="s">
        <v>78</v>
      </c>
      <c r="O213" s="105" t="str">
        <f t="shared" si="8"/>
        <v/>
      </c>
      <c r="P213" s="105"/>
      <c r="Q213" s="105" t="s">
        <v>77</v>
      </c>
      <c r="R213" s="105" t="s">
        <v>77</v>
      </c>
      <c r="S213" s="105"/>
      <c r="T213" s="105"/>
      <c r="U213" s="105"/>
      <c r="V213" s="105"/>
      <c r="W213" s="105" t="s">
        <v>80</v>
      </c>
      <c r="X213" s="105"/>
      <c r="Y213" s="105"/>
    </row>
    <row r="214" spans="1:25" s="99" customFormat="1" ht="26.25" customHeight="1">
      <c r="A214" s="100">
        <v>3955</v>
      </c>
      <c r="B214" s="101" t="s">
        <v>11</v>
      </c>
      <c r="C214" s="105" t="s">
        <v>52</v>
      </c>
      <c r="D214" s="105" t="s">
        <v>477</v>
      </c>
      <c r="E214" s="105" t="s">
        <v>44</v>
      </c>
      <c r="F214" s="101" t="str">
        <f t="shared" ref="F214:F277" si="9">IF(B214&lt;&gt;"","-","")</f>
        <v>-</v>
      </c>
      <c r="G214" s="106" t="s">
        <v>53</v>
      </c>
      <c r="H214" s="105"/>
      <c r="I214" s="106" t="s">
        <v>478</v>
      </c>
      <c r="J214" s="107" t="s">
        <v>54</v>
      </c>
      <c r="K214" s="108"/>
      <c r="L214" s="106"/>
      <c r="M214" s="110"/>
      <c r="N214" s="105" t="s">
        <v>78</v>
      </c>
      <c r="O214" s="105" t="str">
        <f t="shared" ref="O214:O277" si="10">IF(OR(R214&lt;&gt;"",Q214&lt;&gt;""),"X","")</f>
        <v/>
      </c>
      <c r="P214" s="105"/>
      <c r="Q214" s="105" t="s">
        <v>77</v>
      </c>
      <c r="R214" s="105" t="s">
        <v>77</v>
      </c>
      <c r="S214" s="105"/>
      <c r="T214" s="105"/>
      <c r="U214" s="105"/>
      <c r="V214" s="105"/>
      <c r="W214" s="105" t="s">
        <v>80</v>
      </c>
      <c r="X214" s="105"/>
      <c r="Y214" s="105"/>
    </row>
    <row r="215" spans="1:25" s="99" customFormat="1" ht="26.25" customHeight="1">
      <c r="A215" s="100">
        <v>3956</v>
      </c>
      <c r="B215" s="101" t="s">
        <v>11</v>
      </c>
      <c r="C215" s="105" t="s">
        <v>52</v>
      </c>
      <c r="D215" s="105" t="s">
        <v>479</v>
      </c>
      <c r="E215" s="105" t="s">
        <v>44</v>
      </c>
      <c r="F215" s="101" t="str">
        <f t="shared" si="9"/>
        <v>-</v>
      </c>
      <c r="G215" s="106" t="s">
        <v>53</v>
      </c>
      <c r="H215" s="105"/>
      <c r="I215" s="106" t="s">
        <v>480</v>
      </c>
      <c r="J215" s="107" t="s">
        <v>54</v>
      </c>
      <c r="K215" s="108"/>
      <c r="L215" s="106"/>
      <c r="M215" s="110"/>
      <c r="N215" s="105" t="s">
        <v>78</v>
      </c>
      <c r="O215" s="105" t="str">
        <f t="shared" si="10"/>
        <v/>
      </c>
      <c r="P215" s="105"/>
      <c r="Q215" s="105" t="s">
        <v>77</v>
      </c>
      <c r="R215" s="105" t="s">
        <v>77</v>
      </c>
      <c r="S215" s="105"/>
      <c r="T215" s="105"/>
      <c r="U215" s="105"/>
      <c r="V215" s="105"/>
      <c r="W215" s="105" t="s">
        <v>80</v>
      </c>
      <c r="X215" s="105"/>
      <c r="Y215" s="105"/>
    </row>
    <row r="216" spans="1:25" s="99" customFormat="1" ht="26.25" customHeight="1">
      <c r="A216" s="100">
        <v>3957</v>
      </c>
      <c r="B216" s="101" t="s">
        <v>11</v>
      </c>
      <c r="C216" s="105" t="s">
        <v>52</v>
      </c>
      <c r="D216" s="105" t="s">
        <v>481</v>
      </c>
      <c r="E216" s="105" t="s">
        <v>44</v>
      </c>
      <c r="F216" s="101" t="str">
        <f t="shared" si="9"/>
        <v>-</v>
      </c>
      <c r="G216" s="106" t="s">
        <v>53</v>
      </c>
      <c r="H216" s="105"/>
      <c r="I216" s="106" t="s">
        <v>482</v>
      </c>
      <c r="J216" s="107" t="s">
        <v>54</v>
      </c>
      <c r="K216" s="108"/>
      <c r="L216" s="106"/>
      <c r="M216" s="110"/>
      <c r="N216" s="105" t="s">
        <v>78</v>
      </c>
      <c r="O216" s="105" t="str">
        <f t="shared" si="10"/>
        <v/>
      </c>
      <c r="P216" s="105"/>
      <c r="Q216" s="105" t="s">
        <v>77</v>
      </c>
      <c r="R216" s="105" t="s">
        <v>77</v>
      </c>
      <c r="S216" s="105"/>
      <c r="T216" s="105"/>
      <c r="U216" s="105"/>
      <c r="V216" s="105"/>
      <c r="W216" s="105" t="s">
        <v>80</v>
      </c>
      <c r="X216" s="105"/>
      <c r="Y216" s="105"/>
    </row>
    <row r="217" spans="1:25" s="99" customFormat="1" ht="26.25" customHeight="1">
      <c r="A217" s="100">
        <v>3958</v>
      </c>
      <c r="B217" s="101" t="s">
        <v>11</v>
      </c>
      <c r="C217" s="105" t="s">
        <v>52</v>
      </c>
      <c r="D217" s="105" t="s">
        <v>483</v>
      </c>
      <c r="E217" s="105" t="s">
        <v>44</v>
      </c>
      <c r="F217" s="101" t="str">
        <f t="shared" si="9"/>
        <v>-</v>
      </c>
      <c r="G217" s="106" t="s">
        <v>53</v>
      </c>
      <c r="H217" s="105"/>
      <c r="I217" s="106" t="s">
        <v>484</v>
      </c>
      <c r="J217" s="107" t="s">
        <v>54</v>
      </c>
      <c r="K217" s="108"/>
      <c r="L217" s="106"/>
      <c r="M217" s="110"/>
      <c r="N217" s="105" t="s">
        <v>78</v>
      </c>
      <c r="O217" s="105" t="str">
        <f t="shared" si="10"/>
        <v/>
      </c>
      <c r="P217" s="105"/>
      <c r="Q217" s="105" t="s">
        <v>77</v>
      </c>
      <c r="R217" s="105" t="s">
        <v>77</v>
      </c>
      <c r="S217" s="105"/>
      <c r="T217" s="105"/>
      <c r="U217" s="105"/>
      <c r="V217" s="105"/>
      <c r="W217" s="105" t="s">
        <v>80</v>
      </c>
      <c r="X217" s="105"/>
      <c r="Y217" s="105"/>
    </row>
    <row r="218" spans="1:25" s="99" customFormat="1" ht="26.25" customHeight="1">
      <c r="A218" s="100">
        <v>3959</v>
      </c>
      <c r="B218" s="101" t="s">
        <v>11</v>
      </c>
      <c r="C218" s="105" t="s">
        <v>52</v>
      </c>
      <c r="D218" s="105" t="s">
        <v>485</v>
      </c>
      <c r="E218" s="105" t="s">
        <v>44</v>
      </c>
      <c r="F218" s="101" t="str">
        <f t="shared" si="9"/>
        <v>-</v>
      </c>
      <c r="G218" s="106" t="s">
        <v>53</v>
      </c>
      <c r="H218" s="105"/>
      <c r="I218" s="106" t="s">
        <v>486</v>
      </c>
      <c r="J218" s="107" t="s">
        <v>54</v>
      </c>
      <c r="K218" s="108"/>
      <c r="L218" s="106"/>
      <c r="M218" s="110"/>
      <c r="N218" s="105" t="s">
        <v>78</v>
      </c>
      <c r="O218" s="105" t="str">
        <f t="shared" si="10"/>
        <v/>
      </c>
      <c r="P218" s="105"/>
      <c r="Q218" s="105" t="s">
        <v>77</v>
      </c>
      <c r="R218" s="105" t="s">
        <v>77</v>
      </c>
      <c r="S218" s="105"/>
      <c r="T218" s="105"/>
      <c r="U218" s="105"/>
      <c r="V218" s="105"/>
      <c r="W218" s="105" t="s">
        <v>80</v>
      </c>
      <c r="X218" s="105"/>
      <c r="Y218" s="105"/>
    </row>
    <row r="219" spans="1:25" s="99" customFormat="1" ht="26.25" customHeight="1">
      <c r="A219" s="100">
        <v>3960</v>
      </c>
      <c r="B219" s="101" t="s">
        <v>11</v>
      </c>
      <c r="C219" s="105" t="s">
        <v>52</v>
      </c>
      <c r="D219" s="105" t="s">
        <v>487</v>
      </c>
      <c r="E219" s="105" t="s">
        <v>44</v>
      </c>
      <c r="F219" s="101" t="str">
        <f t="shared" si="9"/>
        <v>-</v>
      </c>
      <c r="G219" s="106" t="s">
        <v>53</v>
      </c>
      <c r="H219" s="105"/>
      <c r="I219" s="106" t="s">
        <v>488</v>
      </c>
      <c r="J219" s="107" t="s">
        <v>54</v>
      </c>
      <c r="K219" s="108"/>
      <c r="L219" s="106"/>
      <c r="M219" s="110"/>
      <c r="N219" s="105" t="s">
        <v>78</v>
      </c>
      <c r="O219" s="105" t="str">
        <f t="shared" si="10"/>
        <v/>
      </c>
      <c r="P219" s="105"/>
      <c r="Q219" s="105" t="s">
        <v>77</v>
      </c>
      <c r="R219" s="105" t="s">
        <v>77</v>
      </c>
      <c r="S219" s="105"/>
      <c r="T219" s="105"/>
      <c r="U219" s="105"/>
      <c r="V219" s="105"/>
      <c r="W219" s="105" t="s">
        <v>80</v>
      </c>
      <c r="X219" s="105"/>
      <c r="Y219" s="105"/>
    </row>
    <row r="220" spans="1:25" s="99" customFormat="1" ht="26.25" customHeight="1">
      <c r="A220" s="100">
        <v>3961</v>
      </c>
      <c r="B220" s="101" t="s">
        <v>11</v>
      </c>
      <c r="C220" s="105" t="s">
        <v>52</v>
      </c>
      <c r="D220" s="105" t="s">
        <v>489</v>
      </c>
      <c r="E220" s="105" t="s">
        <v>44</v>
      </c>
      <c r="F220" s="101" t="str">
        <f t="shared" si="9"/>
        <v>-</v>
      </c>
      <c r="G220" s="106" t="s">
        <v>53</v>
      </c>
      <c r="H220" s="105"/>
      <c r="I220" s="106" t="s">
        <v>490</v>
      </c>
      <c r="J220" s="107" t="s">
        <v>54</v>
      </c>
      <c r="K220" s="108"/>
      <c r="L220" s="106"/>
      <c r="M220" s="110"/>
      <c r="N220" s="105" t="s">
        <v>78</v>
      </c>
      <c r="O220" s="105" t="str">
        <f t="shared" si="10"/>
        <v/>
      </c>
      <c r="P220" s="105"/>
      <c r="Q220" s="105" t="s">
        <v>77</v>
      </c>
      <c r="R220" s="105" t="s">
        <v>77</v>
      </c>
      <c r="S220" s="105"/>
      <c r="T220" s="105"/>
      <c r="U220" s="105"/>
      <c r="V220" s="105"/>
      <c r="W220" s="105" t="s">
        <v>80</v>
      </c>
      <c r="X220" s="105"/>
      <c r="Y220" s="105"/>
    </row>
    <row r="221" spans="1:25" s="99" customFormat="1" ht="26.25" customHeight="1">
      <c r="A221" s="100">
        <v>3962</v>
      </c>
      <c r="B221" s="101" t="s">
        <v>11</v>
      </c>
      <c r="C221" s="105" t="s">
        <v>52</v>
      </c>
      <c r="D221" s="105" t="s">
        <v>491</v>
      </c>
      <c r="E221" s="105" t="s">
        <v>44</v>
      </c>
      <c r="F221" s="101" t="str">
        <f t="shared" si="9"/>
        <v>-</v>
      </c>
      <c r="G221" s="106" t="s">
        <v>53</v>
      </c>
      <c r="H221" s="105"/>
      <c r="I221" s="106" t="s">
        <v>492</v>
      </c>
      <c r="J221" s="107" t="s">
        <v>54</v>
      </c>
      <c r="K221" s="108"/>
      <c r="L221" s="106"/>
      <c r="M221" s="110"/>
      <c r="N221" s="105" t="s">
        <v>78</v>
      </c>
      <c r="O221" s="105" t="str">
        <f t="shared" si="10"/>
        <v/>
      </c>
      <c r="P221" s="105"/>
      <c r="Q221" s="105" t="s">
        <v>77</v>
      </c>
      <c r="R221" s="105" t="s">
        <v>77</v>
      </c>
      <c r="S221" s="105"/>
      <c r="T221" s="105"/>
      <c r="U221" s="105"/>
      <c r="V221" s="105"/>
      <c r="W221" s="105" t="s">
        <v>80</v>
      </c>
      <c r="X221" s="105"/>
      <c r="Y221" s="105"/>
    </row>
    <row r="222" spans="1:25" s="99" customFormat="1" ht="26.25" customHeight="1">
      <c r="A222" s="100">
        <v>3963</v>
      </c>
      <c r="B222" s="101" t="s">
        <v>11</v>
      </c>
      <c r="C222" s="105" t="s">
        <v>52</v>
      </c>
      <c r="D222" s="105" t="s">
        <v>493</v>
      </c>
      <c r="E222" s="105" t="s">
        <v>44</v>
      </c>
      <c r="F222" s="101" t="str">
        <f t="shared" si="9"/>
        <v>-</v>
      </c>
      <c r="G222" s="106" t="s">
        <v>53</v>
      </c>
      <c r="H222" s="105"/>
      <c r="I222" s="106" t="s">
        <v>494</v>
      </c>
      <c r="J222" s="107" t="s">
        <v>54</v>
      </c>
      <c r="K222" s="108"/>
      <c r="L222" s="106"/>
      <c r="M222" s="110"/>
      <c r="N222" s="105" t="s">
        <v>78</v>
      </c>
      <c r="O222" s="105" t="str">
        <f t="shared" si="10"/>
        <v/>
      </c>
      <c r="P222" s="105"/>
      <c r="Q222" s="105" t="s">
        <v>77</v>
      </c>
      <c r="R222" s="105" t="s">
        <v>77</v>
      </c>
      <c r="S222" s="105"/>
      <c r="T222" s="105"/>
      <c r="U222" s="105"/>
      <c r="V222" s="105"/>
      <c r="W222" s="105" t="s">
        <v>80</v>
      </c>
      <c r="X222" s="105"/>
      <c r="Y222" s="105"/>
    </row>
    <row r="223" spans="1:25" s="99" customFormat="1" ht="26.25" customHeight="1">
      <c r="A223" s="100">
        <v>3964</v>
      </c>
      <c r="B223" s="101" t="s">
        <v>11</v>
      </c>
      <c r="C223" s="105" t="s">
        <v>52</v>
      </c>
      <c r="D223" s="105" t="s">
        <v>495</v>
      </c>
      <c r="E223" s="105" t="s">
        <v>44</v>
      </c>
      <c r="F223" s="101" t="str">
        <f t="shared" si="9"/>
        <v>-</v>
      </c>
      <c r="G223" s="106" t="s">
        <v>53</v>
      </c>
      <c r="H223" s="105"/>
      <c r="I223" s="106" t="s">
        <v>496</v>
      </c>
      <c r="J223" s="107" t="s">
        <v>54</v>
      </c>
      <c r="K223" s="108"/>
      <c r="L223" s="106"/>
      <c r="M223" s="110"/>
      <c r="N223" s="105" t="s">
        <v>78</v>
      </c>
      <c r="O223" s="105" t="str">
        <f t="shared" si="10"/>
        <v/>
      </c>
      <c r="P223" s="105"/>
      <c r="Q223" s="105" t="s">
        <v>77</v>
      </c>
      <c r="R223" s="105" t="s">
        <v>77</v>
      </c>
      <c r="S223" s="105"/>
      <c r="T223" s="105"/>
      <c r="U223" s="105"/>
      <c r="V223" s="105"/>
      <c r="W223" s="105" t="s">
        <v>80</v>
      </c>
      <c r="X223" s="105"/>
      <c r="Y223" s="105"/>
    </row>
    <row r="224" spans="1:25" s="99" customFormat="1" ht="26.25" customHeight="1">
      <c r="A224" s="100">
        <v>3965</v>
      </c>
      <c r="B224" s="101" t="s">
        <v>11</v>
      </c>
      <c r="C224" s="105" t="s">
        <v>52</v>
      </c>
      <c r="D224" s="105" t="s">
        <v>497</v>
      </c>
      <c r="E224" s="105" t="s">
        <v>44</v>
      </c>
      <c r="F224" s="101" t="str">
        <f t="shared" si="9"/>
        <v>-</v>
      </c>
      <c r="G224" s="106" t="s">
        <v>53</v>
      </c>
      <c r="H224" s="105"/>
      <c r="I224" s="106" t="s">
        <v>498</v>
      </c>
      <c r="J224" s="107" t="s">
        <v>54</v>
      </c>
      <c r="K224" s="108"/>
      <c r="L224" s="106"/>
      <c r="M224" s="110"/>
      <c r="N224" s="105" t="s">
        <v>78</v>
      </c>
      <c r="O224" s="105" t="str">
        <f t="shared" si="10"/>
        <v/>
      </c>
      <c r="P224" s="105"/>
      <c r="Q224" s="105" t="s">
        <v>77</v>
      </c>
      <c r="R224" s="105" t="s">
        <v>77</v>
      </c>
      <c r="S224" s="105"/>
      <c r="T224" s="105"/>
      <c r="U224" s="105"/>
      <c r="V224" s="105"/>
      <c r="W224" s="105" t="s">
        <v>80</v>
      </c>
      <c r="X224" s="105"/>
      <c r="Y224" s="105"/>
    </row>
    <row r="225" spans="1:25" s="99" customFormat="1" ht="26.25" customHeight="1">
      <c r="A225" s="100">
        <v>3966</v>
      </c>
      <c r="B225" s="101" t="s">
        <v>11</v>
      </c>
      <c r="C225" s="105" t="s">
        <v>52</v>
      </c>
      <c r="D225" s="105" t="s">
        <v>499</v>
      </c>
      <c r="E225" s="105" t="s">
        <v>44</v>
      </c>
      <c r="F225" s="101" t="str">
        <f t="shared" si="9"/>
        <v>-</v>
      </c>
      <c r="G225" s="106" t="s">
        <v>53</v>
      </c>
      <c r="H225" s="105"/>
      <c r="I225" s="106" t="s">
        <v>500</v>
      </c>
      <c r="J225" s="107" t="s">
        <v>54</v>
      </c>
      <c r="K225" s="108"/>
      <c r="L225" s="106"/>
      <c r="M225" s="110"/>
      <c r="N225" s="105" t="s">
        <v>78</v>
      </c>
      <c r="O225" s="105" t="str">
        <f t="shared" si="10"/>
        <v/>
      </c>
      <c r="P225" s="105"/>
      <c r="Q225" s="105" t="s">
        <v>77</v>
      </c>
      <c r="R225" s="105" t="s">
        <v>77</v>
      </c>
      <c r="S225" s="105"/>
      <c r="T225" s="105"/>
      <c r="U225" s="105"/>
      <c r="V225" s="105"/>
      <c r="W225" s="105" t="s">
        <v>80</v>
      </c>
      <c r="X225" s="105"/>
      <c r="Y225" s="105"/>
    </row>
    <row r="226" spans="1:25" s="99" customFormat="1" ht="26.25" customHeight="1">
      <c r="A226" s="100">
        <v>3967</v>
      </c>
      <c r="B226" s="101" t="s">
        <v>11</v>
      </c>
      <c r="C226" s="105" t="s">
        <v>52</v>
      </c>
      <c r="D226" s="105" t="s">
        <v>501</v>
      </c>
      <c r="E226" s="105" t="s">
        <v>44</v>
      </c>
      <c r="F226" s="101" t="str">
        <f t="shared" si="9"/>
        <v>-</v>
      </c>
      <c r="G226" s="106" t="s">
        <v>53</v>
      </c>
      <c r="H226" s="105"/>
      <c r="I226" s="106" t="s">
        <v>502</v>
      </c>
      <c r="J226" s="107" t="s">
        <v>54</v>
      </c>
      <c r="K226" s="108"/>
      <c r="L226" s="106"/>
      <c r="M226" s="110"/>
      <c r="N226" s="105" t="s">
        <v>78</v>
      </c>
      <c r="O226" s="105" t="str">
        <f t="shared" si="10"/>
        <v/>
      </c>
      <c r="P226" s="105"/>
      <c r="Q226" s="105" t="s">
        <v>77</v>
      </c>
      <c r="R226" s="105" t="s">
        <v>77</v>
      </c>
      <c r="S226" s="105"/>
      <c r="T226" s="105"/>
      <c r="U226" s="105"/>
      <c r="V226" s="105"/>
      <c r="W226" s="105" t="s">
        <v>80</v>
      </c>
      <c r="X226" s="105"/>
      <c r="Y226" s="105"/>
    </row>
    <row r="227" spans="1:25" s="99" customFormat="1" ht="26.25" customHeight="1">
      <c r="A227" s="100">
        <v>3968</v>
      </c>
      <c r="B227" s="101" t="s">
        <v>11</v>
      </c>
      <c r="C227" s="105" t="s">
        <v>52</v>
      </c>
      <c r="D227" s="105" t="s">
        <v>503</v>
      </c>
      <c r="E227" s="105" t="s">
        <v>44</v>
      </c>
      <c r="F227" s="101" t="str">
        <f t="shared" si="9"/>
        <v>-</v>
      </c>
      <c r="G227" s="106" t="s">
        <v>53</v>
      </c>
      <c r="H227" s="105"/>
      <c r="I227" s="106" t="s">
        <v>504</v>
      </c>
      <c r="J227" s="107" t="s">
        <v>54</v>
      </c>
      <c r="K227" s="108"/>
      <c r="L227" s="106"/>
      <c r="M227" s="110"/>
      <c r="N227" s="105" t="s">
        <v>78</v>
      </c>
      <c r="O227" s="105" t="str">
        <f t="shared" si="10"/>
        <v/>
      </c>
      <c r="P227" s="105"/>
      <c r="Q227" s="105" t="s">
        <v>77</v>
      </c>
      <c r="R227" s="105" t="s">
        <v>77</v>
      </c>
      <c r="S227" s="105"/>
      <c r="T227" s="105"/>
      <c r="U227" s="105"/>
      <c r="V227" s="105"/>
      <c r="W227" s="105" t="s">
        <v>80</v>
      </c>
      <c r="X227" s="105"/>
      <c r="Y227" s="105"/>
    </row>
    <row r="228" spans="1:25" s="99" customFormat="1" ht="26.25" customHeight="1">
      <c r="A228" s="100">
        <v>3969</v>
      </c>
      <c r="B228" s="101" t="s">
        <v>11</v>
      </c>
      <c r="C228" s="105" t="s">
        <v>52</v>
      </c>
      <c r="D228" s="105" t="s">
        <v>505</v>
      </c>
      <c r="E228" s="105" t="s">
        <v>44</v>
      </c>
      <c r="F228" s="101" t="str">
        <f t="shared" si="9"/>
        <v>-</v>
      </c>
      <c r="G228" s="106" t="s">
        <v>53</v>
      </c>
      <c r="H228" s="105"/>
      <c r="I228" s="106" t="s">
        <v>506</v>
      </c>
      <c r="J228" s="107" t="s">
        <v>54</v>
      </c>
      <c r="K228" s="108"/>
      <c r="L228" s="106"/>
      <c r="M228" s="110"/>
      <c r="N228" s="105" t="s">
        <v>78</v>
      </c>
      <c r="O228" s="105" t="str">
        <f t="shared" si="10"/>
        <v/>
      </c>
      <c r="P228" s="105"/>
      <c r="Q228" s="105" t="s">
        <v>77</v>
      </c>
      <c r="R228" s="105" t="s">
        <v>77</v>
      </c>
      <c r="S228" s="105"/>
      <c r="T228" s="105"/>
      <c r="U228" s="105"/>
      <c r="V228" s="105"/>
      <c r="W228" s="105" t="s">
        <v>80</v>
      </c>
      <c r="X228" s="105"/>
      <c r="Y228" s="105"/>
    </row>
    <row r="229" spans="1:25" s="99" customFormat="1" ht="26.25" customHeight="1">
      <c r="A229" s="100">
        <v>3970</v>
      </c>
      <c r="B229" s="101" t="s">
        <v>11</v>
      </c>
      <c r="C229" s="105" t="s">
        <v>52</v>
      </c>
      <c r="D229" s="105" t="s">
        <v>507</v>
      </c>
      <c r="E229" s="105" t="s">
        <v>44</v>
      </c>
      <c r="F229" s="101" t="str">
        <f t="shared" si="9"/>
        <v>-</v>
      </c>
      <c r="G229" s="106" t="s">
        <v>53</v>
      </c>
      <c r="H229" s="105"/>
      <c r="I229" s="106" t="s">
        <v>508</v>
      </c>
      <c r="J229" s="107" t="s">
        <v>54</v>
      </c>
      <c r="K229" s="108"/>
      <c r="L229" s="106"/>
      <c r="M229" s="110"/>
      <c r="N229" s="105" t="s">
        <v>78</v>
      </c>
      <c r="O229" s="105" t="str">
        <f t="shared" si="10"/>
        <v/>
      </c>
      <c r="P229" s="105"/>
      <c r="Q229" s="105" t="s">
        <v>77</v>
      </c>
      <c r="R229" s="105" t="s">
        <v>77</v>
      </c>
      <c r="S229" s="105"/>
      <c r="T229" s="105"/>
      <c r="U229" s="105"/>
      <c r="V229" s="105"/>
      <c r="W229" s="105" t="s">
        <v>80</v>
      </c>
      <c r="X229" s="105"/>
      <c r="Y229" s="105"/>
    </row>
    <row r="230" spans="1:25" s="99" customFormat="1" ht="26.25" customHeight="1">
      <c r="A230" s="100">
        <v>3971</v>
      </c>
      <c r="B230" s="101" t="s">
        <v>11</v>
      </c>
      <c r="C230" s="105" t="s">
        <v>52</v>
      </c>
      <c r="D230" s="105" t="s">
        <v>509</v>
      </c>
      <c r="E230" s="105" t="s">
        <v>44</v>
      </c>
      <c r="F230" s="101" t="str">
        <f t="shared" si="9"/>
        <v>-</v>
      </c>
      <c r="G230" s="106" t="s">
        <v>53</v>
      </c>
      <c r="H230" s="105"/>
      <c r="I230" s="106" t="s">
        <v>510</v>
      </c>
      <c r="J230" s="107" t="s">
        <v>54</v>
      </c>
      <c r="K230" s="108"/>
      <c r="L230" s="106"/>
      <c r="M230" s="110"/>
      <c r="N230" s="105" t="s">
        <v>78</v>
      </c>
      <c r="O230" s="105" t="str">
        <f t="shared" si="10"/>
        <v/>
      </c>
      <c r="P230" s="105"/>
      <c r="Q230" s="105" t="s">
        <v>77</v>
      </c>
      <c r="R230" s="105" t="s">
        <v>77</v>
      </c>
      <c r="S230" s="105"/>
      <c r="T230" s="105"/>
      <c r="U230" s="105"/>
      <c r="V230" s="105"/>
      <c r="W230" s="105" t="s">
        <v>80</v>
      </c>
      <c r="X230" s="105"/>
      <c r="Y230" s="105"/>
    </row>
    <row r="231" spans="1:25" s="99" customFormat="1" ht="26.25" customHeight="1">
      <c r="A231" s="100">
        <v>3972</v>
      </c>
      <c r="B231" s="101" t="s">
        <v>11</v>
      </c>
      <c r="C231" s="105" t="s">
        <v>52</v>
      </c>
      <c r="D231" s="105" t="s">
        <v>511</v>
      </c>
      <c r="E231" s="105" t="s">
        <v>44</v>
      </c>
      <c r="F231" s="101" t="str">
        <f t="shared" si="9"/>
        <v>-</v>
      </c>
      <c r="G231" s="106" t="s">
        <v>53</v>
      </c>
      <c r="H231" s="105"/>
      <c r="I231" s="106" t="s">
        <v>512</v>
      </c>
      <c r="J231" s="107" t="s">
        <v>54</v>
      </c>
      <c r="K231" s="108"/>
      <c r="L231" s="106"/>
      <c r="M231" s="110"/>
      <c r="N231" s="105" t="s">
        <v>78</v>
      </c>
      <c r="O231" s="105" t="str">
        <f t="shared" si="10"/>
        <v/>
      </c>
      <c r="P231" s="105"/>
      <c r="Q231" s="105" t="s">
        <v>77</v>
      </c>
      <c r="R231" s="105" t="s">
        <v>77</v>
      </c>
      <c r="S231" s="105"/>
      <c r="T231" s="105"/>
      <c r="U231" s="105"/>
      <c r="V231" s="105"/>
      <c r="W231" s="105" t="s">
        <v>80</v>
      </c>
      <c r="X231" s="105"/>
      <c r="Y231" s="105"/>
    </row>
    <row r="232" spans="1:25" s="99" customFormat="1" ht="26.25" customHeight="1">
      <c r="A232" s="100">
        <v>3973</v>
      </c>
      <c r="B232" s="101" t="s">
        <v>11</v>
      </c>
      <c r="C232" s="105" t="s">
        <v>52</v>
      </c>
      <c r="D232" s="105" t="s">
        <v>513</v>
      </c>
      <c r="E232" s="105" t="s">
        <v>44</v>
      </c>
      <c r="F232" s="101" t="str">
        <f t="shared" si="9"/>
        <v>-</v>
      </c>
      <c r="G232" s="106" t="s">
        <v>53</v>
      </c>
      <c r="H232" s="105"/>
      <c r="I232" s="106" t="s">
        <v>514</v>
      </c>
      <c r="J232" s="107" t="s">
        <v>54</v>
      </c>
      <c r="K232" s="108"/>
      <c r="L232" s="106"/>
      <c r="M232" s="110"/>
      <c r="N232" s="105" t="s">
        <v>78</v>
      </c>
      <c r="O232" s="105" t="str">
        <f t="shared" si="10"/>
        <v/>
      </c>
      <c r="P232" s="105"/>
      <c r="Q232" s="105" t="s">
        <v>77</v>
      </c>
      <c r="R232" s="105" t="s">
        <v>77</v>
      </c>
      <c r="S232" s="105"/>
      <c r="T232" s="105"/>
      <c r="U232" s="105"/>
      <c r="V232" s="105"/>
      <c r="W232" s="105" t="s">
        <v>80</v>
      </c>
      <c r="X232" s="105"/>
      <c r="Y232" s="105"/>
    </row>
    <row r="233" spans="1:25" s="99" customFormat="1" ht="26.25" customHeight="1">
      <c r="A233" s="100">
        <v>3974</v>
      </c>
      <c r="B233" s="101" t="s">
        <v>11</v>
      </c>
      <c r="C233" s="105" t="s">
        <v>52</v>
      </c>
      <c r="D233" s="105" t="s">
        <v>515</v>
      </c>
      <c r="E233" s="105" t="s">
        <v>44</v>
      </c>
      <c r="F233" s="101" t="str">
        <f t="shared" si="9"/>
        <v>-</v>
      </c>
      <c r="G233" s="106" t="s">
        <v>53</v>
      </c>
      <c r="H233" s="105"/>
      <c r="I233" s="106" t="s">
        <v>516</v>
      </c>
      <c r="J233" s="107" t="s">
        <v>54</v>
      </c>
      <c r="K233" s="108"/>
      <c r="L233" s="106"/>
      <c r="M233" s="110"/>
      <c r="N233" s="105" t="s">
        <v>78</v>
      </c>
      <c r="O233" s="105" t="str">
        <f t="shared" si="10"/>
        <v/>
      </c>
      <c r="P233" s="105"/>
      <c r="Q233" s="105" t="s">
        <v>77</v>
      </c>
      <c r="R233" s="105" t="s">
        <v>77</v>
      </c>
      <c r="S233" s="105"/>
      <c r="T233" s="105"/>
      <c r="U233" s="105"/>
      <c r="V233" s="105"/>
      <c r="W233" s="105" t="s">
        <v>80</v>
      </c>
      <c r="X233" s="105"/>
      <c r="Y233" s="105"/>
    </row>
    <row r="234" spans="1:25" s="99" customFormat="1" ht="26.25" customHeight="1">
      <c r="A234" s="100">
        <v>3975</v>
      </c>
      <c r="B234" s="101" t="s">
        <v>11</v>
      </c>
      <c r="C234" s="105" t="s">
        <v>52</v>
      </c>
      <c r="D234" s="105" t="s">
        <v>517</v>
      </c>
      <c r="E234" s="105" t="s">
        <v>44</v>
      </c>
      <c r="F234" s="101" t="str">
        <f t="shared" si="9"/>
        <v>-</v>
      </c>
      <c r="G234" s="106" t="s">
        <v>53</v>
      </c>
      <c r="H234" s="105"/>
      <c r="I234" s="106" t="s">
        <v>518</v>
      </c>
      <c r="J234" s="107" t="s">
        <v>54</v>
      </c>
      <c r="K234" s="108"/>
      <c r="L234" s="106"/>
      <c r="M234" s="110"/>
      <c r="N234" s="105" t="s">
        <v>78</v>
      </c>
      <c r="O234" s="105" t="str">
        <f t="shared" si="10"/>
        <v/>
      </c>
      <c r="P234" s="105"/>
      <c r="Q234" s="105" t="s">
        <v>77</v>
      </c>
      <c r="R234" s="105" t="s">
        <v>77</v>
      </c>
      <c r="S234" s="105"/>
      <c r="T234" s="105"/>
      <c r="U234" s="105"/>
      <c r="V234" s="105"/>
      <c r="W234" s="105" t="s">
        <v>80</v>
      </c>
      <c r="X234" s="105"/>
      <c r="Y234" s="105"/>
    </row>
    <row r="235" spans="1:25" s="99" customFormat="1" ht="26.25" customHeight="1">
      <c r="A235" s="100">
        <v>3976</v>
      </c>
      <c r="B235" s="101" t="s">
        <v>11</v>
      </c>
      <c r="C235" s="105" t="s">
        <v>52</v>
      </c>
      <c r="D235" s="105" t="s">
        <v>519</v>
      </c>
      <c r="E235" s="105" t="s">
        <v>44</v>
      </c>
      <c r="F235" s="101" t="str">
        <f t="shared" si="9"/>
        <v>-</v>
      </c>
      <c r="G235" s="106" t="s">
        <v>53</v>
      </c>
      <c r="H235" s="105"/>
      <c r="I235" s="106" t="s">
        <v>520</v>
      </c>
      <c r="J235" s="107" t="s">
        <v>54</v>
      </c>
      <c r="K235" s="108"/>
      <c r="L235" s="106"/>
      <c r="M235" s="110"/>
      <c r="N235" s="105" t="s">
        <v>78</v>
      </c>
      <c r="O235" s="105" t="str">
        <f t="shared" si="10"/>
        <v/>
      </c>
      <c r="P235" s="105"/>
      <c r="Q235" s="105" t="s">
        <v>77</v>
      </c>
      <c r="R235" s="105" t="s">
        <v>77</v>
      </c>
      <c r="S235" s="105"/>
      <c r="T235" s="105"/>
      <c r="U235" s="105"/>
      <c r="V235" s="105"/>
      <c r="W235" s="105" t="s">
        <v>80</v>
      </c>
      <c r="X235" s="105"/>
      <c r="Y235" s="105"/>
    </row>
    <row r="236" spans="1:25" s="99" customFormat="1" ht="26.25" customHeight="1">
      <c r="A236" s="100">
        <v>3977</v>
      </c>
      <c r="B236" s="101" t="s">
        <v>11</v>
      </c>
      <c r="C236" s="105" t="s">
        <v>52</v>
      </c>
      <c r="D236" s="105" t="s">
        <v>521</v>
      </c>
      <c r="E236" s="105" t="s">
        <v>44</v>
      </c>
      <c r="F236" s="101" t="str">
        <f t="shared" si="9"/>
        <v>-</v>
      </c>
      <c r="G236" s="106" t="s">
        <v>53</v>
      </c>
      <c r="H236" s="105"/>
      <c r="I236" s="106" t="s">
        <v>522</v>
      </c>
      <c r="J236" s="107" t="s">
        <v>54</v>
      </c>
      <c r="K236" s="108"/>
      <c r="L236" s="106"/>
      <c r="M236" s="110"/>
      <c r="N236" s="105" t="s">
        <v>78</v>
      </c>
      <c r="O236" s="105" t="str">
        <f t="shared" si="10"/>
        <v/>
      </c>
      <c r="P236" s="105"/>
      <c r="Q236" s="105" t="s">
        <v>77</v>
      </c>
      <c r="R236" s="105" t="s">
        <v>77</v>
      </c>
      <c r="S236" s="105"/>
      <c r="T236" s="105"/>
      <c r="U236" s="105"/>
      <c r="V236" s="105"/>
      <c r="W236" s="105" t="s">
        <v>80</v>
      </c>
      <c r="X236" s="105"/>
      <c r="Y236" s="105"/>
    </row>
    <row r="237" spans="1:25" s="99" customFormat="1" ht="26.25" customHeight="1">
      <c r="A237" s="100">
        <v>3978</v>
      </c>
      <c r="B237" s="101" t="s">
        <v>11</v>
      </c>
      <c r="C237" s="105" t="s">
        <v>52</v>
      </c>
      <c r="D237" s="105" t="s">
        <v>523</v>
      </c>
      <c r="E237" s="105" t="s">
        <v>44</v>
      </c>
      <c r="F237" s="101" t="str">
        <f t="shared" si="9"/>
        <v>-</v>
      </c>
      <c r="G237" s="106" t="s">
        <v>53</v>
      </c>
      <c r="H237" s="105"/>
      <c r="I237" s="106" t="s">
        <v>524</v>
      </c>
      <c r="J237" s="107" t="s">
        <v>54</v>
      </c>
      <c r="K237" s="108"/>
      <c r="L237" s="106"/>
      <c r="M237" s="110"/>
      <c r="N237" s="105" t="s">
        <v>78</v>
      </c>
      <c r="O237" s="105" t="str">
        <f t="shared" si="10"/>
        <v/>
      </c>
      <c r="P237" s="105"/>
      <c r="Q237" s="105" t="s">
        <v>77</v>
      </c>
      <c r="R237" s="105" t="s">
        <v>77</v>
      </c>
      <c r="S237" s="105"/>
      <c r="T237" s="105"/>
      <c r="U237" s="105"/>
      <c r="V237" s="105"/>
      <c r="W237" s="105" t="s">
        <v>80</v>
      </c>
      <c r="X237" s="105"/>
      <c r="Y237" s="105"/>
    </row>
    <row r="238" spans="1:25" s="99" customFormat="1" ht="26.25" customHeight="1">
      <c r="A238" s="100">
        <v>3979</v>
      </c>
      <c r="B238" s="101" t="s">
        <v>11</v>
      </c>
      <c r="C238" s="105" t="s">
        <v>52</v>
      </c>
      <c r="D238" s="105" t="s">
        <v>525</v>
      </c>
      <c r="E238" s="105" t="s">
        <v>44</v>
      </c>
      <c r="F238" s="101" t="str">
        <f t="shared" si="9"/>
        <v>-</v>
      </c>
      <c r="G238" s="106" t="s">
        <v>53</v>
      </c>
      <c r="H238" s="105"/>
      <c r="I238" s="106" t="s">
        <v>526</v>
      </c>
      <c r="J238" s="107" t="s">
        <v>54</v>
      </c>
      <c r="K238" s="108"/>
      <c r="L238" s="106"/>
      <c r="M238" s="110"/>
      <c r="N238" s="105" t="s">
        <v>78</v>
      </c>
      <c r="O238" s="105" t="str">
        <f t="shared" si="10"/>
        <v/>
      </c>
      <c r="P238" s="105"/>
      <c r="Q238" s="105" t="s">
        <v>77</v>
      </c>
      <c r="R238" s="105" t="s">
        <v>77</v>
      </c>
      <c r="S238" s="105"/>
      <c r="T238" s="105"/>
      <c r="U238" s="105"/>
      <c r="V238" s="105"/>
      <c r="W238" s="105" t="s">
        <v>80</v>
      </c>
      <c r="X238" s="105"/>
      <c r="Y238" s="105"/>
    </row>
    <row r="239" spans="1:25" s="99" customFormat="1" ht="26.25" customHeight="1">
      <c r="A239" s="100">
        <v>3980</v>
      </c>
      <c r="B239" s="101" t="s">
        <v>11</v>
      </c>
      <c r="C239" s="105" t="s">
        <v>52</v>
      </c>
      <c r="D239" s="105" t="s">
        <v>527</v>
      </c>
      <c r="E239" s="105" t="s">
        <v>44</v>
      </c>
      <c r="F239" s="101" t="str">
        <f t="shared" si="9"/>
        <v>-</v>
      </c>
      <c r="G239" s="106" t="s">
        <v>53</v>
      </c>
      <c r="H239" s="105"/>
      <c r="I239" s="106" t="s">
        <v>528</v>
      </c>
      <c r="J239" s="107" t="s">
        <v>54</v>
      </c>
      <c r="K239" s="108"/>
      <c r="L239" s="106"/>
      <c r="M239" s="110"/>
      <c r="N239" s="105" t="s">
        <v>78</v>
      </c>
      <c r="O239" s="105" t="str">
        <f t="shared" si="10"/>
        <v/>
      </c>
      <c r="P239" s="105"/>
      <c r="Q239" s="105" t="s">
        <v>77</v>
      </c>
      <c r="R239" s="105" t="s">
        <v>77</v>
      </c>
      <c r="S239" s="105"/>
      <c r="T239" s="105"/>
      <c r="U239" s="105"/>
      <c r="V239" s="105"/>
      <c r="W239" s="105" t="s">
        <v>80</v>
      </c>
      <c r="X239" s="105"/>
      <c r="Y239" s="105"/>
    </row>
    <row r="240" spans="1:25" s="99" customFormat="1" ht="26.25" customHeight="1">
      <c r="A240" s="100">
        <v>3981</v>
      </c>
      <c r="B240" s="101" t="s">
        <v>11</v>
      </c>
      <c r="C240" s="105" t="s">
        <v>52</v>
      </c>
      <c r="D240" s="105" t="s">
        <v>529</v>
      </c>
      <c r="E240" s="105" t="s">
        <v>44</v>
      </c>
      <c r="F240" s="101" t="str">
        <f t="shared" si="9"/>
        <v>-</v>
      </c>
      <c r="G240" s="106" t="s">
        <v>53</v>
      </c>
      <c r="H240" s="105"/>
      <c r="I240" s="106" t="s">
        <v>530</v>
      </c>
      <c r="J240" s="107" t="s">
        <v>54</v>
      </c>
      <c r="K240" s="108"/>
      <c r="L240" s="106"/>
      <c r="M240" s="110"/>
      <c r="N240" s="105" t="s">
        <v>78</v>
      </c>
      <c r="O240" s="105" t="str">
        <f t="shared" si="10"/>
        <v/>
      </c>
      <c r="P240" s="105"/>
      <c r="Q240" s="105" t="s">
        <v>77</v>
      </c>
      <c r="R240" s="105" t="s">
        <v>77</v>
      </c>
      <c r="S240" s="105"/>
      <c r="T240" s="105"/>
      <c r="U240" s="105"/>
      <c r="V240" s="105"/>
      <c r="W240" s="105" t="s">
        <v>80</v>
      </c>
      <c r="X240" s="105"/>
      <c r="Y240" s="105"/>
    </row>
    <row r="241" spans="1:25" s="99" customFormat="1" ht="26.25" customHeight="1">
      <c r="A241" s="100">
        <v>3982</v>
      </c>
      <c r="B241" s="101" t="s">
        <v>11</v>
      </c>
      <c r="C241" s="105" t="s">
        <v>52</v>
      </c>
      <c r="D241" s="105" t="s">
        <v>531</v>
      </c>
      <c r="E241" s="105" t="s">
        <v>44</v>
      </c>
      <c r="F241" s="101" t="str">
        <f t="shared" si="9"/>
        <v>-</v>
      </c>
      <c r="G241" s="106" t="s">
        <v>53</v>
      </c>
      <c r="H241" s="105"/>
      <c r="I241" s="106" t="s">
        <v>532</v>
      </c>
      <c r="J241" s="107" t="s">
        <v>54</v>
      </c>
      <c r="K241" s="108"/>
      <c r="L241" s="106"/>
      <c r="M241" s="110"/>
      <c r="N241" s="105" t="s">
        <v>78</v>
      </c>
      <c r="O241" s="105" t="str">
        <f t="shared" si="10"/>
        <v/>
      </c>
      <c r="P241" s="105"/>
      <c r="Q241" s="105" t="s">
        <v>77</v>
      </c>
      <c r="R241" s="105" t="s">
        <v>77</v>
      </c>
      <c r="S241" s="105"/>
      <c r="T241" s="105"/>
      <c r="U241" s="105"/>
      <c r="V241" s="105"/>
      <c r="W241" s="105" t="s">
        <v>80</v>
      </c>
      <c r="X241" s="105"/>
      <c r="Y241" s="105"/>
    </row>
    <row r="242" spans="1:25" s="99" customFormat="1" ht="26.25" customHeight="1">
      <c r="A242" s="100">
        <v>3983</v>
      </c>
      <c r="B242" s="101" t="s">
        <v>11</v>
      </c>
      <c r="C242" s="105" t="s">
        <v>52</v>
      </c>
      <c r="D242" s="105" t="s">
        <v>533</v>
      </c>
      <c r="E242" s="105" t="s">
        <v>44</v>
      </c>
      <c r="F242" s="101" t="str">
        <f t="shared" si="9"/>
        <v>-</v>
      </c>
      <c r="G242" s="106" t="s">
        <v>53</v>
      </c>
      <c r="H242" s="105"/>
      <c r="I242" s="106" t="s">
        <v>534</v>
      </c>
      <c r="J242" s="107" t="s">
        <v>54</v>
      </c>
      <c r="K242" s="108"/>
      <c r="L242" s="106"/>
      <c r="M242" s="110"/>
      <c r="N242" s="105" t="s">
        <v>78</v>
      </c>
      <c r="O242" s="105" t="str">
        <f t="shared" si="10"/>
        <v/>
      </c>
      <c r="P242" s="105"/>
      <c r="Q242" s="105" t="s">
        <v>77</v>
      </c>
      <c r="R242" s="105" t="s">
        <v>77</v>
      </c>
      <c r="S242" s="105"/>
      <c r="T242" s="105"/>
      <c r="U242" s="105"/>
      <c r="V242" s="105"/>
      <c r="W242" s="105" t="s">
        <v>80</v>
      </c>
      <c r="X242" s="105"/>
      <c r="Y242" s="105"/>
    </row>
    <row r="243" spans="1:25" s="99" customFormat="1" ht="26.25" customHeight="1">
      <c r="A243" s="100">
        <v>3984</v>
      </c>
      <c r="B243" s="101" t="s">
        <v>11</v>
      </c>
      <c r="C243" s="105" t="s">
        <v>52</v>
      </c>
      <c r="D243" s="105" t="s">
        <v>535</v>
      </c>
      <c r="E243" s="105" t="s">
        <v>44</v>
      </c>
      <c r="F243" s="101" t="str">
        <f t="shared" si="9"/>
        <v>-</v>
      </c>
      <c r="G243" s="106" t="s">
        <v>53</v>
      </c>
      <c r="H243" s="105"/>
      <c r="I243" s="106" t="s">
        <v>536</v>
      </c>
      <c r="J243" s="107" t="s">
        <v>54</v>
      </c>
      <c r="K243" s="108"/>
      <c r="L243" s="106"/>
      <c r="M243" s="110"/>
      <c r="N243" s="105" t="s">
        <v>78</v>
      </c>
      <c r="O243" s="105" t="str">
        <f t="shared" si="10"/>
        <v/>
      </c>
      <c r="P243" s="105"/>
      <c r="Q243" s="105" t="s">
        <v>77</v>
      </c>
      <c r="R243" s="105" t="s">
        <v>77</v>
      </c>
      <c r="S243" s="105"/>
      <c r="T243" s="105"/>
      <c r="U243" s="105"/>
      <c r="V243" s="105"/>
      <c r="W243" s="105" t="s">
        <v>80</v>
      </c>
      <c r="X243" s="105"/>
      <c r="Y243" s="105"/>
    </row>
    <row r="244" spans="1:25" s="99" customFormat="1" ht="26.25" customHeight="1">
      <c r="A244" s="100">
        <v>3985</v>
      </c>
      <c r="B244" s="101" t="s">
        <v>11</v>
      </c>
      <c r="C244" s="105" t="s">
        <v>52</v>
      </c>
      <c r="D244" s="105" t="s">
        <v>537</v>
      </c>
      <c r="E244" s="105" t="s">
        <v>44</v>
      </c>
      <c r="F244" s="101" t="str">
        <f t="shared" si="9"/>
        <v>-</v>
      </c>
      <c r="G244" s="106" t="s">
        <v>53</v>
      </c>
      <c r="H244" s="105"/>
      <c r="I244" s="106" t="s">
        <v>538</v>
      </c>
      <c r="J244" s="107" t="s">
        <v>54</v>
      </c>
      <c r="K244" s="108"/>
      <c r="L244" s="106"/>
      <c r="M244" s="110"/>
      <c r="N244" s="105" t="s">
        <v>78</v>
      </c>
      <c r="O244" s="105" t="str">
        <f t="shared" si="10"/>
        <v/>
      </c>
      <c r="P244" s="105"/>
      <c r="Q244" s="105" t="s">
        <v>77</v>
      </c>
      <c r="R244" s="105" t="s">
        <v>77</v>
      </c>
      <c r="S244" s="105"/>
      <c r="T244" s="105"/>
      <c r="U244" s="105"/>
      <c r="V244" s="105"/>
      <c r="W244" s="105" t="s">
        <v>80</v>
      </c>
      <c r="X244" s="105"/>
      <c r="Y244" s="105"/>
    </row>
    <row r="245" spans="1:25" s="99" customFormat="1" ht="26.25" customHeight="1">
      <c r="A245" s="100">
        <v>3986</v>
      </c>
      <c r="B245" s="101" t="s">
        <v>11</v>
      </c>
      <c r="C245" s="105" t="s">
        <v>52</v>
      </c>
      <c r="D245" s="105" t="s">
        <v>539</v>
      </c>
      <c r="E245" s="105" t="s">
        <v>44</v>
      </c>
      <c r="F245" s="101" t="str">
        <f t="shared" si="9"/>
        <v>-</v>
      </c>
      <c r="G245" s="106" t="s">
        <v>53</v>
      </c>
      <c r="H245" s="105"/>
      <c r="I245" s="106" t="s">
        <v>540</v>
      </c>
      <c r="J245" s="107" t="s">
        <v>54</v>
      </c>
      <c r="K245" s="108"/>
      <c r="L245" s="106"/>
      <c r="M245" s="110"/>
      <c r="N245" s="105" t="s">
        <v>78</v>
      </c>
      <c r="O245" s="105" t="str">
        <f t="shared" si="10"/>
        <v/>
      </c>
      <c r="P245" s="105"/>
      <c r="Q245" s="105" t="s">
        <v>77</v>
      </c>
      <c r="R245" s="105" t="s">
        <v>77</v>
      </c>
      <c r="S245" s="105"/>
      <c r="T245" s="105"/>
      <c r="U245" s="105"/>
      <c r="V245" s="105"/>
      <c r="W245" s="105" t="s">
        <v>80</v>
      </c>
      <c r="X245" s="105"/>
      <c r="Y245" s="105"/>
    </row>
    <row r="246" spans="1:25" s="99" customFormat="1" ht="26.25" customHeight="1">
      <c r="A246" s="100">
        <v>3987</v>
      </c>
      <c r="B246" s="101" t="s">
        <v>11</v>
      </c>
      <c r="C246" s="105" t="s">
        <v>52</v>
      </c>
      <c r="D246" s="105" t="s">
        <v>541</v>
      </c>
      <c r="E246" s="105" t="s">
        <v>44</v>
      </c>
      <c r="F246" s="101" t="str">
        <f t="shared" si="9"/>
        <v>-</v>
      </c>
      <c r="G246" s="106" t="s">
        <v>53</v>
      </c>
      <c r="H246" s="105"/>
      <c r="I246" s="106" t="s">
        <v>542</v>
      </c>
      <c r="J246" s="107" t="s">
        <v>54</v>
      </c>
      <c r="K246" s="108"/>
      <c r="L246" s="106"/>
      <c r="M246" s="110"/>
      <c r="N246" s="105" t="s">
        <v>78</v>
      </c>
      <c r="O246" s="105" t="str">
        <f t="shared" si="10"/>
        <v/>
      </c>
      <c r="P246" s="105"/>
      <c r="Q246" s="105" t="s">
        <v>77</v>
      </c>
      <c r="R246" s="105" t="s">
        <v>77</v>
      </c>
      <c r="S246" s="105"/>
      <c r="T246" s="105"/>
      <c r="U246" s="105"/>
      <c r="V246" s="105"/>
      <c r="W246" s="105" t="s">
        <v>80</v>
      </c>
      <c r="X246" s="105"/>
      <c r="Y246" s="105"/>
    </row>
    <row r="247" spans="1:25" s="99" customFormat="1" ht="26.25" customHeight="1">
      <c r="A247" s="100">
        <v>3988</v>
      </c>
      <c r="B247" s="101" t="s">
        <v>11</v>
      </c>
      <c r="C247" s="105" t="s">
        <v>52</v>
      </c>
      <c r="D247" s="105" t="s">
        <v>543</v>
      </c>
      <c r="E247" s="105" t="s">
        <v>44</v>
      </c>
      <c r="F247" s="101" t="str">
        <f t="shared" si="9"/>
        <v>-</v>
      </c>
      <c r="G247" s="106" t="s">
        <v>53</v>
      </c>
      <c r="H247" s="105"/>
      <c r="I247" s="106" t="s">
        <v>544</v>
      </c>
      <c r="J247" s="107" t="s">
        <v>54</v>
      </c>
      <c r="K247" s="108"/>
      <c r="L247" s="106"/>
      <c r="M247" s="110"/>
      <c r="N247" s="105" t="s">
        <v>78</v>
      </c>
      <c r="O247" s="105" t="str">
        <f t="shared" si="10"/>
        <v/>
      </c>
      <c r="P247" s="105"/>
      <c r="Q247" s="105" t="s">
        <v>77</v>
      </c>
      <c r="R247" s="105" t="s">
        <v>77</v>
      </c>
      <c r="S247" s="105"/>
      <c r="T247" s="105"/>
      <c r="U247" s="105"/>
      <c r="V247" s="105"/>
      <c r="W247" s="105" t="s">
        <v>80</v>
      </c>
      <c r="X247" s="105"/>
      <c r="Y247" s="105"/>
    </row>
    <row r="248" spans="1:25" s="99" customFormat="1" ht="26.25" customHeight="1">
      <c r="A248" s="100">
        <v>3989</v>
      </c>
      <c r="B248" s="101" t="s">
        <v>11</v>
      </c>
      <c r="C248" s="105" t="s">
        <v>52</v>
      </c>
      <c r="D248" s="105" t="s">
        <v>545</v>
      </c>
      <c r="E248" s="105" t="s">
        <v>44</v>
      </c>
      <c r="F248" s="101" t="str">
        <f t="shared" si="9"/>
        <v>-</v>
      </c>
      <c r="G248" s="106" t="s">
        <v>53</v>
      </c>
      <c r="H248" s="105"/>
      <c r="I248" s="106" t="s">
        <v>546</v>
      </c>
      <c r="J248" s="107" t="s">
        <v>54</v>
      </c>
      <c r="K248" s="108"/>
      <c r="L248" s="106"/>
      <c r="M248" s="110"/>
      <c r="N248" s="105" t="s">
        <v>78</v>
      </c>
      <c r="O248" s="105" t="str">
        <f t="shared" si="10"/>
        <v/>
      </c>
      <c r="P248" s="105"/>
      <c r="Q248" s="105" t="s">
        <v>77</v>
      </c>
      <c r="R248" s="105" t="s">
        <v>77</v>
      </c>
      <c r="S248" s="105"/>
      <c r="T248" s="105"/>
      <c r="U248" s="105"/>
      <c r="V248" s="105"/>
      <c r="W248" s="105" t="s">
        <v>80</v>
      </c>
      <c r="X248" s="105"/>
      <c r="Y248" s="105"/>
    </row>
    <row r="249" spans="1:25" s="99" customFormat="1" ht="26.25" customHeight="1">
      <c r="A249" s="100">
        <v>3990</v>
      </c>
      <c r="B249" s="101" t="s">
        <v>11</v>
      </c>
      <c r="C249" s="105" t="s">
        <v>52</v>
      </c>
      <c r="D249" s="105" t="s">
        <v>547</v>
      </c>
      <c r="E249" s="105" t="s">
        <v>44</v>
      </c>
      <c r="F249" s="101" t="str">
        <f t="shared" si="9"/>
        <v>-</v>
      </c>
      <c r="G249" s="106" t="s">
        <v>53</v>
      </c>
      <c r="H249" s="105"/>
      <c r="I249" s="106" t="s">
        <v>548</v>
      </c>
      <c r="J249" s="107" t="s">
        <v>54</v>
      </c>
      <c r="K249" s="108"/>
      <c r="L249" s="106"/>
      <c r="M249" s="110"/>
      <c r="N249" s="105" t="s">
        <v>78</v>
      </c>
      <c r="O249" s="105" t="str">
        <f t="shared" si="10"/>
        <v/>
      </c>
      <c r="P249" s="105"/>
      <c r="Q249" s="105" t="s">
        <v>77</v>
      </c>
      <c r="R249" s="105" t="s">
        <v>77</v>
      </c>
      <c r="S249" s="105"/>
      <c r="T249" s="105"/>
      <c r="U249" s="105"/>
      <c r="V249" s="105"/>
      <c r="W249" s="105" t="s">
        <v>80</v>
      </c>
      <c r="X249" s="105"/>
      <c r="Y249" s="105"/>
    </row>
    <row r="250" spans="1:25" s="99" customFormat="1" ht="26.25" customHeight="1">
      <c r="A250" s="100">
        <v>3991</v>
      </c>
      <c r="B250" s="101" t="s">
        <v>11</v>
      </c>
      <c r="C250" s="105" t="s">
        <v>52</v>
      </c>
      <c r="D250" s="105" t="s">
        <v>549</v>
      </c>
      <c r="E250" s="105" t="s">
        <v>44</v>
      </c>
      <c r="F250" s="101" t="str">
        <f t="shared" si="9"/>
        <v>-</v>
      </c>
      <c r="G250" s="106" t="s">
        <v>53</v>
      </c>
      <c r="H250" s="105"/>
      <c r="I250" s="106" t="s">
        <v>550</v>
      </c>
      <c r="J250" s="107" t="s">
        <v>54</v>
      </c>
      <c r="K250" s="108"/>
      <c r="L250" s="106"/>
      <c r="M250" s="110"/>
      <c r="N250" s="105" t="s">
        <v>78</v>
      </c>
      <c r="O250" s="105" t="str">
        <f t="shared" si="10"/>
        <v/>
      </c>
      <c r="P250" s="105"/>
      <c r="Q250" s="105" t="s">
        <v>77</v>
      </c>
      <c r="R250" s="105" t="s">
        <v>77</v>
      </c>
      <c r="S250" s="105"/>
      <c r="T250" s="105"/>
      <c r="U250" s="105"/>
      <c r="V250" s="105"/>
      <c r="W250" s="105" t="s">
        <v>80</v>
      </c>
      <c r="X250" s="105"/>
      <c r="Y250" s="105"/>
    </row>
    <row r="251" spans="1:25" s="99" customFormat="1" ht="26.25" customHeight="1">
      <c r="A251" s="100">
        <v>3992</v>
      </c>
      <c r="B251" s="101" t="s">
        <v>11</v>
      </c>
      <c r="C251" s="105" t="s">
        <v>52</v>
      </c>
      <c r="D251" s="105" t="s">
        <v>551</v>
      </c>
      <c r="E251" s="105" t="s">
        <v>44</v>
      </c>
      <c r="F251" s="101" t="str">
        <f t="shared" si="9"/>
        <v>-</v>
      </c>
      <c r="G251" s="106" t="s">
        <v>53</v>
      </c>
      <c r="H251" s="105"/>
      <c r="I251" s="106" t="s">
        <v>552</v>
      </c>
      <c r="J251" s="107" t="s">
        <v>54</v>
      </c>
      <c r="K251" s="108"/>
      <c r="L251" s="106"/>
      <c r="M251" s="110"/>
      <c r="N251" s="105" t="s">
        <v>78</v>
      </c>
      <c r="O251" s="105" t="str">
        <f t="shared" si="10"/>
        <v/>
      </c>
      <c r="P251" s="105"/>
      <c r="Q251" s="105" t="s">
        <v>77</v>
      </c>
      <c r="R251" s="105" t="s">
        <v>77</v>
      </c>
      <c r="S251" s="105"/>
      <c r="T251" s="105"/>
      <c r="U251" s="105"/>
      <c r="V251" s="105"/>
      <c r="W251" s="105" t="s">
        <v>80</v>
      </c>
      <c r="X251" s="105"/>
      <c r="Y251" s="105"/>
    </row>
    <row r="252" spans="1:25" s="99" customFormat="1" ht="26.25" customHeight="1">
      <c r="A252" s="100">
        <v>3993</v>
      </c>
      <c r="B252" s="101" t="s">
        <v>11</v>
      </c>
      <c r="C252" s="105" t="s">
        <v>52</v>
      </c>
      <c r="D252" s="105" t="s">
        <v>553</v>
      </c>
      <c r="E252" s="105" t="s">
        <v>44</v>
      </c>
      <c r="F252" s="101" t="str">
        <f t="shared" si="9"/>
        <v>-</v>
      </c>
      <c r="G252" s="106" t="s">
        <v>53</v>
      </c>
      <c r="H252" s="105"/>
      <c r="I252" s="106" t="s">
        <v>554</v>
      </c>
      <c r="J252" s="107" t="s">
        <v>54</v>
      </c>
      <c r="K252" s="108"/>
      <c r="L252" s="106"/>
      <c r="M252" s="110"/>
      <c r="N252" s="105" t="s">
        <v>78</v>
      </c>
      <c r="O252" s="105" t="str">
        <f t="shared" si="10"/>
        <v/>
      </c>
      <c r="P252" s="105"/>
      <c r="Q252" s="105" t="s">
        <v>77</v>
      </c>
      <c r="R252" s="105" t="s">
        <v>77</v>
      </c>
      <c r="S252" s="105"/>
      <c r="T252" s="105"/>
      <c r="U252" s="105"/>
      <c r="V252" s="105"/>
      <c r="W252" s="105" t="s">
        <v>80</v>
      </c>
      <c r="X252" s="105"/>
      <c r="Y252" s="105"/>
    </row>
    <row r="253" spans="1:25" s="99" customFormat="1" ht="26.25" customHeight="1">
      <c r="A253" s="100">
        <v>3994</v>
      </c>
      <c r="B253" s="101" t="s">
        <v>11</v>
      </c>
      <c r="C253" s="105" t="s">
        <v>52</v>
      </c>
      <c r="D253" s="105" t="s">
        <v>555</v>
      </c>
      <c r="E253" s="105" t="s">
        <v>44</v>
      </c>
      <c r="F253" s="101" t="str">
        <f t="shared" si="9"/>
        <v>-</v>
      </c>
      <c r="G253" s="106" t="s">
        <v>53</v>
      </c>
      <c r="H253" s="105"/>
      <c r="I253" s="106" t="s">
        <v>556</v>
      </c>
      <c r="J253" s="107" t="s">
        <v>54</v>
      </c>
      <c r="K253" s="108"/>
      <c r="L253" s="106"/>
      <c r="M253" s="110"/>
      <c r="N253" s="105" t="s">
        <v>78</v>
      </c>
      <c r="O253" s="105" t="str">
        <f t="shared" si="10"/>
        <v/>
      </c>
      <c r="P253" s="105"/>
      <c r="Q253" s="105" t="s">
        <v>77</v>
      </c>
      <c r="R253" s="105" t="s">
        <v>77</v>
      </c>
      <c r="S253" s="105"/>
      <c r="T253" s="105"/>
      <c r="U253" s="105"/>
      <c r="V253" s="105"/>
      <c r="W253" s="105" t="s">
        <v>80</v>
      </c>
      <c r="X253" s="105"/>
      <c r="Y253" s="105"/>
    </row>
    <row r="254" spans="1:25" s="99" customFormat="1" ht="26.25" customHeight="1">
      <c r="A254" s="100">
        <v>3995</v>
      </c>
      <c r="B254" s="101" t="s">
        <v>11</v>
      </c>
      <c r="C254" s="105" t="s">
        <v>52</v>
      </c>
      <c r="D254" s="105" t="s">
        <v>557</v>
      </c>
      <c r="E254" s="105" t="s">
        <v>44</v>
      </c>
      <c r="F254" s="101" t="str">
        <f t="shared" si="9"/>
        <v>-</v>
      </c>
      <c r="G254" s="106" t="s">
        <v>53</v>
      </c>
      <c r="H254" s="105"/>
      <c r="I254" s="106" t="s">
        <v>558</v>
      </c>
      <c r="J254" s="107" t="s">
        <v>54</v>
      </c>
      <c r="K254" s="108"/>
      <c r="L254" s="106"/>
      <c r="M254" s="110"/>
      <c r="N254" s="105" t="s">
        <v>78</v>
      </c>
      <c r="O254" s="105" t="str">
        <f t="shared" si="10"/>
        <v/>
      </c>
      <c r="P254" s="105"/>
      <c r="Q254" s="105" t="s">
        <v>77</v>
      </c>
      <c r="R254" s="105" t="s">
        <v>77</v>
      </c>
      <c r="S254" s="105"/>
      <c r="T254" s="105"/>
      <c r="U254" s="105"/>
      <c r="V254" s="105"/>
      <c r="W254" s="105" t="s">
        <v>80</v>
      </c>
      <c r="X254" s="105"/>
      <c r="Y254" s="105"/>
    </row>
    <row r="255" spans="1:25" s="99" customFormat="1" ht="26.25" customHeight="1">
      <c r="A255" s="100">
        <v>3996</v>
      </c>
      <c r="B255" s="101" t="s">
        <v>11</v>
      </c>
      <c r="C255" s="105" t="s">
        <v>52</v>
      </c>
      <c r="D255" s="105" t="s">
        <v>559</v>
      </c>
      <c r="E255" s="105" t="s">
        <v>44</v>
      </c>
      <c r="F255" s="101" t="str">
        <f t="shared" si="9"/>
        <v>-</v>
      </c>
      <c r="G255" s="106" t="s">
        <v>53</v>
      </c>
      <c r="H255" s="105"/>
      <c r="I255" s="106" t="s">
        <v>560</v>
      </c>
      <c r="J255" s="107" t="s">
        <v>54</v>
      </c>
      <c r="K255" s="108"/>
      <c r="L255" s="106"/>
      <c r="M255" s="110"/>
      <c r="N255" s="105" t="s">
        <v>78</v>
      </c>
      <c r="O255" s="105" t="str">
        <f t="shared" si="10"/>
        <v/>
      </c>
      <c r="P255" s="105"/>
      <c r="Q255" s="105" t="s">
        <v>77</v>
      </c>
      <c r="R255" s="105" t="s">
        <v>77</v>
      </c>
      <c r="S255" s="105"/>
      <c r="T255" s="105"/>
      <c r="U255" s="105"/>
      <c r="V255" s="105"/>
      <c r="W255" s="105" t="s">
        <v>80</v>
      </c>
      <c r="X255" s="105"/>
      <c r="Y255" s="105"/>
    </row>
    <row r="256" spans="1:25" s="99" customFormat="1" ht="26.25" customHeight="1">
      <c r="A256" s="100">
        <v>3997</v>
      </c>
      <c r="B256" s="101" t="s">
        <v>11</v>
      </c>
      <c r="C256" s="105" t="s">
        <v>52</v>
      </c>
      <c r="D256" s="105" t="s">
        <v>561</v>
      </c>
      <c r="E256" s="105" t="s">
        <v>44</v>
      </c>
      <c r="F256" s="101" t="str">
        <f t="shared" si="9"/>
        <v>-</v>
      </c>
      <c r="G256" s="106" t="s">
        <v>53</v>
      </c>
      <c r="H256" s="105"/>
      <c r="I256" s="106" t="s">
        <v>562</v>
      </c>
      <c r="J256" s="107" t="s">
        <v>54</v>
      </c>
      <c r="K256" s="108"/>
      <c r="L256" s="106"/>
      <c r="M256" s="110"/>
      <c r="N256" s="105" t="s">
        <v>78</v>
      </c>
      <c r="O256" s="105" t="str">
        <f t="shared" si="10"/>
        <v/>
      </c>
      <c r="P256" s="105"/>
      <c r="Q256" s="105" t="s">
        <v>77</v>
      </c>
      <c r="R256" s="105" t="s">
        <v>77</v>
      </c>
      <c r="S256" s="105"/>
      <c r="T256" s="105"/>
      <c r="U256" s="105"/>
      <c r="V256" s="105"/>
      <c r="W256" s="105" t="s">
        <v>80</v>
      </c>
      <c r="X256" s="105"/>
      <c r="Y256" s="105"/>
    </row>
    <row r="257" spans="1:25" s="99" customFormat="1" ht="26.25" customHeight="1">
      <c r="A257" s="100">
        <v>3998</v>
      </c>
      <c r="B257" s="101" t="s">
        <v>11</v>
      </c>
      <c r="C257" s="105" t="s">
        <v>52</v>
      </c>
      <c r="D257" s="105" t="s">
        <v>563</v>
      </c>
      <c r="E257" s="105" t="s">
        <v>44</v>
      </c>
      <c r="F257" s="101" t="str">
        <f t="shared" si="9"/>
        <v>-</v>
      </c>
      <c r="G257" s="106" t="s">
        <v>53</v>
      </c>
      <c r="H257" s="105"/>
      <c r="I257" s="106" t="s">
        <v>564</v>
      </c>
      <c r="J257" s="107" t="s">
        <v>54</v>
      </c>
      <c r="K257" s="108"/>
      <c r="L257" s="106"/>
      <c r="M257" s="110"/>
      <c r="N257" s="105" t="s">
        <v>78</v>
      </c>
      <c r="O257" s="105" t="str">
        <f t="shared" si="10"/>
        <v/>
      </c>
      <c r="P257" s="105"/>
      <c r="Q257" s="105" t="s">
        <v>77</v>
      </c>
      <c r="R257" s="105" t="s">
        <v>77</v>
      </c>
      <c r="S257" s="105"/>
      <c r="T257" s="105"/>
      <c r="U257" s="105"/>
      <c r="V257" s="105"/>
      <c r="W257" s="105" t="s">
        <v>80</v>
      </c>
      <c r="X257" s="105"/>
      <c r="Y257" s="105"/>
    </row>
    <row r="258" spans="1:25" s="99" customFormat="1" ht="26.25" customHeight="1">
      <c r="A258" s="100">
        <v>3999</v>
      </c>
      <c r="B258" s="101" t="s">
        <v>11</v>
      </c>
      <c r="C258" s="105" t="s">
        <v>52</v>
      </c>
      <c r="D258" s="105" t="s">
        <v>565</v>
      </c>
      <c r="E258" s="105" t="s">
        <v>44</v>
      </c>
      <c r="F258" s="101" t="str">
        <f t="shared" si="9"/>
        <v>-</v>
      </c>
      <c r="G258" s="106" t="s">
        <v>53</v>
      </c>
      <c r="H258" s="105"/>
      <c r="I258" s="106" t="s">
        <v>566</v>
      </c>
      <c r="J258" s="107" t="s">
        <v>54</v>
      </c>
      <c r="K258" s="108"/>
      <c r="L258" s="106"/>
      <c r="M258" s="110"/>
      <c r="N258" s="105" t="s">
        <v>78</v>
      </c>
      <c r="O258" s="105" t="str">
        <f t="shared" si="10"/>
        <v/>
      </c>
      <c r="P258" s="105"/>
      <c r="Q258" s="105" t="s">
        <v>77</v>
      </c>
      <c r="R258" s="105" t="s">
        <v>77</v>
      </c>
      <c r="S258" s="105"/>
      <c r="T258" s="105"/>
      <c r="U258" s="105"/>
      <c r="V258" s="105"/>
      <c r="W258" s="105" t="s">
        <v>80</v>
      </c>
      <c r="X258" s="105"/>
      <c r="Y258" s="105"/>
    </row>
    <row r="259" spans="1:25" s="99" customFormat="1" ht="26.25" customHeight="1">
      <c r="A259" s="100">
        <v>4000</v>
      </c>
      <c r="B259" s="101" t="s">
        <v>11</v>
      </c>
      <c r="C259" s="105" t="s">
        <v>52</v>
      </c>
      <c r="D259" s="105" t="s">
        <v>567</v>
      </c>
      <c r="E259" s="105" t="s">
        <v>44</v>
      </c>
      <c r="F259" s="101" t="str">
        <f t="shared" si="9"/>
        <v>-</v>
      </c>
      <c r="G259" s="106" t="s">
        <v>53</v>
      </c>
      <c r="H259" s="105"/>
      <c r="I259" s="106" t="s">
        <v>568</v>
      </c>
      <c r="J259" s="107" t="s">
        <v>54</v>
      </c>
      <c r="K259" s="108"/>
      <c r="L259" s="106"/>
      <c r="M259" s="110"/>
      <c r="N259" s="105" t="s">
        <v>78</v>
      </c>
      <c r="O259" s="105" t="str">
        <f t="shared" si="10"/>
        <v/>
      </c>
      <c r="P259" s="105"/>
      <c r="Q259" s="105" t="s">
        <v>77</v>
      </c>
      <c r="R259" s="105" t="s">
        <v>77</v>
      </c>
      <c r="S259" s="105"/>
      <c r="T259" s="105"/>
      <c r="U259" s="105"/>
      <c r="V259" s="105"/>
      <c r="W259" s="105" t="s">
        <v>80</v>
      </c>
      <c r="X259" s="105"/>
      <c r="Y259" s="105"/>
    </row>
    <row r="260" spans="1:25" s="99" customFormat="1" ht="26.25" customHeight="1">
      <c r="A260" s="100">
        <v>4001</v>
      </c>
      <c r="B260" s="101" t="s">
        <v>11</v>
      </c>
      <c r="C260" s="105" t="s">
        <v>52</v>
      </c>
      <c r="D260" s="105" t="s">
        <v>569</v>
      </c>
      <c r="E260" s="105" t="s">
        <v>44</v>
      </c>
      <c r="F260" s="101" t="str">
        <f t="shared" si="9"/>
        <v>-</v>
      </c>
      <c r="G260" s="106" t="s">
        <v>53</v>
      </c>
      <c r="H260" s="105"/>
      <c r="I260" s="106" t="s">
        <v>570</v>
      </c>
      <c r="J260" s="107" t="s">
        <v>54</v>
      </c>
      <c r="K260" s="108"/>
      <c r="L260" s="106"/>
      <c r="M260" s="110"/>
      <c r="N260" s="105" t="s">
        <v>78</v>
      </c>
      <c r="O260" s="105" t="str">
        <f t="shared" si="10"/>
        <v/>
      </c>
      <c r="P260" s="105"/>
      <c r="Q260" s="105" t="s">
        <v>77</v>
      </c>
      <c r="R260" s="105" t="s">
        <v>77</v>
      </c>
      <c r="S260" s="105"/>
      <c r="T260" s="105"/>
      <c r="U260" s="105"/>
      <c r="V260" s="105"/>
      <c r="W260" s="105" t="s">
        <v>80</v>
      </c>
      <c r="X260" s="105"/>
      <c r="Y260" s="105"/>
    </row>
    <row r="261" spans="1:25" s="99" customFormat="1" ht="26.25" customHeight="1">
      <c r="A261" s="100">
        <v>4002</v>
      </c>
      <c r="B261" s="101" t="s">
        <v>11</v>
      </c>
      <c r="C261" s="105" t="s">
        <v>52</v>
      </c>
      <c r="D261" s="105" t="s">
        <v>571</v>
      </c>
      <c r="E261" s="105" t="s">
        <v>44</v>
      </c>
      <c r="F261" s="101" t="str">
        <f t="shared" si="9"/>
        <v>-</v>
      </c>
      <c r="G261" s="106" t="s">
        <v>53</v>
      </c>
      <c r="H261" s="105"/>
      <c r="I261" s="106" t="s">
        <v>572</v>
      </c>
      <c r="J261" s="107" t="s">
        <v>54</v>
      </c>
      <c r="K261" s="108"/>
      <c r="L261" s="106"/>
      <c r="M261" s="110"/>
      <c r="N261" s="105" t="s">
        <v>78</v>
      </c>
      <c r="O261" s="105" t="str">
        <f t="shared" si="10"/>
        <v/>
      </c>
      <c r="P261" s="105"/>
      <c r="Q261" s="105" t="s">
        <v>77</v>
      </c>
      <c r="R261" s="105" t="s">
        <v>77</v>
      </c>
      <c r="S261" s="105"/>
      <c r="T261" s="105"/>
      <c r="U261" s="105"/>
      <c r="V261" s="105"/>
      <c r="W261" s="105" t="s">
        <v>80</v>
      </c>
      <c r="X261" s="105"/>
      <c r="Y261" s="105"/>
    </row>
    <row r="262" spans="1:25" s="99" customFormat="1" ht="26.25" customHeight="1">
      <c r="A262" s="100">
        <v>4003</v>
      </c>
      <c r="B262" s="101" t="s">
        <v>11</v>
      </c>
      <c r="C262" s="105" t="s">
        <v>52</v>
      </c>
      <c r="D262" s="105" t="s">
        <v>573</v>
      </c>
      <c r="E262" s="105" t="s">
        <v>44</v>
      </c>
      <c r="F262" s="101" t="str">
        <f t="shared" si="9"/>
        <v>-</v>
      </c>
      <c r="G262" s="106" t="s">
        <v>53</v>
      </c>
      <c r="H262" s="105"/>
      <c r="I262" s="106" t="s">
        <v>574</v>
      </c>
      <c r="J262" s="107" t="s">
        <v>54</v>
      </c>
      <c r="K262" s="108"/>
      <c r="L262" s="106"/>
      <c r="M262" s="110"/>
      <c r="N262" s="105" t="s">
        <v>78</v>
      </c>
      <c r="O262" s="105" t="str">
        <f t="shared" si="10"/>
        <v/>
      </c>
      <c r="P262" s="105"/>
      <c r="Q262" s="105" t="s">
        <v>77</v>
      </c>
      <c r="R262" s="105" t="s">
        <v>77</v>
      </c>
      <c r="S262" s="105"/>
      <c r="T262" s="105"/>
      <c r="U262" s="105"/>
      <c r="V262" s="105"/>
      <c r="W262" s="105" t="s">
        <v>80</v>
      </c>
      <c r="X262" s="105"/>
      <c r="Y262" s="105"/>
    </row>
    <row r="263" spans="1:25" s="99" customFormat="1" ht="26.25" customHeight="1">
      <c r="A263" s="100">
        <v>4004</v>
      </c>
      <c r="B263" s="101" t="s">
        <v>11</v>
      </c>
      <c r="C263" s="105" t="s">
        <v>52</v>
      </c>
      <c r="D263" s="105" t="s">
        <v>575</v>
      </c>
      <c r="E263" s="105" t="s">
        <v>44</v>
      </c>
      <c r="F263" s="101" t="str">
        <f t="shared" si="9"/>
        <v>-</v>
      </c>
      <c r="G263" s="106" t="s">
        <v>53</v>
      </c>
      <c r="H263" s="105"/>
      <c r="I263" s="106" t="s">
        <v>576</v>
      </c>
      <c r="J263" s="107" t="s">
        <v>54</v>
      </c>
      <c r="K263" s="108"/>
      <c r="L263" s="106"/>
      <c r="M263" s="110"/>
      <c r="N263" s="105" t="s">
        <v>78</v>
      </c>
      <c r="O263" s="105" t="str">
        <f t="shared" si="10"/>
        <v/>
      </c>
      <c r="P263" s="105"/>
      <c r="Q263" s="105" t="s">
        <v>77</v>
      </c>
      <c r="R263" s="105" t="s">
        <v>77</v>
      </c>
      <c r="S263" s="105"/>
      <c r="T263" s="105"/>
      <c r="U263" s="105"/>
      <c r="V263" s="105"/>
      <c r="W263" s="105" t="s">
        <v>80</v>
      </c>
      <c r="X263" s="105"/>
      <c r="Y263" s="105"/>
    </row>
    <row r="264" spans="1:25" s="99" customFormat="1" ht="26.25" customHeight="1">
      <c r="A264" s="100">
        <v>4005</v>
      </c>
      <c r="B264" s="101" t="s">
        <v>11</v>
      </c>
      <c r="C264" s="105" t="s">
        <v>52</v>
      </c>
      <c r="D264" s="105" t="s">
        <v>577</v>
      </c>
      <c r="E264" s="105" t="s">
        <v>44</v>
      </c>
      <c r="F264" s="101" t="str">
        <f t="shared" si="9"/>
        <v>-</v>
      </c>
      <c r="G264" s="106" t="s">
        <v>53</v>
      </c>
      <c r="H264" s="105"/>
      <c r="I264" s="106" t="s">
        <v>578</v>
      </c>
      <c r="J264" s="107" t="s">
        <v>54</v>
      </c>
      <c r="K264" s="108"/>
      <c r="L264" s="106"/>
      <c r="M264" s="110"/>
      <c r="N264" s="105" t="s">
        <v>78</v>
      </c>
      <c r="O264" s="105" t="str">
        <f t="shared" si="10"/>
        <v/>
      </c>
      <c r="P264" s="105"/>
      <c r="Q264" s="105" t="s">
        <v>77</v>
      </c>
      <c r="R264" s="105" t="s">
        <v>77</v>
      </c>
      <c r="S264" s="105"/>
      <c r="T264" s="105"/>
      <c r="U264" s="105"/>
      <c r="V264" s="105"/>
      <c r="W264" s="105" t="s">
        <v>80</v>
      </c>
      <c r="X264" s="105"/>
      <c r="Y264" s="105"/>
    </row>
    <row r="265" spans="1:25" s="99" customFormat="1" ht="26.25" customHeight="1">
      <c r="A265" s="100">
        <v>4006</v>
      </c>
      <c r="B265" s="101" t="s">
        <v>11</v>
      </c>
      <c r="C265" s="105" t="s">
        <v>52</v>
      </c>
      <c r="D265" s="105" t="s">
        <v>579</v>
      </c>
      <c r="E265" s="105" t="s">
        <v>44</v>
      </c>
      <c r="F265" s="101" t="str">
        <f t="shared" si="9"/>
        <v>-</v>
      </c>
      <c r="G265" s="106" t="s">
        <v>53</v>
      </c>
      <c r="H265" s="105"/>
      <c r="I265" s="106" t="s">
        <v>580</v>
      </c>
      <c r="J265" s="107" t="s">
        <v>54</v>
      </c>
      <c r="K265" s="108"/>
      <c r="L265" s="106"/>
      <c r="M265" s="110"/>
      <c r="N265" s="105" t="s">
        <v>78</v>
      </c>
      <c r="O265" s="105" t="str">
        <f t="shared" si="10"/>
        <v/>
      </c>
      <c r="P265" s="105"/>
      <c r="Q265" s="105" t="s">
        <v>77</v>
      </c>
      <c r="R265" s="105" t="s">
        <v>77</v>
      </c>
      <c r="S265" s="105"/>
      <c r="T265" s="105"/>
      <c r="U265" s="105"/>
      <c r="V265" s="105"/>
      <c r="W265" s="105" t="s">
        <v>80</v>
      </c>
      <c r="X265" s="105"/>
      <c r="Y265" s="105"/>
    </row>
    <row r="266" spans="1:25" s="99" customFormat="1" ht="26.25" customHeight="1">
      <c r="A266" s="100">
        <v>4007</v>
      </c>
      <c r="B266" s="101" t="s">
        <v>11</v>
      </c>
      <c r="C266" s="105" t="s">
        <v>52</v>
      </c>
      <c r="D266" s="105" t="s">
        <v>581</v>
      </c>
      <c r="E266" s="105" t="s">
        <v>44</v>
      </c>
      <c r="F266" s="101" t="str">
        <f t="shared" si="9"/>
        <v>-</v>
      </c>
      <c r="G266" s="106" t="s">
        <v>53</v>
      </c>
      <c r="H266" s="105"/>
      <c r="I266" s="106" t="s">
        <v>582</v>
      </c>
      <c r="J266" s="107" t="s">
        <v>54</v>
      </c>
      <c r="K266" s="108"/>
      <c r="L266" s="106"/>
      <c r="M266" s="110"/>
      <c r="N266" s="105" t="s">
        <v>78</v>
      </c>
      <c r="O266" s="105" t="str">
        <f t="shared" si="10"/>
        <v/>
      </c>
      <c r="P266" s="105"/>
      <c r="Q266" s="105" t="s">
        <v>77</v>
      </c>
      <c r="R266" s="105" t="s">
        <v>77</v>
      </c>
      <c r="S266" s="105"/>
      <c r="T266" s="105"/>
      <c r="U266" s="105"/>
      <c r="V266" s="105"/>
      <c r="W266" s="105" t="s">
        <v>80</v>
      </c>
      <c r="X266" s="105"/>
      <c r="Y266" s="105"/>
    </row>
    <row r="267" spans="1:25" s="99" customFormat="1" ht="26.25" customHeight="1">
      <c r="A267" s="100">
        <v>4008</v>
      </c>
      <c r="B267" s="101" t="s">
        <v>11</v>
      </c>
      <c r="C267" s="105" t="s">
        <v>52</v>
      </c>
      <c r="D267" s="105" t="s">
        <v>583</v>
      </c>
      <c r="E267" s="105" t="s">
        <v>44</v>
      </c>
      <c r="F267" s="101" t="str">
        <f t="shared" si="9"/>
        <v>-</v>
      </c>
      <c r="G267" s="106" t="s">
        <v>53</v>
      </c>
      <c r="H267" s="105"/>
      <c r="I267" s="106" t="s">
        <v>584</v>
      </c>
      <c r="J267" s="107" t="s">
        <v>54</v>
      </c>
      <c r="K267" s="108"/>
      <c r="L267" s="106"/>
      <c r="M267" s="110"/>
      <c r="N267" s="105" t="s">
        <v>78</v>
      </c>
      <c r="O267" s="105" t="str">
        <f t="shared" si="10"/>
        <v/>
      </c>
      <c r="P267" s="105"/>
      <c r="Q267" s="105" t="s">
        <v>77</v>
      </c>
      <c r="R267" s="105" t="s">
        <v>77</v>
      </c>
      <c r="S267" s="105"/>
      <c r="T267" s="105"/>
      <c r="U267" s="105"/>
      <c r="V267" s="105"/>
      <c r="W267" s="105" t="s">
        <v>80</v>
      </c>
      <c r="X267" s="105"/>
      <c r="Y267" s="105"/>
    </row>
    <row r="268" spans="1:25" s="99" customFormat="1" ht="26.25" customHeight="1">
      <c r="A268" s="100">
        <v>4009</v>
      </c>
      <c r="B268" s="101" t="s">
        <v>11</v>
      </c>
      <c r="C268" s="105" t="s">
        <v>52</v>
      </c>
      <c r="D268" s="105" t="s">
        <v>585</v>
      </c>
      <c r="E268" s="105" t="s">
        <v>44</v>
      </c>
      <c r="F268" s="101" t="str">
        <f t="shared" si="9"/>
        <v>-</v>
      </c>
      <c r="G268" s="106" t="s">
        <v>53</v>
      </c>
      <c r="H268" s="105"/>
      <c r="I268" s="106" t="s">
        <v>586</v>
      </c>
      <c r="J268" s="107" t="s">
        <v>54</v>
      </c>
      <c r="K268" s="108"/>
      <c r="L268" s="106"/>
      <c r="M268" s="110"/>
      <c r="N268" s="105" t="s">
        <v>78</v>
      </c>
      <c r="O268" s="105" t="str">
        <f t="shared" si="10"/>
        <v/>
      </c>
      <c r="P268" s="105"/>
      <c r="Q268" s="105" t="s">
        <v>77</v>
      </c>
      <c r="R268" s="105" t="s">
        <v>77</v>
      </c>
      <c r="S268" s="105"/>
      <c r="T268" s="105"/>
      <c r="U268" s="105"/>
      <c r="V268" s="105"/>
      <c r="W268" s="105" t="s">
        <v>80</v>
      </c>
      <c r="X268" s="105"/>
      <c r="Y268" s="105"/>
    </row>
    <row r="269" spans="1:25" s="99" customFormat="1" ht="26.25" customHeight="1">
      <c r="A269" s="100">
        <v>4010</v>
      </c>
      <c r="B269" s="101" t="s">
        <v>11</v>
      </c>
      <c r="C269" s="105" t="s">
        <v>52</v>
      </c>
      <c r="D269" s="105" t="s">
        <v>587</v>
      </c>
      <c r="E269" s="105" t="s">
        <v>44</v>
      </c>
      <c r="F269" s="101" t="str">
        <f t="shared" si="9"/>
        <v>-</v>
      </c>
      <c r="G269" s="106" t="s">
        <v>53</v>
      </c>
      <c r="H269" s="105"/>
      <c r="I269" s="106" t="s">
        <v>588</v>
      </c>
      <c r="J269" s="107" t="s">
        <v>54</v>
      </c>
      <c r="K269" s="108"/>
      <c r="L269" s="106"/>
      <c r="M269" s="110"/>
      <c r="N269" s="105" t="s">
        <v>78</v>
      </c>
      <c r="O269" s="105" t="str">
        <f t="shared" si="10"/>
        <v/>
      </c>
      <c r="P269" s="105"/>
      <c r="Q269" s="105" t="s">
        <v>77</v>
      </c>
      <c r="R269" s="105" t="s">
        <v>77</v>
      </c>
      <c r="S269" s="105"/>
      <c r="T269" s="105"/>
      <c r="U269" s="105"/>
      <c r="V269" s="105"/>
      <c r="W269" s="105" t="s">
        <v>80</v>
      </c>
      <c r="X269" s="105"/>
      <c r="Y269" s="105"/>
    </row>
    <row r="270" spans="1:25" s="99" customFormat="1" ht="26.25" customHeight="1">
      <c r="A270" s="100">
        <v>4011</v>
      </c>
      <c r="B270" s="101" t="s">
        <v>11</v>
      </c>
      <c r="C270" s="105" t="s">
        <v>52</v>
      </c>
      <c r="D270" s="105" t="s">
        <v>589</v>
      </c>
      <c r="E270" s="105" t="s">
        <v>44</v>
      </c>
      <c r="F270" s="101" t="str">
        <f t="shared" si="9"/>
        <v>-</v>
      </c>
      <c r="G270" s="106" t="s">
        <v>53</v>
      </c>
      <c r="H270" s="105"/>
      <c r="I270" s="106" t="s">
        <v>590</v>
      </c>
      <c r="J270" s="107" t="s">
        <v>54</v>
      </c>
      <c r="K270" s="108"/>
      <c r="L270" s="106"/>
      <c r="M270" s="110"/>
      <c r="N270" s="105" t="s">
        <v>78</v>
      </c>
      <c r="O270" s="105" t="str">
        <f t="shared" si="10"/>
        <v/>
      </c>
      <c r="P270" s="105"/>
      <c r="Q270" s="105" t="s">
        <v>77</v>
      </c>
      <c r="R270" s="105" t="s">
        <v>77</v>
      </c>
      <c r="S270" s="105"/>
      <c r="T270" s="105"/>
      <c r="U270" s="105"/>
      <c r="V270" s="105"/>
      <c r="W270" s="105" t="s">
        <v>80</v>
      </c>
      <c r="X270" s="105"/>
      <c r="Y270" s="105"/>
    </row>
    <row r="271" spans="1:25" s="99" customFormat="1" ht="26.25" customHeight="1">
      <c r="A271" s="100">
        <v>4012</v>
      </c>
      <c r="B271" s="101" t="s">
        <v>11</v>
      </c>
      <c r="C271" s="105" t="s">
        <v>52</v>
      </c>
      <c r="D271" s="105" t="s">
        <v>591</v>
      </c>
      <c r="E271" s="105" t="s">
        <v>44</v>
      </c>
      <c r="F271" s="101" t="str">
        <f t="shared" si="9"/>
        <v>-</v>
      </c>
      <c r="G271" s="106" t="s">
        <v>53</v>
      </c>
      <c r="H271" s="105"/>
      <c r="I271" s="106" t="s">
        <v>592</v>
      </c>
      <c r="J271" s="107" t="s">
        <v>54</v>
      </c>
      <c r="K271" s="108"/>
      <c r="L271" s="106"/>
      <c r="M271" s="110"/>
      <c r="N271" s="105" t="s">
        <v>78</v>
      </c>
      <c r="O271" s="105" t="str">
        <f t="shared" si="10"/>
        <v/>
      </c>
      <c r="P271" s="105"/>
      <c r="Q271" s="105" t="s">
        <v>77</v>
      </c>
      <c r="R271" s="105" t="s">
        <v>77</v>
      </c>
      <c r="S271" s="105"/>
      <c r="T271" s="105"/>
      <c r="U271" s="105"/>
      <c r="V271" s="105"/>
      <c r="W271" s="105" t="s">
        <v>80</v>
      </c>
      <c r="X271" s="105"/>
      <c r="Y271" s="105"/>
    </row>
    <row r="272" spans="1:25" s="99" customFormat="1" ht="26.25" customHeight="1">
      <c r="A272" s="100">
        <v>4013</v>
      </c>
      <c r="B272" s="101" t="s">
        <v>11</v>
      </c>
      <c r="C272" s="105" t="s">
        <v>52</v>
      </c>
      <c r="D272" s="105" t="s">
        <v>593</v>
      </c>
      <c r="E272" s="105" t="s">
        <v>44</v>
      </c>
      <c r="F272" s="101" t="str">
        <f t="shared" si="9"/>
        <v>-</v>
      </c>
      <c r="G272" s="106" t="s">
        <v>53</v>
      </c>
      <c r="H272" s="105"/>
      <c r="I272" s="106" t="s">
        <v>594</v>
      </c>
      <c r="J272" s="107" t="s">
        <v>54</v>
      </c>
      <c r="K272" s="108"/>
      <c r="L272" s="106"/>
      <c r="M272" s="110"/>
      <c r="N272" s="105" t="s">
        <v>78</v>
      </c>
      <c r="O272" s="105" t="str">
        <f t="shared" si="10"/>
        <v/>
      </c>
      <c r="P272" s="105"/>
      <c r="Q272" s="105" t="s">
        <v>77</v>
      </c>
      <c r="R272" s="105" t="s">
        <v>77</v>
      </c>
      <c r="S272" s="105"/>
      <c r="T272" s="105"/>
      <c r="U272" s="105"/>
      <c r="V272" s="105"/>
      <c r="W272" s="105" t="s">
        <v>80</v>
      </c>
      <c r="X272" s="105"/>
      <c r="Y272" s="105"/>
    </row>
    <row r="273" spans="1:25" s="99" customFormat="1" ht="26.25" customHeight="1">
      <c r="A273" s="100">
        <v>4014</v>
      </c>
      <c r="B273" s="101" t="s">
        <v>11</v>
      </c>
      <c r="C273" s="105" t="s">
        <v>52</v>
      </c>
      <c r="D273" s="105" t="s">
        <v>595</v>
      </c>
      <c r="E273" s="105" t="s">
        <v>44</v>
      </c>
      <c r="F273" s="101" t="str">
        <f t="shared" si="9"/>
        <v>-</v>
      </c>
      <c r="G273" s="106" t="s">
        <v>53</v>
      </c>
      <c r="H273" s="105"/>
      <c r="I273" s="106" t="s">
        <v>596</v>
      </c>
      <c r="J273" s="107" t="s">
        <v>54</v>
      </c>
      <c r="K273" s="108"/>
      <c r="L273" s="106"/>
      <c r="M273" s="110"/>
      <c r="N273" s="105" t="s">
        <v>78</v>
      </c>
      <c r="O273" s="105" t="str">
        <f t="shared" si="10"/>
        <v/>
      </c>
      <c r="P273" s="105"/>
      <c r="Q273" s="105" t="s">
        <v>77</v>
      </c>
      <c r="R273" s="105" t="s">
        <v>77</v>
      </c>
      <c r="S273" s="105"/>
      <c r="T273" s="105"/>
      <c r="U273" s="105"/>
      <c r="V273" s="105"/>
      <c r="W273" s="105" t="s">
        <v>80</v>
      </c>
      <c r="X273" s="105"/>
      <c r="Y273" s="105"/>
    </row>
    <row r="274" spans="1:25" s="99" customFormat="1" ht="26.25" customHeight="1">
      <c r="A274" s="100">
        <v>4015</v>
      </c>
      <c r="B274" s="101" t="s">
        <v>11</v>
      </c>
      <c r="C274" s="105" t="s">
        <v>52</v>
      </c>
      <c r="D274" s="105" t="s">
        <v>597</v>
      </c>
      <c r="E274" s="105" t="s">
        <v>44</v>
      </c>
      <c r="F274" s="101" t="str">
        <f t="shared" si="9"/>
        <v>-</v>
      </c>
      <c r="G274" s="106" t="s">
        <v>53</v>
      </c>
      <c r="H274" s="105"/>
      <c r="I274" s="106" t="s">
        <v>598</v>
      </c>
      <c r="J274" s="107" t="s">
        <v>54</v>
      </c>
      <c r="K274" s="108"/>
      <c r="L274" s="106"/>
      <c r="M274" s="110"/>
      <c r="N274" s="105" t="s">
        <v>78</v>
      </c>
      <c r="O274" s="105" t="str">
        <f t="shared" si="10"/>
        <v/>
      </c>
      <c r="P274" s="105"/>
      <c r="Q274" s="105" t="s">
        <v>77</v>
      </c>
      <c r="R274" s="105" t="s">
        <v>77</v>
      </c>
      <c r="S274" s="105"/>
      <c r="T274" s="105"/>
      <c r="U274" s="105"/>
      <c r="V274" s="105"/>
      <c r="W274" s="105" t="s">
        <v>80</v>
      </c>
      <c r="X274" s="105"/>
      <c r="Y274" s="105"/>
    </row>
    <row r="275" spans="1:25" s="99" customFormat="1" ht="26.25" customHeight="1">
      <c r="A275" s="100">
        <v>4016</v>
      </c>
      <c r="B275" s="101" t="s">
        <v>11</v>
      </c>
      <c r="C275" s="105" t="s">
        <v>52</v>
      </c>
      <c r="D275" s="105" t="s">
        <v>599</v>
      </c>
      <c r="E275" s="105" t="s">
        <v>44</v>
      </c>
      <c r="F275" s="101" t="str">
        <f t="shared" si="9"/>
        <v>-</v>
      </c>
      <c r="G275" s="106" t="s">
        <v>53</v>
      </c>
      <c r="H275" s="105"/>
      <c r="I275" s="106" t="s">
        <v>600</v>
      </c>
      <c r="J275" s="107" t="s">
        <v>54</v>
      </c>
      <c r="K275" s="108"/>
      <c r="L275" s="106"/>
      <c r="M275" s="110"/>
      <c r="N275" s="105" t="s">
        <v>78</v>
      </c>
      <c r="O275" s="105" t="str">
        <f t="shared" si="10"/>
        <v/>
      </c>
      <c r="P275" s="105"/>
      <c r="Q275" s="105" t="s">
        <v>77</v>
      </c>
      <c r="R275" s="105" t="s">
        <v>77</v>
      </c>
      <c r="S275" s="105"/>
      <c r="T275" s="105"/>
      <c r="U275" s="105"/>
      <c r="V275" s="105"/>
      <c r="W275" s="105" t="s">
        <v>80</v>
      </c>
      <c r="X275" s="105"/>
      <c r="Y275" s="105"/>
    </row>
    <row r="276" spans="1:25" s="99" customFormat="1" ht="26.25" customHeight="1">
      <c r="A276" s="100">
        <v>4017</v>
      </c>
      <c r="B276" s="101" t="s">
        <v>11</v>
      </c>
      <c r="C276" s="105" t="s">
        <v>52</v>
      </c>
      <c r="D276" s="105" t="s">
        <v>601</v>
      </c>
      <c r="E276" s="105" t="s">
        <v>44</v>
      </c>
      <c r="F276" s="101" t="str">
        <f t="shared" si="9"/>
        <v>-</v>
      </c>
      <c r="G276" s="106" t="s">
        <v>53</v>
      </c>
      <c r="H276" s="105"/>
      <c r="I276" s="106" t="s">
        <v>602</v>
      </c>
      <c r="J276" s="107" t="s">
        <v>54</v>
      </c>
      <c r="K276" s="108"/>
      <c r="L276" s="106"/>
      <c r="M276" s="110"/>
      <c r="N276" s="105" t="s">
        <v>78</v>
      </c>
      <c r="O276" s="105" t="str">
        <f t="shared" si="10"/>
        <v/>
      </c>
      <c r="P276" s="105"/>
      <c r="Q276" s="105" t="s">
        <v>77</v>
      </c>
      <c r="R276" s="105" t="s">
        <v>77</v>
      </c>
      <c r="S276" s="105"/>
      <c r="T276" s="105"/>
      <c r="U276" s="105"/>
      <c r="V276" s="105"/>
      <c r="W276" s="105" t="s">
        <v>80</v>
      </c>
      <c r="X276" s="105"/>
      <c r="Y276" s="105"/>
    </row>
    <row r="277" spans="1:25" s="99" customFormat="1" ht="26.25" customHeight="1">
      <c r="A277" s="100">
        <v>4018</v>
      </c>
      <c r="B277" s="101" t="s">
        <v>11</v>
      </c>
      <c r="C277" s="105" t="s">
        <v>52</v>
      </c>
      <c r="D277" s="105" t="s">
        <v>603</v>
      </c>
      <c r="E277" s="105" t="s">
        <v>44</v>
      </c>
      <c r="F277" s="101" t="str">
        <f t="shared" si="9"/>
        <v>-</v>
      </c>
      <c r="G277" s="106" t="s">
        <v>53</v>
      </c>
      <c r="H277" s="105"/>
      <c r="I277" s="106" t="s">
        <v>604</v>
      </c>
      <c r="J277" s="107" t="s">
        <v>54</v>
      </c>
      <c r="K277" s="108"/>
      <c r="L277" s="106"/>
      <c r="M277" s="110"/>
      <c r="N277" s="105" t="s">
        <v>78</v>
      </c>
      <c r="O277" s="105" t="str">
        <f t="shared" si="10"/>
        <v/>
      </c>
      <c r="P277" s="105"/>
      <c r="Q277" s="105" t="s">
        <v>77</v>
      </c>
      <c r="R277" s="105" t="s">
        <v>77</v>
      </c>
      <c r="S277" s="105"/>
      <c r="T277" s="105"/>
      <c r="U277" s="105"/>
      <c r="V277" s="105"/>
      <c r="W277" s="105" t="s">
        <v>80</v>
      </c>
      <c r="X277" s="105"/>
      <c r="Y277" s="105"/>
    </row>
    <row r="278" spans="1:25" s="99" customFormat="1" ht="26.25" customHeight="1">
      <c r="A278" s="100">
        <v>4019</v>
      </c>
      <c r="B278" s="101" t="s">
        <v>11</v>
      </c>
      <c r="C278" s="105" t="s">
        <v>52</v>
      </c>
      <c r="D278" s="105" t="s">
        <v>605</v>
      </c>
      <c r="E278" s="105" t="s">
        <v>44</v>
      </c>
      <c r="F278" s="101" t="str">
        <f t="shared" ref="F278:F341" si="11">IF(B278&lt;&gt;"","-","")</f>
        <v>-</v>
      </c>
      <c r="G278" s="106" t="s">
        <v>53</v>
      </c>
      <c r="H278" s="105"/>
      <c r="I278" s="106" t="s">
        <v>606</v>
      </c>
      <c r="J278" s="107" t="s">
        <v>54</v>
      </c>
      <c r="K278" s="108"/>
      <c r="L278" s="106"/>
      <c r="M278" s="110"/>
      <c r="N278" s="105" t="s">
        <v>78</v>
      </c>
      <c r="O278" s="105" t="str">
        <f t="shared" ref="O278:O341" si="12">IF(OR(R278&lt;&gt;"",Q278&lt;&gt;""),"X","")</f>
        <v/>
      </c>
      <c r="P278" s="105"/>
      <c r="Q278" s="105" t="s">
        <v>77</v>
      </c>
      <c r="R278" s="105" t="s">
        <v>77</v>
      </c>
      <c r="S278" s="105"/>
      <c r="T278" s="105"/>
      <c r="U278" s="105"/>
      <c r="V278" s="105"/>
      <c r="W278" s="105" t="s">
        <v>80</v>
      </c>
      <c r="X278" s="105"/>
      <c r="Y278" s="105"/>
    </row>
    <row r="279" spans="1:25" s="99" customFormat="1" ht="26.25" customHeight="1">
      <c r="A279" s="100">
        <v>4020</v>
      </c>
      <c r="B279" s="101" t="s">
        <v>11</v>
      </c>
      <c r="C279" s="105" t="s">
        <v>52</v>
      </c>
      <c r="D279" s="105" t="s">
        <v>607</v>
      </c>
      <c r="E279" s="105" t="s">
        <v>44</v>
      </c>
      <c r="F279" s="101" t="str">
        <f t="shared" si="11"/>
        <v>-</v>
      </c>
      <c r="G279" s="106" t="s">
        <v>53</v>
      </c>
      <c r="H279" s="105"/>
      <c r="I279" s="106" t="s">
        <v>608</v>
      </c>
      <c r="J279" s="107" t="s">
        <v>54</v>
      </c>
      <c r="K279" s="108"/>
      <c r="L279" s="106"/>
      <c r="M279" s="110"/>
      <c r="N279" s="105" t="s">
        <v>78</v>
      </c>
      <c r="O279" s="105" t="str">
        <f t="shared" si="12"/>
        <v/>
      </c>
      <c r="P279" s="105"/>
      <c r="Q279" s="105" t="s">
        <v>77</v>
      </c>
      <c r="R279" s="105" t="s">
        <v>77</v>
      </c>
      <c r="S279" s="105"/>
      <c r="T279" s="105"/>
      <c r="U279" s="105"/>
      <c r="V279" s="105"/>
      <c r="W279" s="105" t="s">
        <v>80</v>
      </c>
      <c r="X279" s="105"/>
      <c r="Y279" s="105"/>
    </row>
    <row r="280" spans="1:25" s="99" customFormat="1" ht="26.25" customHeight="1">
      <c r="A280" s="100">
        <v>4021</v>
      </c>
      <c r="B280" s="101" t="s">
        <v>11</v>
      </c>
      <c r="C280" s="105" t="s">
        <v>52</v>
      </c>
      <c r="D280" s="105" t="s">
        <v>609</v>
      </c>
      <c r="E280" s="105" t="s">
        <v>44</v>
      </c>
      <c r="F280" s="101" t="str">
        <f t="shared" si="11"/>
        <v>-</v>
      </c>
      <c r="G280" s="106" t="s">
        <v>53</v>
      </c>
      <c r="H280" s="105"/>
      <c r="I280" s="106" t="s">
        <v>610</v>
      </c>
      <c r="J280" s="107" t="s">
        <v>54</v>
      </c>
      <c r="K280" s="108"/>
      <c r="L280" s="106"/>
      <c r="M280" s="110"/>
      <c r="N280" s="105" t="s">
        <v>78</v>
      </c>
      <c r="O280" s="105" t="str">
        <f t="shared" si="12"/>
        <v/>
      </c>
      <c r="P280" s="105"/>
      <c r="Q280" s="105" t="s">
        <v>77</v>
      </c>
      <c r="R280" s="105" t="s">
        <v>77</v>
      </c>
      <c r="S280" s="105"/>
      <c r="T280" s="105"/>
      <c r="U280" s="105"/>
      <c r="V280" s="105"/>
      <c r="W280" s="105" t="s">
        <v>80</v>
      </c>
      <c r="X280" s="105"/>
      <c r="Y280" s="105"/>
    </row>
    <row r="281" spans="1:25" s="99" customFormat="1" ht="26.25" customHeight="1">
      <c r="A281" s="100">
        <v>4022</v>
      </c>
      <c r="B281" s="101" t="s">
        <v>11</v>
      </c>
      <c r="C281" s="105" t="s">
        <v>52</v>
      </c>
      <c r="D281" s="105" t="s">
        <v>611</v>
      </c>
      <c r="E281" s="105" t="s">
        <v>44</v>
      </c>
      <c r="F281" s="101" t="str">
        <f t="shared" si="11"/>
        <v>-</v>
      </c>
      <c r="G281" s="106" t="s">
        <v>53</v>
      </c>
      <c r="H281" s="105"/>
      <c r="I281" s="106" t="s">
        <v>612</v>
      </c>
      <c r="J281" s="107" t="s">
        <v>54</v>
      </c>
      <c r="K281" s="108"/>
      <c r="L281" s="106"/>
      <c r="M281" s="110"/>
      <c r="N281" s="105" t="s">
        <v>78</v>
      </c>
      <c r="O281" s="105" t="str">
        <f t="shared" si="12"/>
        <v/>
      </c>
      <c r="P281" s="105"/>
      <c r="Q281" s="105" t="s">
        <v>77</v>
      </c>
      <c r="R281" s="105" t="s">
        <v>77</v>
      </c>
      <c r="S281" s="105"/>
      <c r="T281" s="105"/>
      <c r="U281" s="105"/>
      <c r="V281" s="105"/>
      <c r="W281" s="105" t="s">
        <v>80</v>
      </c>
      <c r="X281" s="105"/>
      <c r="Y281" s="105"/>
    </row>
    <row r="282" spans="1:25" s="99" customFormat="1" ht="26.25" customHeight="1">
      <c r="A282" s="100">
        <v>4023</v>
      </c>
      <c r="B282" s="101" t="s">
        <v>11</v>
      </c>
      <c r="C282" s="105" t="s">
        <v>52</v>
      </c>
      <c r="D282" s="105" t="s">
        <v>613</v>
      </c>
      <c r="E282" s="105" t="s">
        <v>44</v>
      </c>
      <c r="F282" s="101" t="str">
        <f t="shared" si="11"/>
        <v>-</v>
      </c>
      <c r="G282" s="106" t="s">
        <v>53</v>
      </c>
      <c r="H282" s="105"/>
      <c r="I282" s="106" t="s">
        <v>614</v>
      </c>
      <c r="J282" s="107" t="s">
        <v>54</v>
      </c>
      <c r="K282" s="108"/>
      <c r="L282" s="106"/>
      <c r="M282" s="110"/>
      <c r="N282" s="105" t="s">
        <v>78</v>
      </c>
      <c r="O282" s="105" t="str">
        <f t="shared" si="12"/>
        <v/>
      </c>
      <c r="P282" s="105"/>
      <c r="Q282" s="105" t="s">
        <v>77</v>
      </c>
      <c r="R282" s="105" t="s">
        <v>77</v>
      </c>
      <c r="S282" s="105"/>
      <c r="T282" s="105"/>
      <c r="U282" s="105"/>
      <c r="V282" s="105"/>
      <c r="W282" s="105" t="s">
        <v>80</v>
      </c>
      <c r="X282" s="105"/>
      <c r="Y282" s="105"/>
    </row>
    <row r="283" spans="1:25" s="99" customFormat="1" ht="26.25" customHeight="1">
      <c r="A283" s="100">
        <v>4024</v>
      </c>
      <c r="B283" s="101" t="s">
        <v>11</v>
      </c>
      <c r="C283" s="105" t="s">
        <v>52</v>
      </c>
      <c r="D283" s="105" t="s">
        <v>615</v>
      </c>
      <c r="E283" s="105" t="s">
        <v>44</v>
      </c>
      <c r="F283" s="101" t="str">
        <f t="shared" si="11"/>
        <v>-</v>
      </c>
      <c r="G283" s="106" t="s">
        <v>53</v>
      </c>
      <c r="H283" s="105"/>
      <c r="I283" s="106" t="s">
        <v>616</v>
      </c>
      <c r="J283" s="107" t="s">
        <v>54</v>
      </c>
      <c r="K283" s="108"/>
      <c r="L283" s="106"/>
      <c r="M283" s="110"/>
      <c r="N283" s="105" t="s">
        <v>78</v>
      </c>
      <c r="O283" s="105" t="str">
        <f t="shared" si="12"/>
        <v/>
      </c>
      <c r="P283" s="105"/>
      <c r="Q283" s="105" t="s">
        <v>77</v>
      </c>
      <c r="R283" s="105" t="s">
        <v>77</v>
      </c>
      <c r="S283" s="105"/>
      <c r="T283" s="105"/>
      <c r="U283" s="105"/>
      <c r="V283" s="105"/>
      <c r="W283" s="105" t="s">
        <v>80</v>
      </c>
      <c r="X283" s="105"/>
      <c r="Y283" s="105"/>
    </row>
    <row r="284" spans="1:25" s="99" customFormat="1" ht="26.25" customHeight="1">
      <c r="A284" s="100">
        <v>4025</v>
      </c>
      <c r="B284" s="101" t="s">
        <v>11</v>
      </c>
      <c r="C284" s="105" t="s">
        <v>52</v>
      </c>
      <c r="D284" s="105" t="s">
        <v>617</v>
      </c>
      <c r="E284" s="105" t="s">
        <v>44</v>
      </c>
      <c r="F284" s="101" t="str">
        <f t="shared" si="11"/>
        <v>-</v>
      </c>
      <c r="G284" s="106" t="s">
        <v>53</v>
      </c>
      <c r="H284" s="105"/>
      <c r="I284" s="106" t="s">
        <v>618</v>
      </c>
      <c r="J284" s="107" t="s">
        <v>54</v>
      </c>
      <c r="K284" s="108"/>
      <c r="L284" s="106"/>
      <c r="M284" s="110"/>
      <c r="N284" s="105" t="s">
        <v>78</v>
      </c>
      <c r="O284" s="105" t="str">
        <f t="shared" si="12"/>
        <v/>
      </c>
      <c r="P284" s="105"/>
      <c r="Q284" s="105" t="s">
        <v>77</v>
      </c>
      <c r="R284" s="105" t="s">
        <v>77</v>
      </c>
      <c r="S284" s="105"/>
      <c r="T284" s="105"/>
      <c r="U284" s="105"/>
      <c r="V284" s="105"/>
      <c r="W284" s="105" t="s">
        <v>80</v>
      </c>
      <c r="X284" s="105"/>
      <c r="Y284" s="105"/>
    </row>
    <row r="285" spans="1:25" s="99" customFormat="1" ht="26.25" customHeight="1">
      <c r="A285" s="100">
        <v>4026</v>
      </c>
      <c r="B285" s="101" t="s">
        <v>11</v>
      </c>
      <c r="C285" s="105" t="s">
        <v>52</v>
      </c>
      <c r="D285" s="105" t="s">
        <v>619</v>
      </c>
      <c r="E285" s="105" t="s">
        <v>44</v>
      </c>
      <c r="F285" s="101" t="str">
        <f t="shared" si="11"/>
        <v>-</v>
      </c>
      <c r="G285" s="106" t="s">
        <v>53</v>
      </c>
      <c r="H285" s="105"/>
      <c r="I285" s="106" t="s">
        <v>620</v>
      </c>
      <c r="J285" s="107" t="s">
        <v>54</v>
      </c>
      <c r="K285" s="108"/>
      <c r="L285" s="106"/>
      <c r="M285" s="110"/>
      <c r="N285" s="105" t="s">
        <v>78</v>
      </c>
      <c r="O285" s="105" t="str">
        <f t="shared" si="12"/>
        <v/>
      </c>
      <c r="P285" s="105"/>
      <c r="Q285" s="105" t="s">
        <v>77</v>
      </c>
      <c r="R285" s="105" t="s">
        <v>77</v>
      </c>
      <c r="S285" s="105"/>
      <c r="T285" s="105"/>
      <c r="U285" s="105"/>
      <c r="V285" s="105"/>
      <c r="W285" s="105" t="s">
        <v>80</v>
      </c>
      <c r="X285" s="105"/>
      <c r="Y285" s="105"/>
    </row>
    <row r="286" spans="1:25" s="99" customFormat="1" ht="26.25" customHeight="1">
      <c r="A286" s="100">
        <v>4027</v>
      </c>
      <c r="B286" s="101" t="s">
        <v>11</v>
      </c>
      <c r="C286" s="105" t="s">
        <v>52</v>
      </c>
      <c r="D286" s="105" t="s">
        <v>621</v>
      </c>
      <c r="E286" s="105" t="s">
        <v>44</v>
      </c>
      <c r="F286" s="101" t="str">
        <f t="shared" si="11"/>
        <v>-</v>
      </c>
      <c r="G286" s="106" t="s">
        <v>53</v>
      </c>
      <c r="H286" s="105"/>
      <c r="I286" s="106" t="s">
        <v>622</v>
      </c>
      <c r="J286" s="107" t="s">
        <v>54</v>
      </c>
      <c r="K286" s="108"/>
      <c r="L286" s="106"/>
      <c r="M286" s="110"/>
      <c r="N286" s="105" t="s">
        <v>78</v>
      </c>
      <c r="O286" s="105" t="str">
        <f t="shared" si="12"/>
        <v/>
      </c>
      <c r="P286" s="105"/>
      <c r="Q286" s="105" t="s">
        <v>77</v>
      </c>
      <c r="R286" s="105" t="s">
        <v>77</v>
      </c>
      <c r="S286" s="105"/>
      <c r="T286" s="105"/>
      <c r="U286" s="105"/>
      <c r="V286" s="105"/>
      <c r="W286" s="105" t="s">
        <v>80</v>
      </c>
      <c r="X286" s="105"/>
      <c r="Y286" s="105"/>
    </row>
    <row r="287" spans="1:25" s="99" customFormat="1" ht="26.25" customHeight="1">
      <c r="A287" s="100">
        <v>4028</v>
      </c>
      <c r="B287" s="101" t="s">
        <v>11</v>
      </c>
      <c r="C287" s="105" t="s">
        <v>52</v>
      </c>
      <c r="D287" s="105" t="s">
        <v>623</v>
      </c>
      <c r="E287" s="105" t="s">
        <v>44</v>
      </c>
      <c r="F287" s="101" t="str">
        <f t="shared" si="11"/>
        <v>-</v>
      </c>
      <c r="G287" s="106" t="s">
        <v>53</v>
      </c>
      <c r="H287" s="105"/>
      <c r="I287" s="106" t="s">
        <v>624</v>
      </c>
      <c r="J287" s="107" t="s">
        <v>54</v>
      </c>
      <c r="K287" s="108"/>
      <c r="L287" s="106"/>
      <c r="M287" s="110"/>
      <c r="N287" s="105" t="s">
        <v>78</v>
      </c>
      <c r="O287" s="105" t="str">
        <f t="shared" si="12"/>
        <v/>
      </c>
      <c r="P287" s="105"/>
      <c r="Q287" s="105" t="s">
        <v>77</v>
      </c>
      <c r="R287" s="105" t="s">
        <v>77</v>
      </c>
      <c r="S287" s="105"/>
      <c r="T287" s="105"/>
      <c r="U287" s="105"/>
      <c r="V287" s="105"/>
      <c r="W287" s="105" t="s">
        <v>80</v>
      </c>
      <c r="X287" s="105"/>
      <c r="Y287" s="105"/>
    </row>
    <row r="288" spans="1:25" s="99" customFormat="1" ht="26.25" customHeight="1">
      <c r="A288" s="100">
        <v>4029</v>
      </c>
      <c r="B288" s="101" t="s">
        <v>11</v>
      </c>
      <c r="C288" s="105" t="s">
        <v>52</v>
      </c>
      <c r="D288" s="105" t="s">
        <v>625</v>
      </c>
      <c r="E288" s="105" t="s">
        <v>44</v>
      </c>
      <c r="F288" s="101" t="str">
        <f t="shared" si="11"/>
        <v>-</v>
      </c>
      <c r="G288" s="106" t="s">
        <v>53</v>
      </c>
      <c r="H288" s="105"/>
      <c r="I288" s="106" t="s">
        <v>626</v>
      </c>
      <c r="J288" s="107" t="s">
        <v>54</v>
      </c>
      <c r="K288" s="108"/>
      <c r="L288" s="106"/>
      <c r="M288" s="110"/>
      <c r="N288" s="105" t="s">
        <v>78</v>
      </c>
      <c r="O288" s="105" t="str">
        <f t="shared" si="12"/>
        <v/>
      </c>
      <c r="P288" s="105"/>
      <c r="Q288" s="105" t="s">
        <v>77</v>
      </c>
      <c r="R288" s="105" t="s">
        <v>77</v>
      </c>
      <c r="S288" s="105"/>
      <c r="T288" s="105"/>
      <c r="U288" s="105"/>
      <c r="V288" s="105"/>
      <c r="W288" s="105" t="s">
        <v>80</v>
      </c>
      <c r="X288" s="105"/>
      <c r="Y288" s="105"/>
    </row>
    <row r="289" spans="1:25" s="99" customFormat="1" ht="26.25" customHeight="1">
      <c r="A289" s="100">
        <v>4030</v>
      </c>
      <c r="B289" s="101" t="s">
        <v>11</v>
      </c>
      <c r="C289" s="105" t="s">
        <v>52</v>
      </c>
      <c r="D289" s="105" t="s">
        <v>627</v>
      </c>
      <c r="E289" s="105" t="s">
        <v>44</v>
      </c>
      <c r="F289" s="101" t="str">
        <f t="shared" si="11"/>
        <v>-</v>
      </c>
      <c r="G289" s="106" t="s">
        <v>53</v>
      </c>
      <c r="H289" s="105"/>
      <c r="I289" s="106" t="s">
        <v>628</v>
      </c>
      <c r="J289" s="107" t="s">
        <v>54</v>
      </c>
      <c r="K289" s="108"/>
      <c r="L289" s="106"/>
      <c r="M289" s="110"/>
      <c r="N289" s="105" t="s">
        <v>78</v>
      </c>
      <c r="O289" s="105" t="str">
        <f t="shared" si="12"/>
        <v/>
      </c>
      <c r="P289" s="105"/>
      <c r="Q289" s="105" t="s">
        <v>77</v>
      </c>
      <c r="R289" s="105" t="s">
        <v>77</v>
      </c>
      <c r="S289" s="105"/>
      <c r="T289" s="105"/>
      <c r="U289" s="105"/>
      <c r="V289" s="105"/>
      <c r="W289" s="105" t="s">
        <v>80</v>
      </c>
      <c r="X289" s="105"/>
      <c r="Y289" s="105"/>
    </row>
    <row r="290" spans="1:25" s="99" customFormat="1" ht="26.25" customHeight="1">
      <c r="A290" s="100">
        <v>4031</v>
      </c>
      <c r="B290" s="101" t="s">
        <v>11</v>
      </c>
      <c r="C290" s="105" t="s">
        <v>52</v>
      </c>
      <c r="D290" s="105" t="s">
        <v>629</v>
      </c>
      <c r="E290" s="105" t="s">
        <v>44</v>
      </c>
      <c r="F290" s="101" t="str">
        <f t="shared" si="11"/>
        <v>-</v>
      </c>
      <c r="G290" s="106" t="s">
        <v>53</v>
      </c>
      <c r="H290" s="105"/>
      <c r="I290" s="106" t="s">
        <v>630</v>
      </c>
      <c r="J290" s="107" t="s">
        <v>54</v>
      </c>
      <c r="K290" s="108"/>
      <c r="L290" s="106"/>
      <c r="M290" s="110"/>
      <c r="N290" s="105" t="s">
        <v>78</v>
      </c>
      <c r="O290" s="105" t="str">
        <f t="shared" si="12"/>
        <v/>
      </c>
      <c r="P290" s="105"/>
      <c r="Q290" s="105" t="s">
        <v>77</v>
      </c>
      <c r="R290" s="105" t="s">
        <v>77</v>
      </c>
      <c r="S290" s="105"/>
      <c r="T290" s="105"/>
      <c r="U290" s="105"/>
      <c r="V290" s="105"/>
      <c r="W290" s="105" t="s">
        <v>80</v>
      </c>
      <c r="X290" s="105"/>
      <c r="Y290" s="105"/>
    </row>
    <row r="291" spans="1:25" s="99" customFormat="1" ht="26.25" customHeight="1">
      <c r="A291" s="100">
        <v>4032</v>
      </c>
      <c r="B291" s="101" t="s">
        <v>11</v>
      </c>
      <c r="C291" s="105" t="s">
        <v>52</v>
      </c>
      <c r="D291" s="105" t="s">
        <v>631</v>
      </c>
      <c r="E291" s="105" t="s">
        <v>44</v>
      </c>
      <c r="F291" s="101" t="str">
        <f t="shared" si="11"/>
        <v>-</v>
      </c>
      <c r="G291" s="106" t="s">
        <v>53</v>
      </c>
      <c r="H291" s="105"/>
      <c r="I291" s="106" t="s">
        <v>632</v>
      </c>
      <c r="J291" s="107" t="s">
        <v>54</v>
      </c>
      <c r="K291" s="108"/>
      <c r="L291" s="106"/>
      <c r="M291" s="110"/>
      <c r="N291" s="105" t="s">
        <v>78</v>
      </c>
      <c r="O291" s="105" t="str">
        <f t="shared" si="12"/>
        <v/>
      </c>
      <c r="P291" s="105"/>
      <c r="Q291" s="105" t="s">
        <v>77</v>
      </c>
      <c r="R291" s="105" t="s">
        <v>77</v>
      </c>
      <c r="S291" s="105"/>
      <c r="T291" s="105"/>
      <c r="U291" s="105"/>
      <c r="V291" s="105"/>
      <c r="W291" s="105" t="s">
        <v>80</v>
      </c>
      <c r="X291" s="105"/>
      <c r="Y291" s="105"/>
    </row>
    <row r="292" spans="1:25" s="99" customFormat="1" ht="26.25" customHeight="1">
      <c r="A292" s="100">
        <v>4033</v>
      </c>
      <c r="B292" s="101" t="s">
        <v>11</v>
      </c>
      <c r="C292" s="105" t="s">
        <v>52</v>
      </c>
      <c r="D292" s="105" t="s">
        <v>633</v>
      </c>
      <c r="E292" s="105" t="s">
        <v>44</v>
      </c>
      <c r="F292" s="101" t="str">
        <f t="shared" si="11"/>
        <v>-</v>
      </c>
      <c r="G292" s="106" t="s">
        <v>53</v>
      </c>
      <c r="H292" s="105"/>
      <c r="I292" s="106" t="s">
        <v>634</v>
      </c>
      <c r="J292" s="107" t="s">
        <v>54</v>
      </c>
      <c r="K292" s="108"/>
      <c r="L292" s="106"/>
      <c r="M292" s="110"/>
      <c r="N292" s="105" t="s">
        <v>78</v>
      </c>
      <c r="O292" s="105" t="str">
        <f t="shared" si="12"/>
        <v/>
      </c>
      <c r="P292" s="105"/>
      <c r="Q292" s="105" t="s">
        <v>77</v>
      </c>
      <c r="R292" s="105" t="s">
        <v>77</v>
      </c>
      <c r="S292" s="105"/>
      <c r="T292" s="105"/>
      <c r="U292" s="105"/>
      <c r="V292" s="105"/>
      <c r="W292" s="105" t="s">
        <v>80</v>
      </c>
      <c r="X292" s="105"/>
      <c r="Y292" s="105"/>
    </row>
    <row r="293" spans="1:25" s="99" customFormat="1" ht="26.25" customHeight="1">
      <c r="A293" s="100">
        <v>4034</v>
      </c>
      <c r="B293" s="101" t="s">
        <v>11</v>
      </c>
      <c r="C293" s="105" t="s">
        <v>52</v>
      </c>
      <c r="D293" s="105" t="s">
        <v>635</v>
      </c>
      <c r="E293" s="105" t="s">
        <v>44</v>
      </c>
      <c r="F293" s="101" t="str">
        <f t="shared" si="11"/>
        <v>-</v>
      </c>
      <c r="G293" s="106" t="s">
        <v>53</v>
      </c>
      <c r="H293" s="105"/>
      <c r="I293" s="106" t="s">
        <v>636</v>
      </c>
      <c r="J293" s="107" t="s">
        <v>54</v>
      </c>
      <c r="K293" s="108"/>
      <c r="L293" s="106"/>
      <c r="M293" s="110"/>
      <c r="N293" s="105" t="s">
        <v>78</v>
      </c>
      <c r="O293" s="105" t="str">
        <f t="shared" si="12"/>
        <v/>
      </c>
      <c r="P293" s="105"/>
      <c r="Q293" s="105" t="s">
        <v>77</v>
      </c>
      <c r="R293" s="105" t="s">
        <v>77</v>
      </c>
      <c r="S293" s="105"/>
      <c r="T293" s="105"/>
      <c r="U293" s="105"/>
      <c r="V293" s="105"/>
      <c r="W293" s="105" t="s">
        <v>80</v>
      </c>
      <c r="X293" s="105"/>
      <c r="Y293" s="105"/>
    </row>
    <row r="294" spans="1:25" s="99" customFormat="1" ht="26.25" customHeight="1">
      <c r="A294" s="100">
        <v>4035</v>
      </c>
      <c r="B294" s="101" t="s">
        <v>11</v>
      </c>
      <c r="C294" s="105" t="s">
        <v>52</v>
      </c>
      <c r="D294" s="105" t="s">
        <v>637</v>
      </c>
      <c r="E294" s="105" t="s">
        <v>44</v>
      </c>
      <c r="F294" s="101" t="str">
        <f t="shared" si="11"/>
        <v>-</v>
      </c>
      <c r="G294" s="106" t="s">
        <v>53</v>
      </c>
      <c r="H294" s="105"/>
      <c r="I294" s="106" t="s">
        <v>638</v>
      </c>
      <c r="J294" s="107" t="s">
        <v>54</v>
      </c>
      <c r="K294" s="108"/>
      <c r="L294" s="106"/>
      <c r="M294" s="110"/>
      <c r="N294" s="105" t="s">
        <v>78</v>
      </c>
      <c r="O294" s="105" t="str">
        <f t="shared" si="12"/>
        <v/>
      </c>
      <c r="P294" s="105"/>
      <c r="Q294" s="105" t="s">
        <v>77</v>
      </c>
      <c r="R294" s="105" t="s">
        <v>77</v>
      </c>
      <c r="S294" s="105"/>
      <c r="T294" s="105"/>
      <c r="U294" s="105"/>
      <c r="V294" s="105"/>
      <c r="W294" s="105" t="s">
        <v>80</v>
      </c>
      <c r="X294" s="105"/>
      <c r="Y294" s="105"/>
    </row>
    <row r="295" spans="1:25" s="99" customFormat="1" ht="26.25" customHeight="1">
      <c r="A295" s="100">
        <v>4036</v>
      </c>
      <c r="B295" s="101" t="s">
        <v>11</v>
      </c>
      <c r="C295" s="105" t="s">
        <v>52</v>
      </c>
      <c r="D295" s="105" t="s">
        <v>639</v>
      </c>
      <c r="E295" s="105" t="s">
        <v>44</v>
      </c>
      <c r="F295" s="101" t="str">
        <f t="shared" si="11"/>
        <v>-</v>
      </c>
      <c r="G295" s="106" t="s">
        <v>53</v>
      </c>
      <c r="H295" s="105"/>
      <c r="I295" s="106" t="s">
        <v>640</v>
      </c>
      <c r="J295" s="107" t="s">
        <v>54</v>
      </c>
      <c r="K295" s="108"/>
      <c r="L295" s="106"/>
      <c r="M295" s="110"/>
      <c r="N295" s="105" t="s">
        <v>78</v>
      </c>
      <c r="O295" s="105" t="str">
        <f t="shared" si="12"/>
        <v/>
      </c>
      <c r="P295" s="105"/>
      <c r="Q295" s="105" t="s">
        <v>77</v>
      </c>
      <c r="R295" s="105" t="s">
        <v>77</v>
      </c>
      <c r="S295" s="105"/>
      <c r="T295" s="105"/>
      <c r="U295" s="105"/>
      <c r="V295" s="105"/>
      <c r="W295" s="105" t="s">
        <v>80</v>
      </c>
      <c r="X295" s="105"/>
      <c r="Y295" s="105"/>
    </row>
    <row r="296" spans="1:25" s="99" customFormat="1" ht="26.25" customHeight="1">
      <c r="A296" s="100">
        <v>4037</v>
      </c>
      <c r="B296" s="101" t="s">
        <v>11</v>
      </c>
      <c r="C296" s="105" t="s">
        <v>52</v>
      </c>
      <c r="D296" s="105" t="s">
        <v>641</v>
      </c>
      <c r="E296" s="105" t="s">
        <v>44</v>
      </c>
      <c r="F296" s="101" t="str">
        <f t="shared" si="11"/>
        <v>-</v>
      </c>
      <c r="G296" s="106" t="s">
        <v>53</v>
      </c>
      <c r="H296" s="105"/>
      <c r="I296" s="106" t="s">
        <v>642</v>
      </c>
      <c r="J296" s="107" t="s">
        <v>54</v>
      </c>
      <c r="K296" s="108"/>
      <c r="L296" s="106"/>
      <c r="M296" s="110"/>
      <c r="N296" s="105" t="s">
        <v>78</v>
      </c>
      <c r="O296" s="105" t="str">
        <f t="shared" si="12"/>
        <v/>
      </c>
      <c r="P296" s="105"/>
      <c r="Q296" s="105" t="s">
        <v>77</v>
      </c>
      <c r="R296" s="105" t="s">
        <v>77</v>
      </c>
      <c r="S296" s="105"/>
      <c r="T296" s="105"/>
      <c r="U296" s="105"/>
      <c r="V296" s="105"/>
      <c r="W296" s="105" t="s">
        <v>80</v>
      </c>
      <c r="X296" s="105"/>
      <c r="Y296" s="105"/>
    </row>
    <row r="297" spans="1:25" s="99" customFormat="1" ht="26.25" customHeight="1">
      <c r="A297" s="100">
        <v>4038</v>
      </c>
      <c r="B297" s="101" t="s">
        <v>11</v>
      </c>
      <c r="C297" s="105" t="s">
        <v>52</v>
      </c>
      <c r="D297" s="105" t="s">
        <v>643</v>
      </c>
      <c r="E297" s="105" t="s">
        <v>44</v>
      </c>
      <c r="F297" s="101" t="str">
        <f t="shared" si="11"/>
        <v>-</v>
      </c>
      <c r="G297" s="106" t="s">
        <v>53</v>
      </c>
      <c r="H297" s="105"/>
      <c r="I297" s="106" t="s">
        <v>644</v>
      </c>
      <c r="J297" s="107" t="s">
        <v>54</v>
      </c>
      <c r="K297" s="108"/>
      <c r="L297" s="106"/>
      <c r="M297" s="110"/>
      <c r="N297" s="105" t="s">
        <v>78</v>
      </c>
      <c r="O297" s="105" t="str">
        <f t="shared" si="12"/>
        <v/>
      </c>
      <c r="P297" s="105"/>
      <c r="Q297" s="105" t="s">
        <v>77</v>
      </c>
      <c r="R297" s="105" t="s">
        <v>77</v>
      </c>
      <c r="S297" s="105"/>
      <c r="T297" s="105"/>
      <c r="U297" s="105"/>
      <c r="V297" s="105"/>
      <c r="W297" s="105" t="s">
        <v>80</v>
      </c>
      <c r="X297" s="105"/>
      <c r="Y297" s="105"/>
    </row>
    <row r="298" spans="1:25" s="99" customFormat="1" ht="26.25" customHeight="1">
      <c r="A298" s="100">
        <v>4039</v>
      </c>
      <c r="B298" s="101" t="s">
        <v>11</v>
      </c>
      <c r="C298" s="105" t="s">
        <v>52</v>
      </c>
      <c r="D298" s="105" t="s">
        <v>645</v>
      </c>
      <c r="E298" s="105" t="s">
        <v>44</v>
      </c>
      <c r="F298" s="101" t="str">
        <f t="shared" si="11"/>
        <v>-</v>
      </c>
      <c r="G298" s="106" t="s">
        <v>53</v>
      </c>
      <c r="H298" s="105"/>
      <c r="I298" s="106" t="s">
        <v>646</v>
      </c>
      <c r="J298" s="107" t="s">
        <v>54</v>
      </c>
      <c r="K298" s="108"/>
      <c r="L298" s="106"/>
      <c r="M298" s="110"/>
      <c r="N298" s="105" t="s">
        <v>78</v>
      </c>
      <c r="O298" s="105" t="str">
        <f t="shared" si="12"/>
        <v/>
      </c>
      <c r="P298" s="105"/>
      <c r="Q298" s="105" t="s">
        <v>77</v>
      </c>
      <c r="R298" s="105" t="s">
        <v>77</v>
      </c>
      <c r="S298" s="105"/>
      <c r="T298" s="105"/>
      <c r="U298" s="105"/>
      <c r="V298" s="105"/>
      <c r="W298" s="105" t="s">
        <v>80</v>
      </c>
      <c r="X298" s="105"/>
      <c r="Y298" s="105"/>
    </row>
    <row r="299" spans="1:25" s="99" customFormat="1" ht="26.25" customHeight="1">
      <c r="A299" s="100">
        <v>4040</v>
      </c>
      <c r="B299" s="101" t="s">
        <v>11</v>
      </c>
      <c r="C299" s="105" t="s">
        <v>52</v>
      </c>
      <c r="D299" s="105" t="s">
        <v>647</v>
      </c>
      <c r="E299" s="105" t="s">
        <v>44</v>
      </c>
      <c r="F299" s="101" t="str">
        <f t="shared" si="11"/>
        <v>-</v>
      </c>
      <c r="G299" s="106" t="s">
        <v>53</v>
      </c>
      <c r="H299" s="105"/>
      <c r="I299" s="106" t="s">
        <v>648</v>
      </c>
      <c r="J299" s="107" t="s">
        <v>54</v>
      </c>
      <c r="K299" s="108"/>
      <c r="L299" s="106"/>
      <c r="M299" s="110"/>
      <c r="N299" s="105" t="s">
        <v>78</v>
      </c>
      <c r="O299" s="105" t="str">
        <f t="shared" si="12"/>
        <v/>
      </c>
      <c r="P299" s="105"/>
      <c r="Q299" s="105" t="s">
        <v>77</v>
      </c>
      <c r="R299" s="105" t="s">
        <v>77</v>
      </c>
      <c r="S299" s="105"/>
      <c r="T299" s="105"/>
      <c r="U299" s="105"/>
      <c r="V299" s="105"/>
      <c r="W299" s="105" t="s">
        <v>80</v>
      </c>
      <c r="X299" s="105"/>
      <c r="Y299" s="105"/>
    </row>
    <row r="300" spans="1:25" s="99" customFormat="1" ht="26.25" customHeight="1">
      <c r="A300" s="100">
        <v>4041</v>
      </c>
      <c r="B300" s="101" t="s">
        <v>11</v>
      </c>
      <c r="C300" s="105" t="s">
        <v>52</v>
      </c>
      <c r="D300" s="105" t="s">
        <v>649</v>
      </c>
      <c r="E300" s="105" t="s">
        <v>44</v>
      </c>
      <c r="F300" s="101" t="str">
        <f t="shared" si="11"/>
        <v>-</v>
      </c>
      <c r="G300" s="106" t="s">
        <v>53</v>
      </c>
      <c r="H300" s="105"/>
      <c r="I300" s="106" t="s">
        <v>650</v>
      </c>
      <c r="J300" s="107" t="s">
        <v>54</v>
      </c>
      <c r="K300" s="108"/>
      <c r="L300" s="106"/>
      <c r="M300" s="110"/>
      <c r="N300" s="105" t="s">
        <v>78</v>
      </c>
      <c r="O300" s="105" t="str">
        <f t="shared" si="12"/>
        <v/>
      </c>
      <c r="P300" s="105"/>
      <c r="Q300" s="105" t="s">
        <v>77</v>
      </c>
      <c r="R300" s="105" t="s">
        <v>77</v>
      </c>
      <c r="S300" s="105"/>
      <c r="T300" s="105"/>
      <c r="U300" s="105"/>
      <c r="V300" s="105"/>
      <c r="W300" s="105" t="s">
        <v>80</v>
      </c>
      <c r="X300" s="105"/>
      <c r="Y300" s="105"/>
    </row>
    <row r="301" spans="1:25" s="99" customFormat="1" ht="26.25" customHeight="1">
      <c r="A301" s="100">
        <v>4042</v>
      </c>
      <c r="B301" s="101" t="s">
        <v>11</v>
      </c>
      <c r="C301" s="105" t="s">
        <v>52</v>
      </c>
      <c r="D301" s="105" t="s">
        <v>651</v>
      </c>
      <c r="E301" s="105" t="s">
        <v>44</v>
      </c>
      <c r="F301" s="101" t="str">
        <f t="shared" si="11"/>
        <v>-</v>
      </c>
      <c r="G301" s="106" t="s">
        <v>53</v>
      </c>
      <c r="H301" s="105"/>
      <c r="I301" s="106" t="s">
        <v>652</v>
      </c>
      <c r="J301" s="107" t="s">
        <v>54</v>
      </c>
      <c r="K301" s="108"/>
      <c r="L301" s="106"/>
      <c r="M301" s="110"/>
      <c r="N301" s="105" t="s">
        <v>78</v>
      </c>
      <c r="O301" s="105" t="str">
        <f t="shared" si="12"/>
        <v/>
      </c>
      <c r="P301" s="105"/>
      <c r="Q301" s="105" t="s">
        <v>77</v>
      </c>
      <c r="R301" s="105" t="s">
        <v>77</v>
      </c>
      <c r="S301" s="105"/>
      <c r="T301" s="105"/>
      <c r="U301" s="105"/>
      <c r="V301" s="105"/>
      <c r="W301" s="105" t="s">
        <v>80</v>
      </c>
      <c r="X301" s="105"/>
      <c r="Y301" s="105"/>
    </row>
    <row r="302" spans="1:25" s="99" customFormat="1" ht="26.25" customHeight="1">
      <c r="A302" s="100">
        <v>4043</v>
      </c>
      <c r="B302" s="101" t="s">
        <v>11</v>
      </c>
      <c r="C302" s="105" t="s">
        <v>52</v>
      </c>
      <c r="D302" s="105" t="s">
        <v>653</v>
      </c>
      <c r="E302" s="105" t="s">
        <v>44</v>
      </c>
      <c r="F302" s="101" t="str">
        <f t="shared" si="11"/>
        <v>-</v>
      </c>
      <c r="G302" s="106" t="s">
        <v>53</v>
      </c>
      <c r="H302" s="105"/>
      <c r="I302" s="106" t="s">
        <v>654</v>
      </c>
      <c r="J302" s="107" t="s">
        <v>54</v>
      </c>
      <c r="K302" s="108"/>
      <c r="L302" s="106"/>
      <c r="M302" s="110"/>
      <c r="N302" s="105" t="s">
        <v>78</v>
      </c>
      <c r="O302" s="105" t="str">
        <f t="shared" si="12"/>
        <v/>
      </c>
      <c r="P302" s="105"/>
      <c r="Q302" s="105" t="s">
        <v>77</v>
      </c>
      <c r="R302" s="105" t="s">
        <v>77</v>
      </c>
      <c r="S302" s="105"/>
      <c r="T302" s="105"/>
      <c r="U302" s="105"/>
      <c r="V302" s="105"/>
      <c r="W302" s="105" t="s">
        <v>80</v>
      </c>
      <c r="X302" s="105"/>
      <c r="Y302" s="105"/>
    </row>
    <row r="303" spans="1:25" s="99" customFormat="1" ht="26.25" customHeight="1">
      <c r="A303" s="100">
        <v>4044</v>
      </c>
      <c r="B303" s="101" t="s">
        <v>11</v>
      </c>
      <c r="C303" s="105" t="s">
        <v>52</v>
      </c>
      <c r="D303" s="105" t="s">
        <v>655</v>
      </c>
      <c r="E303" s="105" t="s">
        <v>44</v>
      </c>
      <c r="F303" s="101" t="str">
        <f t="shared" si="11"/>
        <v>-</v>
      </c>
      <c r="G303" s="106" t="s">
        <v>53</v>
      </c>
      <c r="H303" s="105"/>
      <c r="I303" s="106" t="s">
        <v>656</v>
      </c>
      <c r="J303" s="107" t="s">
        <v>54</v>
      </c>
      <c r="K303" s="108"/>
      <c r="L303" s="106"/>
      <c r="M303" s="110"/>
      <c r="N303" s="105" t="s">
        <v>78</v>
      </c>
      <c r="O303" s="105" t="str">
        <f t="shared" si="12"/>
        <v/>
      </c>
      <c r="P303" s="105"/>
      <c r="Q303" s="105" t="s">
        <v>77</v>
      </c>
      <c r="R303" s="105" t="s">
        <v>77</v>
      </c>
      <c r="S303" s="105"/>
      <c r="T303" s="105"/>
      <c r="U303" s="105"/>
      <c r="V303" s="105"/>
      <c r="W303" s="105" t="s">
        <v>80</v>
      </c>
      <c r="X303" s="105"/>
      <c r="Y303" s="105"/>
    </row>
    <row r="304" spans="1:25" s="99" customFormat="1" ht="26.25" customHeight="1">
      <c r="A304" s="100">
        <v>4045</v>
      </c>
      <c r="B304" s="101" t="s">
        <v>11</v>
      </c>
      <c r="C304" s="105" t="s">
        <v>52</v>
      </c>
      <c r="D304" s="105" t="s">
        <v>657</v>
      </c>
      <c r="E304" s="105" t="s">
        <v>44</v>
      </c>
      <c r="F304" s="101" t="str">
        <f t="shared" si="11"/>
        <v>-</v>
      </c>
      <c r="G304" s="106" t="s">
        <v>53</v>
      </c>
      <c r="H304" s="105"/>
      <c r="I304" s="106" t="s">
        <v>658</v>
      </c>
      <c r="J304" s="107" t="s">
        <v>54</v>
      </c>
      <c r="K304" s="108"/>
      <c r="L304" s="106"/>
      <c r="M304" s="110"/>
      <c r="N304" s="105" t="s">
        <v>78</v>
      </c>
      <c r="O304" s="105" t="str">
        <f t="shared" si="12"/>
        <v/>
      </c>
      <c r="P304" s="105"/>
      <c r="Q304" s="105" t="s">
        <v>77</v>
      </c>
      <c r="R304" s="105" t="s">
        <v>77</v>
      </c>
      <c r="S304" s="105"/>
      <c r="T304" s="105"/>
      <c r="U304" s="105"/>
      <c r="V304" s="105"/>
      <c r="W304" s="105" t="s">
        <v>80</v>
      </c>
      <c r="X304" s="105"/>
      <c r="Y304" s="105"/>
    </row>
    <row r="305" spans="1:25" s="99" customFormat="1" ht="26.25" customHeight="1">
      <c r="A305" s="100">
        <v>4046</v>
      </c>
      <c r="B305" s="101" t="s">
        <v>11</v>
      </c>
      <c r="C305" s="105" t="s">
        <v>52</v>
      </c>
      <c r="D305" s="105" t="s">
        <v>659</v>
      </c>
      <c r="E305" s="105" t="s">
        <v>44</v>
      </c>
      <c r="F305" s="101" t="str">
        <f t="shared" si="11"/>
        <v>-</v>
      </c>
      <c r="G305" s="106" t="s">
        <v>53</v>
      </c>
      <c r="H305" s="105"/>
      <c r="I305" s="106" t="s">
        <v>660</v>
      </c>
      <c r="J305" s="107" t="s">
        <v>54</v>
      </c>
      <c r="K305" s="108"/>
      <c r="L305" s="106"/>
      <c r="M305" s="110"/>
      <c r="N305" s="105" t="s">
        <v>78</v>
      </c>
      <c r="O305" s="105" t="str">
        <f t="shared" si="12"/>
        <v/>
      </c>
      <c r="P305" s="105"/>
      <c r="Q305" s="105" t="s">
        <v>77</v>
      </c>
      <c r="R305" s="105" t="s">
        <v>77</v>
      </c>
      <c r="S305" s="105"/>
      <c r="T305" s="105"/>
      <c r="U305" s="105"/>
      <c r="V305" s="105"/>
      <c r="W305" s="105" t="s">
        <v>80</v>
      </c>
      <c r="X305" s="105"/>
      <c r="Y305" s="105"/>
    </row>
    <row r="306" spans="1:25" s="99" customFormat="1" ht="26.25" customHeight="1">
      <c r="A306" s="100">
        <v>4047</v>
      </c>
      <c r="B306" s="101" t="s">
        <v>11</v>
      </c>
      <c r="C306" s="105" t="s">
        <v>52</v>
      </c>
      <c r="D306" s="105" t="s">
        <v>661</v>
      </c>
      <c r="E306" s="105" t="s">
        <v>44</v>
      </c>
      <c r="F306" s="101" t="str">
        <f t="shared" si="11"/>
        <v>-</v>
      </c>
      <c r="G306" s="106" t="s">
        <v>53</v>
      </c>
      <c r="H306" s="105"/>
      <c r="I306" s="106" t="s">
        <v>662</v>
      </c>
      <c r="J306" s="107" t="s">
        <v>54</v>
      </c>
      <c r="K306" s="108"/>
      <c r="L306" s="106"/>
      <c r="M306" s="110"/>
      <c r="N306" s="105" t="s">
        <v>78</v>
      </c>
      <c r="O306" s="105" t="str">
        <f t="shared" si="12"/>
        <v/>
      </c>
      <c r="P306" s="105"/>
      <c r="Q306" s="105" t="s">
        <v>77</v>
      </c>
      <c r="R306" s="105" t="s">
        <v>77</v>
      </c>
      <c r="S306" s="105"/>
      <c r="T306" s="105"/>
      <c r="U306" s="105"/>
      <c r="V306" s="105"/>
      <c r="W306" s="105" t="s">
        <v>80</v>
      </c>
      <c r="X306" s="105"/>
      <c r="Y306" s="105"/>
    </row>
    <row r="307" spans="1:25" s="99" customFormat="1" ht="26.25" customHeight="1">
      <c r="A307" s="100">
        <v>4048</v>
      </c>
      <c r="B307" s="101" t="s">
        <v>11</v>
      </c>
      <c r="C307" s="105" t="s">
        <v>52</v>
      </c>
      <c r="D307" s="105" t="s">
        <v>663</v>
      </c>
      <c r="E307" s="105" t="s">
        <v>44</v>
      </c>
      <c r="F307" s="101" t="str">
        <f t="shared" si="11"/>
        <v>-</v>
      </c>
      <c r="G307" s="106" t="s">
        <v>53</v>
      </c>
      <c r="H307" s="105"/>
      <c r="I307" s="106" t="s">
        <v>664</v>
      </c>
      <c r="J307" s="107" t="s">
        <v>54</v>
      </c>
      <c r="K307" s="108"/>
      <c r="L307" s="106"/>
      <c r="M307" s="110"/>
      <c r="N307" s="105" t="s">
        <v>78</v>
      </c>
      <c r="O307" s="105" t="str">
        <f t="shared" si="12"/>
        <v/>
      </c>
      <c r="P307" s="105"/>
      <c r="Q307" s="105" t="s">
        <v>77</v>
      </c>
      <c r="R307" s="105" t="s">
        <v>77</v>
      </c>
      <c r="S307" s="105"/>
      <c r="T307" s="105"/>
      <c r="U307" s="105"/>
      <c r="V307" s="105"/>
      <c r="W307" s="105" t="s">
        <v>80</v>
      </c>
      <c r="X307" s="105"/>
      <c r="Y307" s="105"/>
    </row>
    <row r="308" spans="1:25" s="99" customFormat="1" ht="26.25" customHeight="1">
      <c r="A308" s="100">
        <v>4049</v>
      </c>
      <c r="B308" s="101" t="s">
        <v>11</v>
      </c>
      <c r="C308" s="105" t="s">
        <v>52</v>
      </c>
      <c r="D308" s="105" t="s">
        <v>665</v>
      </c>
      <c r="E308" s="105" t="s">
        <v>44</v>
      </c>
      <c r="F308" s="101" t="str">
        <f t="shared" si="11"/>
        <v>-</v>
      </c>
      <c r="G308" s="106" t="s">
        <v>53</v>
      </c>
      <c r="H308" s="105"/>
      <c r="I308" s="106" t="s">
        <v>666</v>
      </c>
      <c r="J308" s="107" t="s">
        <v>54</v>
      </c>
      <c r="K308" s="108"/>
      <c r="L308" s="106"/>
      <c r="M308" s="110"/>
      <c r="N308" s="105" t="s">
        <v>78</v>
      </c>
      <c r="O308" s="105" t="str">
        <f t="shared" si="12"/>
        <v/>
      </c>
      <c r="P308" s="105"/>
      <c r="Q308" s="105" t="s">
        <v>77</v>
      </c>
      <c r="R308" s="105" t="s">
        <v>77</v>
      </c>
      <c r="S308" s="105"/>
      <c r="T308" s="105"/>
      <c r="U308" s="105"/>
      <c r="V308" s="105"/>
      <c r="W308" s="105" t="s">
        <v>80</v>
      </c>
      <c r="X308" s="105"/>
      <c r="Y308" s="105"/>
    </row>
    <row r="309" spans="1:25" s="99" customFormat="1" ht="26.25" customHeight="1">
      <c r="A309" s="100">
        <v>4050</v>
      </c>
      <c r="B309" s="101" t="s">
        <v>11</v>
      </c>
      <c r="C309" s="105" t="s">
        <v>52</v>
      </c>
      <c r="D309" s="105" t="s">
        <v>667</v>
      </c>
      <c r="E309" s="105" t="s">
        <v>44</v>
      </c>
      <c r="F309" s="101" t="str">
        <f t="shared" si="11"/>
        <v>-</v>
      </c>
      <c r="G309" s="106" t="s">
        <v>53</v>
      </c>
      <c r="H309" s="105"/>
      <c r="I309" s="106" t="s">
        <v>668</v>
      </c>
      <c r="J309" s="107" t="s">
        <v>54</v>
      </c>
      <c r="K309" s="108"/>
      <c r="L309" s="106"/>
      <c r="M309" s="110"/>
      <c r="N309" s="105" t="s">
        <v>78</v>
      </c>
      <c r="O309" s="105" t="str">
        <f t="shared" si="12"/>
        <v/>
      </c>
      <c r="P309" s="105"/>
      <c r="Q309" s="105" t="s">
        <v>77</v>
      </c>
      <c r="R309" s="105" t="s">
        <v>77</v>
      </c>
      <c r="S309" s="105"/>
      <c r="T309" s="105"/>
      <c r="U309" s="105"/>
      <c r="V309" s="105"/>
      <c r="W309" s="105" t="s">
        <v>80</v>
      </c>
      <c r="X309" s="105"/>
      <c r="Y309" s="105"/>
    </row>
    <row r="310" spans="1:25" s="99" customFormat="1" ht="26.25" customHeight="1">
      <c r="A310" s="100">
        <v>4051</v>
      </c>
      <c r="B310" s="101" t="s">
        <v>11</v>
      </c>
      <c r="C310" s="105" t="s">
        <v>52</v>
      </c>
      <c r="D310" s="105" t="s">
        <v>669</v>
      </c>
      <c r="E310" s="105" t="s">
        <v>44</v>
      </c>
      <c r="F310" s="101" t="str">
        <f t="shared" si="11"/>
        <v>-</v>
      </c>
      <c r="G310" s="106" t="s">
        <v>53</v>
      </c>
      <c r="H310" s="105"/>
      <c r="I310" s="106" t="s">
        <v>670</v>
      </c>
      <c r="J310" s="107" t="s">
        <v>54</v>
      </c>
      <c r="K310" s="108"/>
      <c r="L310" s="106"/>
      <c r="M310" s="110"/>
      <c r="N310" s="105" t="s">
        <v>78</v>
      </c>
      <c r="O310" s="105" t="str">
        <f t="shared" si="12"/>
        <v/>
      </c>
      <c r="P310" s="105"/>
      <c r="Q310" s="105" t="s">
        <v>77</v>
      </c>
      <c r="R310" s="105" t="s">
        <v>77</v>
      </c>
      <c r="S310" s="105"/>
      <c r="T310" s="105"/>
      <c r="U310" s="105"/>
      <c r="V310" s="105"/>
      <c r="W310" s="105" t="s">
        <v>80</v>
      </c>
      <c r="X310" s="105"/>
      <c r="Y310" s="105"/>
    </row>
    <row r="311" spans="1:25" s="99" customFormat="1" ht="26.25" customHeight="1">
      <c r="A311" s="100">
        <v>4052</v>
      </c>
      <c r="B311" s="101" t="s">
        <v>11</v>
      </c>
      <c r="C311" s="105" t="s">
        <v>52</v>
      </c>
      <c r="D311" s="105" t="s">
        <v>671</v>
      </c>
      <c r="E311" s="105" t="s">
        <v>44</v>
      </c>
      <c r="F311" s="101" t="str">
        <f t="shared" si="11"/>
        <v>-</v>
      </c>
      <c r="G311" s="106" t="s">
        <v>53</v>
      </c>
      <c r="H311" s="105"/>
      <c r="I311" s="106" t="s">
        <v>672</v>
      </c>
      <c r="J311" s="107" t="s">
        <v>54</v>
      </c>
      <c r="K311" s="108"/>
      <c r="L311" s="106"/>
      <c r="M311" s="110"/>
      <c r="N311" s="105" t="s">
        <v>78</v>
      </c>
      <c r="O311" s="105" t="str">
        <f t="shared" si="12"/>
        <v/>
      </c>
      <c r="P311" s="105"/>
      <c r="Q311" s="105" t="s">
        <v>77</v>
      </c>
      <c r="R311" s="105" t="s">
        <v>77</v>
      </c>
      <c r="S311" s="105"/>
      <c r="T311" s="105"/>
      <c r="U311" s="105"/>
      <c r="V311" s="105"/>
      <c r="W311" s="105" t="s">
        <v>80</v>
      </c>
      <c r="X311" s="105"/>
      <c r="Y311" s="105"/>
    </row>
    <row r="312" spans="1:25" s="99" customFormat="1" ht="26.25" customHeight="1">
      <c r="A312" s="100">
        <v>4053</v>
      </c>
      <c r="B312" s="101" t="s">
        <v>11</v>
      </c>
      <c r="C312" s="105" t="s">
        <v>52</v>
      </c>
      <c r="D312" s="105" t="s">
        <v>673</v>
      </c>
      <c r="E312" s="105" t="s">
        <v>44</v>
      </c>
      <c r="F312" s="101" t="str">
        <f t="shared" si="11"/>
        <v>-</v>
      </c>
      <c r="G312" s="106" t="s">
        <v>53</v>
      </c>
      <c r="H312" s="105"/>
      <c r="I312" s="106" t="s">
        <v>674</v>
      </c>
      <c r="J312" s="107" t="s">
        <v>54</v>
      </c>
      <c r="K312" s="108"/>
      <c r="L312" s="106"/>
      <c r="M312" s="110"/>
      <c r="N312" s="105" t="s">
        <v>78</v>
      </c>
      <c r="O312" s="105" t="str">
        <f t="shared" si="12"/>
        <v/>
      </c>
      <c r="P312" s="105"/>
      <c r="Q312" s="105" t="s">
        <v>77</v>
      </c>
      <c r="R312" s="105" t="s">
        <v>77</v>
      </c>
      <c r="S312" s="105"/>
      <c r="T312" s="105"/>
      <c r="U312" s="105"/>
      <c r="V312" s="105"/>
      <c r="W312" s="105" t="s">
        <v>80</v>
      </c>
      <c r="X312" s="105"/>
      <c r="Y312" s="105"/>
    </row>
    <row r="313" spans="1:25" s="99" customFormat="1" ht="26.25" customHeight="1">
      <c r="A313" s="100">
        <v>4054</v>
      </c>
      <c r="B313" s="101" t="s">
        <v>11</v>
      </c>
      <c r="C313" s="105" t="s">
        <v>52</v>
      </c>
      <c r="D313" s="105" t="s">
        <v>675</v>
      </c>
      <c r="E313" s="105" t="s">
        <v>44</v>
      </c>
      <c r="F313" s="101" t="str">
        <f t="shared" si="11"/>
        <v>-</v>
      </c>
      <c r="G313" s="106" t="s">
        <v>53</v>
      </c>
      <c r="H313" s="105"/>
      <c r="I313" s="106" t="s">
        <v>676</v>
      </c>
      <c r="J313" s="107" t="s">
        <v>54</v>
      </c>
      <c r="K313" s="108"/>
      <c r="L313" s="106"/>
      <c r="M313" s="110"/>
      <c r="N313" s="105" t="s">
        <v>78</v>
      </c>
      <c r="O313" s="105" t="str">
        <f t="shared" si="12"/>
        <v/>
      </c>
      <c r="P313" s="105"/>
      <c r="Q313" s="105" t="s">
        <v>77</v>
      </c>
      <c r="R313" s="105" t="s">
        <v>77</v>
      </c>
      <c r="S313" s="105"/>
      <c r="T313" s="105"/>
      <c r="U313" s="105"/>
      <c r="V313" s="105"/>
      <c r="W313" s="105" t="s">
        <v>80</v>
      </c>
      <c r="X313" s="105"/>
      <c r="Y313" s="105"/>
    </row>
    <row r="314" spans="1:25" s="99" customFormat="1" ht="26.25" customHeight="1">
      <c r="A314" s="100">
        <v>4055</v>
      </c>
      <c r="B314" s="101" t="s">
        <v>11</v>
      </c>
      <c r="C314" s="105" t="s">
        <v>52</v>
      </c>
      <c r="D314" s="105" t="s">
        <v>677</v>
      </c>
      <c r="E314" s="105" t="s">
        <v>44</v>
      </c>
      <c r="F314" s="101" t="str">
        <f t="shared" si="11"/>
        <v>-</v>
      </c>
      <c r="G314" s="106" t="s">
        <v>53</v>
      </c>
      <c r="H314" s="105"/>
      <c r="I314" s="106" t="s">
        <v>678</v>
      </c>
      <c r="J314" s="107" t="s">
        <v>54</v>
      </c>
      <c r="K314" s="108"/>
      <c r="L314" s="106"/>
      <c r="M314" s="110"/>
      <c r="N314" s="105" t="s">
        <v>78</v>
      </c>
      <c r="O314" s="105" t="str">
        <f t="shared" si="12"/>
        <v/>
      </c>
      <c r="P314" s="105"/>
      <c r="Q314" s="105" t="s">
        <v>77</v>
      </c>
      <c r="R314" s="105" t="s">
        <v>77</v>
      </c>
      <c r="S314" s="105"/>
      <c r="T314" s="105"/>
      <c r="U314" s="105"/>
      <c r="V314" s="105"/>
      <c r="W314" s="105" t="s">
        <v>80</v>
      </c>
      <c r="X314" s="105"/>
      <c r="Y314" s="105"/>
    </row>
    <row r="315" spans="1:25" s="99" customFormat="1" ht="26.25" customHeight="1">
      <c r="A315" s="100">
        <v>4056</v>
      </c>
      <c r="B315" s="101" t="s">
        <v>11</v>
      </c>
      <c r="C315" s="105" t="s">
        <v>52</v>
      </c>
      <c r="D315" s="105" t="s">
        <v>679</v>
      </c>
      <c r="E315" s="105" t="s">
        <v>44</v>
      </c>
      <c r="F315" s="101" t="str">
        <f t="shared" si="11"/>
        <v>-</v>
      </c>
      <c r="G315" s="106" t="s">
        <v>53</v>
      </c>
      <c r="H315" s="105"/>
      <c r="I315" s="106" t="s">
        <v>680</v>
      </c>
      <c r="J315" s="107" t="s">
        <v>54</v>
      </c>
      <c r="K315" s="108"/>
      <c r="L315" s="106"/>
      <c r="M315" s="110"/>
      <c r="N315" s="105" t="s">
        <v>78</v>
      </c>
      <c r="O315" s="105" t="str">
        <f t="shared" si="12"/>
        <v/>
      </c>
      <c r="P315" s="105"/>
      <c r="Q315" s="105" t="s">
        <v>77</v>
      </c>
      <c r="R315" s="105" t="s">
        <v>77</v>
      </c>
      <c r="S315" s="105"/>
      <c r="T315" s="105"/>
      <c r="U315" s="105"/>
      <c r="V315" s="105"/>
      <c r="W315" s="105" t="s">
        <v>80</v>
      </c>
      <c r="X315" s="105"/>
      <c r="Y315" s="105"/>
    </row>
    <row r="316" spans="1:25" s="99" customFormat="1" ht="26.25" customHeight="1">
      <c r="A316" s="100">
        <v>4057</v>
      </c>
      <c r="B316" s="101" t="s">
        <v>11</v>
      </c>
      <c r="C316" s="105" t="s">
        <v>52</v>
      </c>
      <c r="D316" s="105" t="s">
        <v>681</v>
      </c>
      <c r="E316" s="105" t="s">
        <v>44</v>
      </c>
      <c r="F316" s="101" t="str">
        <f t="shared" si="11"/>
        <v>-</v>
      </c>
      <c r="G316" s="106" t="s">
        <v>53</v>
      </c>
      <c r="H316" s="105"/>
      <c r="I316" s="106" t="s">
        <v>682</v>
      </c>
      <c r="J316" s="107" t="s">
        <v>54</v>
      </c>
      <c r="K316" s="108"/>
      <c r="L316" s="106"/>
      <c r="M316" s="110"/>
      <c r="N316" s="105" t="s">
        <v>78</v>
      </c>
      <c r="O316" s="105" t="str">
        <f t="shared" si="12"/>
        <v/>
      </c>
      <c r="P316" s="105"/>
      <c r="Q316" s="105" t="s">
        <v>77</v>
      </c>
      <c r="R316" s="105" t="s">
        <v>77</v>
      </c>
      <c r="S316" s="105"/>
      <c r="T316" s="105"/>
      <c r="U316" s="105"/>
      <c r="V316" s="105"/>
      <c r="W316" s="105" t="s">
        <v>80</v>
      </c>
      <c r="X316" s="105"/>
      <c r="Y316" s="105"/>
    </row>
    <row r="317" spans="1:25" s="99" customFormat="1" ht="26.25" customHeight="1">
      <c r="A317" s="100">
        <v>4058</v>
      </c>
      <c r="B317" s="101" t="s">
        <v>11</v>
      </c>
      <c r="C317" s="105" t="s">
        <v>52</v>
      </c>
      <c r="D317" s="105" t="s">
        <v>683</v>
      </c>
      <c r="E317" s="105" t="s">
        <v>44</v>
      </c>
      <c r="F317" s="101" t="str">
        <f t="shared" si="11"/>
        <v>-</v>
      </c>
      <c r="G317" s="106" t="s">
        <v>53</v>
      </c>
      <c r="H317" s="105"/>
      <c r="I317" s="106" t="s">
        <v>684</v>
      </c>
      <c r="J317" s="107" t="s">
        <v>54</v>
      </c>
      <c r="K317" s="108"/>
      <c r="L317" s="106"/>
      <c r="M317" s="110"/>
      <c r="N317" s="105" t="s">
        <v>78</v>
      </c>
      <c r="O317" s="105" t="str">
        <f t="shared" si="12"/>
        <v/>
      </c>
      <c r="P317" s="105"/>
      <c r="Q317" s="105" t="s">
        <v>77</v>
      </c>
      <c r="R317" s="105" t="s">
        <v>77</v>
      </c>
      <c r="S317" s="105"/>
      <c r="T317" s="105"/>
      <c r="U317" s="105"/>
      <c r="V317" s="105"/>
      <c r="W317" s="105" t="s">
        <v>80</v>
      </c>
      <c r="X317" s="105"/>
      <c r="Y317" s="105"/>
    </row>
    <row r="318" spans="1:25" s="99" customFormat="1" ht="26.25" customHeight="1">
      <c r="A318" s="100">
        <v>4059</v>
      </c>
      <c r="B318" s="101" t="s">
        <v>11</v>
      </c>
      <c r="C318" s="105" t="s">
        <v>52</v>
      </c>
      <c r="D318" s="105" t="s">
        <v>685</v>
      </c>
      <c r="E318" s="105" t="s">
        <v>44</v>
      </c>
      <c r="F318" s="101" t="str">
        <f t="shared" si="11"/>
        <v>-</v>
      </c>
      <c r="G318" s="106" t="s">
        <v>53</v>
      </c>
      <c r="H318" s="105"/>
      <c r="I318" s="106" t="s">
        <v>686</v>
      </c>
      <c r="J318" s="107" t="s">
        <v>54</v>
      </c>
      <c r="K318" s="108"/>
      <c r="L318" s="106"/>
      <c r="M318" s="110"/>
      <c r="N318" s="105" t="s">
        <v>78</v>
      </c>
      <c r="O318" s="105" t="str">
        <f t="shared" si="12"/>
        <v/>
      </c>
      <c r="P318" s="105"/>
      <c r="Q318" s="105" t="s">
        <v>77</v>
      </c>
      <c r="R318" s="105" t="s">
        <v>77</v>
      </c>
      <c r="S318" s="105"/>
      <c r="T318" s="105"/>
      <c r="U318" s="105"/>
      <c r="V318" s="105"/>
      <c r="W318" s="105" t="s">
        <v>80</v>
      </c>
      <c r="X318" s="105"/>
      <c r="Y318" s="105"/>
    </row>
    <row r="319" spans="1:25" s="99" customFormat="1" ht="26.25" customHeight="1">
      <c r="A319" s="100">
        <v>4060</v>
      </c>
      <c r="B319" s="101" t="s">
        <v>11</v>
      </c>
      <c r="C319" s="105" t="s">
        <v>52</v>
      </c>
      <c r="D319" s="105" t="s">
        <v>687</v>
      </c>
      <c r="E319" s="105" t="s">
        <v>44</v>
      </c>
      <c r="F319" s="101" t="str">
        <f t="shared" si="11"/>
        <v>-</v>
      </c>
      <c r="G319" s="106" t="s">
        <v>53</v>
      </c>
      <c r="H319" s="105"/>
      <c r="I319" s="106" t="s">
        <v>688</v>
      </c>
      <c r="J319" s="107" t="s">
        <v>54</v>
      </c>
      <c r="K319" s="108"/>
      <c r="L319" s="106"/>
      <c r="M319" s="110"/>
      <c r="N319" s="105" t="s">
        <v>78</v>
      </c>
      <c r="O319" s="105" t="str">
        <f t="shared" si="12"/>
        <v/>
      </c>
      <c r="P319" s="105"/>
      <c r="Q319" s="105" t="s">
        <v>77</v>
      </c>
      <c r="R319" s="105" t="s">
        <v>77</v>
      </c>
      <c r="S319" s="105"/>
      <c r="T319" s="105"/>
      <c r="U319" s="105"/>
      <c r="V319" s="105"/>
      <c r="W319" s="105" t="s">
        <v>80</v>
      </c>
      <c r="X319" s="105"/>
      <c r="Y319" s="105"/>
    </row>
    <row r="320" spans="1:25" s="99" customFormat="1" ht="26.25" customHeight="1">
      <c r="A320" s="100">
        <v>4061</v>
      </c>
      <c r="B320" s="101" t="s">
        <v>11</v>
      </c>
      <c r="C320" s="105" t="s">
        <v>52</v>
      </c>
      <c r="D320" s="105" t="s">
        <v>689</v>
      </c>
      <c r="E320" s="105" t="s">
        <v>44</v>
      </c>
      <c r="F320" s="101" t="str">
        <f t="shared" si="11"/>
        <v>-</v>
      </c>
      <c r="G320" s="106" t="s">
        <v>53</v>
      </c>
      <c r="H320" s="105"/>
      <c r="I320" s="106" t="s">
        <v>690</v>
      </c>
      <c r="J320" s="107" t="s">
        <v>54</v>
      </c>
      <c r="K320" s="108"/>
      <c r="L320" s="106"/>
      <c r="M320" s="110"/>
      <c r="N320" s="105" t="s">
        <v>78</v>
      </c>
      <c r="O320" s="105" t="str">
        <f t="shared" si="12"/>
        <v/>
      </c>
      <c r="P320" s="105"/>
      <c r="Q320" s="105" t="s">
        <v>77</v>
      </c>
      <c r="R320" s="105" t="s">
        <v>77</v>
      </c>
      <c r="S320" s="105"/>
      <c r="T320" s="105"/>
      <c r="U320" s="105"/>
      <c r="V320" s="105"/>
      <c r="W320" s="105" t="s">
        <v>80</v>
      </c>
      <c r="X320" s="105"/>
      <c r="Y320" s="105"/>
    </row>
    <row r="321" spans="1:25" s="99" customFormat="1" ht="26.25" customHeight="1">
      <c r="A321" s="100">
        <v>4062</v>
      </c>
      <c r="B321" s="101" t="s">
        <v>11</v>
      </c>
      <c r="C321" s="105" t="s">
        <v>52</v>
      </c>
      <c r="D321" s="105" t="s">
        <v>691</v>
      </c>
      <c r="E321" s="105" t="s">
        <v>44</v>
      </c>
      <c r="F321" s="101" t="str">
        <f t="shared" si="11"/>
        <v>-</v>
      </c>
      <c r="G321" s="106" t="s">
        <v>53</v>
      </c>
      <c r="H321" s="105"/>
      <c r="I321" s="106" t="s">
        <v>692</v>
      </c>
      <c r="J321" s="107" t="s">
        <v>54</v>
      </c>
      <c r="K321" s="108"/>
      <c r="L321" s="106"/>
      <c r="M321" s="110"/>
      <c r="N321" s="105" t="s">
        <v>78</v>
      </c>
      <c r="O321" s="105" t="str">
        <f t="shared" si="12"/>
        <v/>
      </c>
      <c r="P321" s="105"/>
      <c r="Q321" s="105" t="s">
        <v>77</v>
      </c>
      <c r="R321" s="105" t="s">
        <v>77</v>
      </c>
      <c r="S321" s="105"/>
      <c r="T321" s="105"/>
      <c r="U321" s="105"/>
      <c r="V321" s="105"/>
      <c r="W321" s="105" t="s">
        <v>80</v>
      </c>
      <c r="X321" s="105"/>
      <c r="Y321" s="105"/>
    </row>
    <row r="322" spans="1:25" s="99" customFormat="1" ht="26.25" customHeight="1">
      <c r="A322" s="100">
        <v>4063</v>
      </c>
      <c r="B322" s="101" t="s">
        <v>11</v>
      </c>
      <c r="C322" s="105" t="s">
        <v>52</v>
      </c>
      <c r="D322" s="105" t="s">
        <v>693</v>
      </c>
      <c r="E322" s="105" t="s">
        <v>44</v>
      </c>
      <c r="F322" s="101" t="str">
        <f t="shared" si="11"/>
        <v>-</v>
      </c>
      <c r="G322" s="106" t="s">
        <v>53</v>
      </c>
      <c r="H322" s="105"/>
      <c r="I322" s="106" t="s">
        <v>694</v>
      </c>
      <c r="J322" s="107" t="s">
        <v>54</v>
      </c>
      <c r="K322" s="108"/>
      <c r="L322" s="106"/>
      <c r="M322" s="110"/>
      <c r="N322" s="105" t="s">
        <v>78</v>
      </c>
      <c r="O322" s="105" t="str">
        <f t="shared" si="12"/>
        <v/>
      </c>
      <c r="P322" s="105"/>
      <c r="Q322" s="105" t="s">
        <v>77</v>
      </c>
      <c r="R322" s="105" t="s">
        <v>77</v>
      </c>
      <c r="S322" s="105"/>
      <c r="T322" s="105"/>
      <c r="U322" s="105"/>
      <c r="V322" s="105"/>
      <c r="W322" s="105" t="s">
        <v>80</v>
      </c>
      <c r="X322" s="105"/>
      <c r="Y322" s="105"/>
    </row>
    <row r="323" spans="1:25" s="99" customFormat="1" ht="26.25" customHeight="1">
      <c r="A323" s="100">
        <v>4064</v>
      </c>
      <c r="B323" s="101" t="s">
        <v>11</v>
      </c>
      <c r="C323" s="105" t="s">
        <v>52</v>
      </c>
      <c r="D323" s="105" t="s">
        <v>695</v>
      </c>
      <c r="E323" s="105" t="s">
        <v>44</v>
      </c>
      <c r="F323" s="101" t="str">
        <f t="shared" si="11"/>
        <v>-</v>
      </c>
      <c r="G323" s="106" t="s">
        <v>53</v>
      </c>
      <c r="H323" s="105"/>
      <c r="I323" s="106" t="s">
        <v>696</v>
      </c>
      <c r="J323" s="107" t="s">
        <v>54</v>
      </c>
      <c r="K323" s="108"/>
      <c r="L323" s="106"/>
      <c r="M323" s="110"/>
      <c r="N323" s="105" t="s">
        <v>78</v>
      </c>
      <c r="O323" s="105" t="str">
        <f t="shared" si="12"/>
        <v/>
      </c>
      <c r="P323" s="105"/>
      <c r="Q323" s="105" t="s">
        <v>77</v>
      </c>
      <c r="R323" s="105" t="s">
        <v>77</v>
      </c>
      <c r="S323" s="105"/>
      <c r="T323" s="105"/>
      <c r="U323" s="105"/>
      <c r="V323" s="105"/>
      <c r="W323" s="105" t="s">
        <v>80</v>
      </c>
      <c r="X323" s="105"/>
      <c r="Y323" s="105"/>
    </row>
    <row r="324" spans="1:25" s="99" customFormat="1" ht="26.25" customHeight="1">
      <c r="A324" s="100">
        <v>4065</v>
      </c>
      <c r="B324" s="101" t="s">
        <v>11</v>
      </c>
      <c r="C324" s="105" t="s">
        <v>52</v>
      </c>
      <c r="D324" s="105" t="s">
        <v>697</v>
      </c>
      <c r="E324" s="105" t="s">
        <v>44</v>
      </c>
      <c r="F324" s="101" t="str">
        <f t="shared" si="11"/>
        <v>-</v>
      </c>
      <c r="G324" s="106" t="s">
        <v>53</v>
      </c>
      <c r="H324" s="105"/>
      <c r="I324" s="106" t="s">
        <v>698</v>
      </c>
      <c r="J324" s="107" t="s">
        <v>54</v>
      </c>
      <c r="K324" s="108"/>
      <c r="L324" s="106"/>
      <c r="M324" s="110"/>
      <c r="N324" s="105" t="s">
        <v>78</v>
      </c>
      <c r="O324" s="105" t="str">
        <f t="shared" si="12"/>
        <v/>
      </c>
      <c r="P324" s="105"/>
      <c r="Q324" s="105" t="s">
        <v>77</v>
      </c>
      <c r="R324" s="105" t="s">
        <v>77</v>
      </c>
      <c r="S324" s="105"/>
      <c r="T324" s="105"/>
      <c r="U324" s="105"/>
      <c r="V324" s="105"/>
      <c r="W324" s="105" t="s">
        <v>80</v>
      </c>
      <c r="X324" s="105"/>
      <c r="Y324" s="105"/>
    </row>
    <row r="325" spans="1:25" s="99" customFormat="1" ht="26.25" customHeight="1">
      <c r="A325" s="100">
        <v>4066</v>
      </c>
      <c r="B325" s="101" t="s">
        <v>11</v>
      </c>
      <c r="C325" s="105" t="s">
        <v>52</v>
      </c>
      <c r="D325" s="105" t="s">
        <v>699</v>
      </c>
      <c r="E325" s="105" t="s">
        <v>44</v>
      </c>
      <c r="F325" s="101" t="str">
        <f t="shared" si="11"/>
        <v>-</v>
      </c>
      <c r="G325" s="106" t="s">
        <v>53</v>
      </c>
      <c r="H325" s="105"/>
      <c r="I325" s="106" t="s">
        <v>700</v>
      </c>
      <c r="J325" s="107" t="s">
        <v>54</v>
      </c>
      <c r="K325" s="108"/>
      <c r="L325" s="106"/>
      <c r="M325" s="110"/>
      <c r="N325" s="105" t="s">
        <v>78</v>
      </c>
      <c r="O325" s="105" t="str">
        <f t="shared" si="12"/>
        <v/>
      </c>
      <c r="P325" s="105"/>
      <c r="Q325" s="105" t="s">
        <v>77</v>
      </c>
      <c r="R325" s="105" t="s">
        <v>77</v>
      </c>
      <c r="S325" s="105"/>
      <c r="T325" s="105"/>
      <c r="U325" s="105"/>
      <c r="V325" s="105"/>
      <c r="W325" s="105" t="s">
        <v>80</v>
      </c>
      <c r="X325" s="105"/>
      <c r="Y325" s="105"/>
    </row>
    <row r="326" spans="1:25" s="99" customFormat="1" ht="26.25" customHeight="1">
      <c r="A326" s="100">
        <v>4067</v>
      </c>
      <c r="B326" s="101" t="s">
        <v>11</v>
      </c>
      <c r="C326" s="105" t="s">
        <v>52</v>
      </c>
      <c r="D326" s="105" t="s">
        <v>701</v>
      </c>
      <c r="E326" s="105" t="s">
        <v>44</v>
      </c>
      <c r="F326" s="101" t="str">
        <f t="shared" si="11"/>
        <v>-</v>
      </c>
      <c r="G326" s="106" t="s">
        <v>53</v>
      </c>
      <c r="H326" s="105"/>
      <c r="I326" s="106" t="s">
        <v>702</v>
      </c>
      <c r="J326" s="107" t="s">
        <v>54</v>
      </c>
      <c r="K326" s="108"/>
      <c r="L326" s="106"/>
      <c r="M326" s="110"/>
      <c r="N326" s="105" t="s">
        <v>78</v>
      </c>
      <c r="O326" s="105" t="str">
        <f t="shared" si="12"/>
        <v/>
      </c>
      <c r="P326" s="105"/>
      <c r="Q326" s="105" t="s">
        <v>77</v>
      </c>
      <c r="R326" s="105" t="s">
        <v>77</v>
      </c>
      <c r="S326" s="105"/>
      <c r="T326" s="105"/>
      <c r="U326" s="105"/>
      <c r="V326" s="105"/>
      <c r="W326" s="105" t="s">
        <v>80</v>
      </c>
      <c r="X326" s="105"/>
      <c r="Y326" s="105"/>
    </row>
    <row r="327" spans="1:25" s="99" customFormat="1" ht="26.25" customHeight="1">
      <c r="A327" s="100">
        <v>4068</v>
      </c>
      <c r="B327" s="101" t="s">
        <v>11</v>
      </c>
      <c r="C327" s="105" t="s">
        <v>52</v>
      </c>
      <c r="D327" s="105" t="s">
        <v>703</v>
      </c>
      <c r="E327" s="105" t="s">
        <v>44</v>
      </c>
      <c r="F327" s="101" t="str">
        <f t="shared" si="11"/>
        <v>-</v>
      </c>
      <c r="G327" s="106" t="s">
        <v>53</v>
      </c>
      <c r="H327" s="105"/>
      <c r="I327" s="106" t="s">
        <v>704</v>
      </c>
      <c r="J327" s="107" t="s">
        <v>54</v>
      </c>
      <c r="K327" s="108"/>
      <c r="L327" s="106"/>
      <c r="M327" s="110"/>
      <c r="N327" s="105" t="s">
        <v>78</v>
      </c>
      <c r="O327" s="105" t="str">
        <f t="shared" si="12"/>
        <v/>
      </c>
      <c r="P327" s="105"/>
      <c r="Q327" s="105" t="s">
        <v>77</v>
      </c>
      <c r="R327" s="105" t="s">
        <v>77</v>
      </c>
      <c r="S327" s="105"/>
      <c r="T327" s="105"/>
      <c r="U327" s="105"/>
      <c r="V327" s="105"/>
      <c r="W327" s="105" t="s">
        <v>80</v>
      </c>
      <c r="X327" s="105"/>
      <c r="Y327" s="105"/>
    </row>
    <row r="328" spans="1:25" s="99" customFormat="1" ht="26.25" customHeight="1">
      <c r="A328" s="100">
        <v>4069</v>
      </c>
      <c r="B328" s="101" t="s">
        <v>11</v>
      </c>
      <c r="C328" s="105" t="s">
        <v>52</v>
      </c>
      <c r="D328" s="105" t="s">
        <v>705</v>
      </c>
      <c r="E328" s="105" t="s">
        <v>44</v>
      </c>
      <c r="F328" s="101" t="str">
        <f t="shared" si="11"/>
        <v>-</v>
      </c>
      <c r="G328" s="106" t="s">
        <v>53</v>
      </c>
      <c r="H328" s="105"/>
      <c r="I328" s="106" t="s">
        <v>706</v>
      </c>
      <c r="J328" s="107" t="s">
        <v>54</v>
      </c>
      <c r="K328" s="108"/>
      <c r="L328" s="106"/>
      <c r="M328" s="110"/>
      <c r="N328" s="105" t="s">
        <v>78</v>
      </c>
      <c r="O328" s="105" t="str">
        <f t="shared" si="12"/>
        <v/>
      </c>
      <c r="P328" s="105"/>
      <c r="Q328" s="105" t="s">
        <v>77</v>
      </c>
      <c r="R328" s="105" t="s">
        <v>77</v>
      </c>
      <c r="S328" s="105"/>
      <c r="T328" s="105"/>
      <c r="U328" s="105"/>
      <c r="V328" s="105"/>
      <c r="W328" s="105" t="s">
        <v>80</v>
      </c>
      <c r="X328" s="105"/>
      <c r="Y328" s="105"/>
    </row>
    <row r="329" spans="1:25" s="99" customFormat="1" ht="26.25" customHeight="1">
      <c r="A329" s="100">
        <v>4070</v>
      </c>
      <c r="B329" s="101" t="s">
        <v>11</v>
      </c>
      <c r="C329" s="105" t="s">
        <v>52</v>
      </c>
      <c r="D329" s="105" t="s">
        <v>707</v>
      </c>
      <c r="E329" s="105" t="s">
        <v>44</v>
      </c>
      <c r="F329" s="101" t="str">
        <f t="shared" si="11"/>
        <v>-</v>
      </c>
      <c r="G329" s="106" t="s">
        <v>53</v>
      </c>
      <c r="H329" s="105"/>
      <c r="I329" s="106" t="s">
        <v>708</v>
      </c>
      <c r="J329" s="107" t="s">
        <v>54</v>
      </c>
      <c r="K329" s="108"/>
      <c r="L329" s="106"/>
      <c r="M329" s="110"/>
      <c r="N329" s="105" t="s">
        <v>78</v>
      </c>
      <c r="O329" s="105" t="str">
        <f t="shared" si="12"/>
        <v/>
      </c>
      <c r="P329" s="105"/>
      <c r="Q329" s="105" t="s">
        <v>77</v>
      </c>
      <c r="R329" s="105" t="s">
        <v>77</v>
      </c>
      <c r="S329" s="105"/>
      <c r="T329" s="105"/>
      <c r="U329" s="105"/>
      <c r="V329" s="105"/>
      <c r="W329" s="105" t="s">
        <v>80</v>
      </c>
      <c r="X329" s="105"/>
      <c r="Y329" s="105"/>
    </row>
    <row r="330" spans="1:25" s="99" customFormat="1" ht="26.25" customHeight="1">
      <c r="A330" s="100">
        <v>4071</v>
      </c>
      <c r="B330" s="101" t="s">
        <v>11</v>
      </c>
      <c r="C330" s="105" t="s">
        <v>52</v>
      </c>
      <c r="D330" s="105" t="s">
        <v>709</v>
      </c>
      <c r="E330" s="105" t="s">
        <v>44</v>
      </c>
      <c r="F330" s="101" t="str">
        <f t="shared" si="11"/>
        <v>-</v>
      </c>
      <c r="G330" s="106" t="s">
        <v>53</v>
      </c>
      <c r="H330" s="105"/>
      <c r="I330" s="106" t="s">
        <v>710</v>
      </c>
      <c r="J330" s="107" t="s">
        <v>54</v>
      </c>
      <c r="K330" s="108"/>
      <c r="L330" s="106"/>
      <c r="M330" s="110"/>
      <c r="N330" s="105" t="s">
        <v>78</v>
      </c>
      <c r="O330" s="105" t="str">
        <f t="shared" si="12"/>
        <v/>
      </c>
      <c r="P330" s="105"/>
      <c r="Q330" s="105" t="s">
        <v>77</v>
      </c>
      <c r="R330" s="105" t="s">
        <v>77</v>
      </c>
      <c r="S330" s="105"/>
      <c r="T330" s="105"/>
      <c r="U330" s="105"/>
      <c r="V330" s="105"/>
      <c r="W330" s="105" t="s">
        <v>80</v>
      </c>
      <c r="X330" s="105"/>
      <c r="Y330" s="105"/>
    </row>
    <row r="331" spans="1:25" s="99" customFormat="1" ht="26.25" customHeight="1">
      <c r="A331" s="100">
        <v>4072</v>
      </c>
      <c r="B331" s="101" t="s">
        <v>11</v>
      </c>
      <c r="C331" s="105" t="s">
        <v>52</v>
      </c>
      <c r="D331" s="105" t="s">
        <v>711</v>
      </c>
      <c r="E331" s="105" t="s">
        <v>44</v>
      </c>
      <c r="F331" s="101" t="str">
        <f t="shared" si="11"/>
        <v>-</v>
      </c>
      <c r="G331" s="106" t="s">
        <v>53</v>
      </c>
      <c r="H331" s="105"/>
      <c r="I331" s="106" t="s">
        <v>712</v>
      </c>
      <c r="J331" s="107" t="s">
        <v>54</v>
      </c>
      <c r="K331" s="108"/>
      <c r="L331" s="106"/>
      <c r="M331" s="110"/>
      <c r="N331" s="105" t="s">
        <v>78</v>
      </c>
      <c r="O331" s="105" t="str">
        <f t="shared" si="12"/>
        <v/>
      </c>
      <c r="P331" s="105"/>
      <c r="Q331" s="105" t="s">
        <v>77</v>
      </c>
      <c r="R331" s="105" t="s">
        <v>77</v>
      </c>
      <c r="S331" s="105"/>
      <c r="T331" s="105"/>
      <c r="U331" s="105"/>
      <c r="V331" s="105"/>
      <c r="W331" s="105" t="s">
        <v>80</v>
      </c>
      <c r="X331" s="105"/>
      <c r="Y331" s="105"/>
    </row>
    <row r="332" spans="1:25" s="99" customFormat="1" ht="26.25" customHeight="1">
      <c r="A332" s="100">
        <v>4073</v>
      </c>
      <c r="B332" s="101" t="s">
        <v>11</v>
      </c>
      <c r="C332" s="105" t="s">
        <v>52</v>
      </c>
      <c r="D332" s="105" t="s">
        <v>713</v>
      </c>
      <c r="E332" s="105" t="s">
        <v>44</v>
      </c>
      <c r="F332" s="101" t="str">
        <f t="shared" si="11"/>
        <v>-</v>
      </c>
      <c r="G332" s="106" t="s">
        <v>53</v>
      </c>
      <c r="H332" s="105"/>
      <c r="I332" s="106" t="s">
        <v>714</v>
      </c>
      <c r="J332" s="107" t="s">
        <v>54</v>
      </c>
      <c r="K332" s="108"/>
      <c r="L332" s="106"/>
      <c r="M332" s="110"/>
      <c r="N332" s="105" t="s">
        <v>78</v>
      </c>
      <c r="O332" s="105" t="str">
        <f t="shared" si="12"/>
        <v/>
      </c>
      <c r="P332" s="105"/>
      <c r="Q332" s="105" t="s">
        <v>77</v>
      </c>
      <c r="R332" s="105" t="s">
        <v>77</v>
      </c>
      <c r="S332" s="105"/>
      <c r="T332" s="105"/>
      <c r="U332" s="105"/>
      <c r="V332" s="105"/>
      <c r="W332" s="105" t="s">
        <v>80</v>
      </c>
      <c r="X332" s="105"/>
      <c r="Y332" s="105"/>
    </row>
    <row r="333" spans="1:25" s="99" customFormat="1" ht="26.25" customHeight="1">
      <c r="A333" s="100">
        <v>4074</v>
      </c>
      <c r="B333" s="101" t="s">
        <v>11</v>
      </c>
      <c r="C333" s="105" t="s">
        <v>52</v>
      </c>
      <c r="D333" s="105" t="s">
        <v>715</v>
      </c>
      <c r="E333" s="105" t="s">
        <v>44</v>
      </c>
      <c r="F333" s="101" t="str">
        <f t="shared" si="11"/>
        <v>-</v>
      </c>
      <c r="G333" s="106" t="s">
        <v>53</v>
      </c>
      <c r="H333" s="105"/>
      <c r="I333" s="106" t="s">
        <v>716</v>
      </c>
      <c r="J333" s="107" t="s">
        <v>54</v>
      </c>
      <c r="K333" s="108"/>
      <c r="L333" s="106"/>
      <c r="M333" s="110"/>
      <c r="N333" s="105" t="s">
        <v>78</v>
      </c>
      <c r="O333" s="105" t="str">
        <f t="shared" si="12"/>
        <v/>
      </c>
      <c r="P333" s="105"/>
      <c r="Q333" s="105" t="s">
        <v>77</v>
      </c>
      <c r="R333" s="105" t="s">
        <v>77</v>
      </c>
      <c r="S333" s="105"/>
      <c r="T333" s="105"/>
      <c r="U333" s="105"/>
      <c r="V333" s="105"/>
      <c r="W333" s="105" t="s">
        <v>80</v>
      </c>
      <c r="X333" s="105"/>
      <c r="Y333" s="105"/>
    </row>
    <row r="334" spans="1:25" s="99" customFormat="1" ht="26.25" customHeight="1">
      <c r="A334" s="100">
        <v>4075</v>
      </c>
      <c r="B334" s="101" t="s">
        <v>11</v>
      </c>
      <c r="C334" s="105" t="s">
        <v>52</v>
      </c>
      <c r="D334" s="105" t="s">
        <v>717</v>
      </c>
      <c r="E334" s="105" t="s">
        <v>44</v>
      </c>
      <c r="F334" s="101" t="str">
        <f t="shared" si="11"/>
        <v>-</v>
      </c>
      <c r="G334" s="106" t="s">
        <v>53</v>
      </c>
      <c r="H334" s="105"/>
      <c r="I334" s="106" t="s">
        <v>718</v>
      </c>
      <c r="J334" s="107" t="s">
        <v>54</v>
      </c>
      <c r="K334" s="108"/>
      <c r="L334" s="106"/>
      <c r="M334" s="110"/>
      <c r="N334" s="105" t="s">
        <v>78</v>
      </c>
      <c r="O334" s="105" t="str">
        <f t="shared" si="12"/>
        <v/>
      </c>
      <c r="P334" s="105"/>
      <c r="Q334" s="105" t="s">
        <v>77</v>
      </c>
      <c r="R334" s="105" t="s">
        <v>77</v>
      </c>
      <c r="S334" s="105"/>
      <c r="T334" s="105"/>
      <c r="U334" s="105"/>
      <c r="V334" s="105"/>
      <c r="W334" s="105" t="s">
        <v>80</v>
      </c>
      <c r="X334" s="105"/>
      <c r="Y334" s="105"/>
    </row>
    <row r="335" spans="1:25" s="99" customFormat="1" ht="26.25" customHeight="1">
      <c r="A335" s="100">
        <v>4076</v>
      </c>
      <c r="B335" s="101" t="s">
        <v>11</v>
      </c>
      <c r="C335" s="105" t="s">
        <v>52</v>
      </c>
      <c r="D335" s="105" t="s">
        <v>719</v>
      </c>
      <c r="E335" s="105" t="s">
        <v>44</v>
      </c>
      <c r="F335" s="101" t="str">
        <f t="shared" si="11"/>
        <v>-</v>
      </c>
      <c r="G335" s="106" t="s">
        <v>53</v>
      </c>
      <c r="H335" s="105"/>
      <c r="I335" s="106" t="s">
        <v>720</v>
      </c>
      <c r="J335" s="107" t="s">
        <v>54</v>
      </c>
      <c r="K335" s="108"/>
      <c r="L335" s="106"/>
      <c r="M335" s="110"/>
      <c r="N335" s="105" t="s">
        <v>78</v>
      </c>
      <c r="O335" s="105" t="str">
        <f t="shared" si="12"/>
        <v/>
      </c>
      <c r="P335" s="105"/>
      <c r="Q335" s="105" t="s">
        <v>77</v>
      </c>
      <c r="R335" s="105" t="s">
        <v>77</v>
      </c>
      <c r="S335" s="105"/>
      <c r="T335" s="105"/>
      <c r="U335" s="105"/>
      <c r="V335" s="105"/>
      <c r="W335" s="105" t="s">
        <v>80</v>
      </c>
      <c r="X335" s="105"/>
      <c r="Y335" s="105"/>
    </row>
    <row r="336" spans="1:25" s="99" customFormat="1" ht="26.25" customHeight="1">
      <c r="A336" s="100">
        <v>4077</v>
      </c>
      <c r="B336" s="101" t="s">
        <v>11</v>
      </c>
      <c r="C336" s="105" t="s">
        <v>52</v>
      </c>
      <c r="D336" s="105" t="s">
        <v>721</v>
      </c>
      <c r="E336" s="105" t="s">
        <v>44</v>
      </c>
      <c r="F336" s="101" t="str">
        <f t="shared" si="11"/>
        <v>-</v>
      </c>
      <c r="G336" s="106" t="s">
        <v>53</v>
      </c>
      <c r="H336" s="105"/>
      <c r="I336" s="106" t="s">
        <v>722</v>
      </c>
      <c r="J336" s="107" t="s">
        <v>54</v>
      </c>
      <c r="K336" s="108"/>
      <c r="L336" s="106"/>
      <c r="M336" s="110"/>
      <c r="N336" s="105" t="s">
        <v>78</v>
      </c>
      <c r="O336" s="105" t="str">
        <f t="shared" si="12"/>
        <v/>
      </c>
      <c r="P336" s="105"/>
      <c r="Q336" s="105" t="s">
        <v>77</v>
      </c>
      <c r="R336" s="105" t="s">
        <v>77</v>
      </c>
      <c r="S336" s="105"/>
      <c r="T336" s="105"/>
      <c r="U336" s="105"/>
      <c r="V336" s="105"/>
      <c r="W336" s="105" t="s">
        <v>80</v>
      </c>
      <c r="X336" s="105"/>
      <c r="Y336" s="105"/>
    </row>
    <row r="337" spans="1:25" s="99" customFormat="1" ht="26.25" customHeight="1">
      <c r="A337" s="100">
        <v>4078</v>
      </c>
      <c r="B337" s="101" t="s">
        <v>11</v>
      </c>
      <c r="C337" s="105" t="s">
        <v>52</v>
      </c>
      <c r="D337" s="105" t="s">
        <v>723</v>
      </c>
      <c r="E337" s="105" t="s">
        <v>44</v>
      </c>
      <c r="F337" s="101" t="str">
        <f t="shared" si="11"/>
        <v>-</v>
      </c>
      <c r="G337" s="106" t="s">
        <v>53</v>
      </c>
      <c r="H337" s="105"/>
      <c r="I337" s="106" t="s">
        <v>724</v>
      </c>
      <c r="J337" s="107" t="s">
        <v>54</v>
      </c>
      <c r="K337" s="108"/>
      <c r="L337" s="106"/>
      <c r="M337" s="110"/>
      <c r="N337" s="105" t="s">
        <v>78</v>
      </c>
      <c r="O337" s="105" t="str">
        <f t="shared" si="12"/>
        <v/>
      </c>
      <c r="P337" s="105"/>
      <c r="Q337" s="105" t="s">
        <v>77</v>
      </c>
      <c r="R337" s="105" t="s">
        <v>77</v>
      </c>
      <c r="S337" s="105"/>
      <c r="T337" s="105"/>
      <c r="U337" s="105"/>
      <c r="V337" s="105"/>
      <c r="W337" s="105" t="s">
        <v>80</v>
      </c>
      <c r="X337" s="105"/>
      <c r="Y337" s="105"/>
    </row>
    <row r="338" spans="1:25" s="99" customFormat="1" ht="26.25" customHeight="1">
      <c r="A338" s="100">
        <v>4079</v>
      </c>
      <c r="B338" s="101" t="s">
        <v>11</v>
      </c>
      <c r="C338" s="105" t="s">
        <v>52</v>
      </c>
      <c r="D338" s="105" t="s">
        <v>725</v>
      </c>
      <c r="E338" s="105" t="s">
        <v>44</v>
      </c>
      <c r="F338" s="101" t="str">
        <f t="shared" si="11"/>
        <v>-</v>
      </c>
      <c r="G338" s="106" t="s">
        <v>53</v>
      </c>
      <c r="H338" s="105"/>
      <c r="I338" s="106" t="s">
        <v>726</v>
      </c>
      <c r="J338" s="107" t="s">
        <v>54</v>
      </c>
      <c r="K338" s="108"/>
      <c r="L338" s="106"/>
      <c r="M338" s="110"/>
      <c r="N338" s="105" t="s">
        <v>78</v>
      </c>
      <c r="O338" s="105" t="str">
        <f t="shared" si="12"/>
        <v/>
      </c>
      <c r="P338" s="105"/>
      <c r="Q338" s="105" t="s">
        <v>77</v>
      </c>
      <c r="R338" s="105" t="s">
        <v>77</v>
      </c>
      <c r="S338" s="105"/>
      <c r="T338" s="105"/>
      <c r="U338" s="105"/>
      <c r="V338" s="105"/>
      <c r="W338" s="105" t="s">
        <v>80</v>
      </c>
      <c r="X338" s="105"/>
      <c r="Y338" s="105"/>
    </row>
    <row r="339" spans="1:25" s="99" customFormat="1" ht="26.25" customHeight="1">
      <c r="A339" s="100">
        <v>4080</v>
      </c>
      <c r="B339" s="101" t="s">
        <v>11</v>
      </c>
      <c r="C339" s="105" t="s">
        <v>52</v>
      </c>
      <c r="D339" s="105" t="s">
        <v>727</v>
      </c>
      <c r="E339" s="105" t="s">
        <v>44</v>
      </c>
      <c r="F339" s="101" t="str">
        <f t="shared" si="11"/>
        <v>-</v>
      </c>
      <c r="G339" s="106" t="s">
        <v>53</v>
      </c>
      <c r="H339" s="105"/>
      <c r="I339" s="106" t="s">
        <v>728</v>
      </c>
      <c r="J339" s="107" t="s">
        <v>54</v>
      </c>
      <c r="K339" s="108"/>
      <c r="L339" s="106"/>
      <c r="M339" s="110"/>
      <c r="N339" s="105" t="s">
        <v>78</v>
      </c>
      <c r="O339" s="105" t="str">
        <f t="shared" si="12"/>
        <v/>
      </c>
      <c r="P339" s="105"/>
      <c r="Q339" s="105" t="s">
        <v>77</v>
      </c>
      <c r="R339" s="105" t="s">
        <v>77</v>
      </c>
      <c r="S339" s="105"/>
      <c r="T339" s="105"/>
      <c r="U339" s="105"/>
      <c r="V339" s="105"/>
      <c r="W339" s="105" t="s">
        <v>80</v>
      </c>
      <c r="X339" s="105"/>
      <c r="Y339" s="105"/>
    </row>
    <row r="340" spans="1:25" s="99" customFormat="1" ht="26.25" customHeight="1">
      <c r="A340" s="100">
        <v>4081</v>
      </c>
      <c r="B340" s="101" t="s">
        <v>11</v>
      </c>
      <c r="C340" s="105" t="s">
        <v>52</v>
      </c>
      <c r="D340" s="105" t="s">
        <v>729</v>
      </c>
      <c r="E340" s="105" t="s">
        <v>44</v>
      </c>
      <c r="F340" s="101" t="str">
        <f t="shared" si="11"/>
        <v>-</v>
      </c>
      <c r="G340" s="106" t="s">
        <v>53</v>
      </c>
      <c r="H340" s="105"/>
      <c r="I340" s="106" t="s">
        <v>730</v>
      </c>
      <c r="J340" s="107" t="s">
        <v>54</v>
      </c>
      <c r="K340" s="108"/>
      <c r="L340" s="106"/>
      <c r="M340" s="110"/>
      <c r="N340" s="105" t="s">
        <v>78</v>
      </c>
      <c r="O340" s="105" t="str">
        <f t="shared" si="12"/>
        <v/>
      </c>
      <c r="P340" s="105"/>
      <c r="Q340" s="105" t="s">
        <v>77</v>
      </c>
      <c r="R340" s="105" t="s">
        <v>77</v>
      </c>
      <c r="S340" s="105"/>
      <c r="T340" s="105"/>
      <c r="U340" s="105"/>
      <c r="V340" s="105"/>
      <c r="W340" s="105" t="s">
        <v>80</v>
      </c>
      <c r="X340" s="105"/>
      <c r="Y340" s="105"/>
    </row>
    <row r="341" spans="1:25" s="99" customFormat="1" ht="26.25" customHeight="1">
      <c r="A341" s="100">
        <v>4082</v>
      </c>
      <c r="B341" s="101" t="s">
        <v>11</v>
      </c>
      <c r="C341" s="105" t="s">
        <v>52</v>
      </c>
      <c r="D341" s="105" t="s">
        <v>731</v>
      </c>
      <c r="E341" s="105" t="s">
        <v>44</v>
      </c>
      <c r="F341" s="101" t="str">
        <f t="shared" si="11"/>
        <v>-</v>
      </c>
      <c r="G341" s="106" t="s">
        <v>53</v>
      </c>
      <c r="H341" s="105"/>
      <c r="I341" s="106" t="s">
        <v>732</v>
      </c>
      <c r="J341" s="107" t="s">
        <v>54</v>
      </c>
      <c r="K341" s="108"/>
      <c r="L341" s="106"/>
      <c r="M341" s="110"/>
      <c r="N341" s="105" t="s">
        <v>78</v>
      </c>
      <c r="O341" s="105" t="str">
        <f t="shared" si="12"/>
        <v/>
      </c>
      <c r="P341" s="105"/>
      <c r="Q341" s="105" t="s">
        <v>77</v>
      </c>
      <c r="R341" s="105" t="s">
        <v>77</v>
      </c>
      <c r="S341" s="105"/>
      <c r="T341" s="105"/>
      <c r="U341" s="105"/>
      <c r="V341" s="105"/>
      <c r="W341" s="105" t="s">
        <v>80</v>
      </c>
      <c r="X341" s="105"/>
      <c r="Y341" s="105"/>
    </row>
    <row r="342" spans="1:25" s="99" customFormat="1" ht="26.25" customHeight="1">
      <c r="A342" s="100">
        <v>4083</v>
      </c>
      <c r="B342" s="101" t="s">
        <v>11</v>
      </c>
      <c r="C342" s="105" t="s">
        <v>52</v>
      </c>
      <c r="D342" s="105" t="s">
        <v>733</v>
      </c>
      <c r="E342" s="105" t="s">
        <v>44</v>
      </c>
      <c r="F342" s="101" t="str">
        <f t="shared" ref="F342:F405" si="13">IF(B342&lt;&gt;"","-","")</f>
        <v>-</v>
      </c>
      <c r="G342" s="106" t="s">
        <v>53</v>
      </c>
      <c r="H342" s="105"/>
      <c r="I342" s="106" t="s">
        <v>734</v>
      </c>
      <c r="J342" s="107" t="s">
        <v>54</v>
      </c>
      <c r="K342" s="108"/>
      <c r="L342" s="106"/>
      <c r="M342" s="110"/>
      <c r="N342" s="105" t="s">
        <v>78</v>
      </c>
      <c r="O342" s="105" t="str">
        <f t="shared" ref="O342:O405" si="14">IF(OR(R342&lt;&gt;"",Q342&lt;&gt;""),"X","")</f>
        <v/>
      </c>
      <c r="P342" s="105"/>
      <c r="Q342" s="105" t="s">
        <v>77</v>
      </c>
      <c r="R342" s="105" t="s">
        <v>77</v>
      </c>
      <c r="S342" s="105"/>
      <c r="T342" s="105"/>
      <c r="U342" s="105"/>
      <c r="V342" s="105"/>
      <c r="W342" s="105" t="s">
        <v>80</v>
      </c>
      <c r="X342" s="105"/>
      <c r="Y342" s="105"/>
    </row>
    <row r="343" spans="1:25" s="99" customFormat="1" ht="26.25" customHeight="1">
      <c r="A343" s="100">
        <v>4084</v>
      </c>
      <c r="B343" s="101" t="s">
        <v>11</v>
      </c>
      <c r="C343" s="105" t="s">
        <v>52</v>
      </c>
      <c r="D343" s="105" t="s">
        <v>735</v>
      </c>
      <c r="E343" s="105" t="s">
        <v>44</v>
      </c>
      <c r="F343" s="101" t="str">
        <f t="shared" si="13"/>
        <v>-</v>
      </c>
      <c r="G343" s="106" t="s">
        <v>53</v>
      </c>
      <c r="H343" s="105"/>
      <c r="I343" s="106" t="s">
        <v>736</v>
      </c>
      <c r="J343" s="107" t="s">
        <v>54</v>
      </c>
      <c r="K343" s="108"/>
      <c r="L343" s="106"/>
      <c r="M343" s="110"/>
      <c r="N343" s="105" t="s">
        <v>78</v>
      </c>
      <c r="O343" s="105" t="str">
        <f t="shared" si="14"/>
        <v/>
      </c>
      <c r="P343" s="105"/>
      <c r="Q343" s="105" t="s">
        <v>77</v>
      </c>
      <c r="R343" s="105" t="s">
        <v>77</v>
      </c>
      <c r="S343" s="105"/>
      <c r="T343" s="105"/>
      <c r="U343" s="105"/>
      <c r="V343" s="105"/>
      <c r="W343" s="105" t="s">
        <v>80</v>
      </c>
      <c r="X343" s="105"/>
      <c r="Y343" s="105"/>
    </row>
    <row r="344" spans="1:25" s="99" customFormat="1" ht="26.25" customHeight="1">
      <c r="A344" s="100">
        <v>4085</v>
      </c>
      <c r="B344" s="101" t="s">
        <v>11</v>
      </c>
      <c r="C344" s="105" t="s">
        <v>52</v>
      </c>
      <c r="D344" s="105" t="s">
        <v>737</v>
      </c>
      <c r="E344" s="105" t="s">
        <v>44</v>
      </c>
      <c r="F344" s="101" t="str">
        <f t="shared" si="13"/>
        <v>-</v>
      </c>
      <c r="G344" s="106" t="s">
        <v>53</v>
      </c>
      <c r="H344" s="105"/>
      <c r="I344" s="106" t="s">
        <v>738</v>
      </c>
      <c r="J344" s="107" t="s">
        <v>54</v>
      </c>
      <c r="K344" s="108"/>
      <c r="L344" s="106"/>
      <c r="M344" s="110"/>
      <c r="N344" s="105" t="s">
        <v>78</v>
      </c>
      <c r="O344" s="105" t="str">
        <f t="shared" si="14"/>
        <v/>
      </c>
      <c r="P344" s="105"/>
      <c r="Q344" s="105" t="s">
        <v>77</v>
      </c>
      <c r="R344" s="105" t="s">
        <v>77</v>
      </c>
      <c r="S344" s="105"/>
      <c r="T344" s="105"/>
      <c r="U344" s="105"/>
      <c r="V344" s="105"/>
      <c r="W344" s="105" t="s">
        <v>80</v>
      </c>
      <c r="X344" s="105"/>
      <c r="Y344" s="105"/>
    </row>
    <row r="345" spans="1:25" s="99" customFormat="1" ht="26.25" customHeight="1">
      <c r="A345" s="100">
        <v>4086</v>
      </c>
      <c r="B345" s="101" t="s">
        <v>11</v>
      </c>
      <c r="C345" s="105" t="s">
        <v>52</v>
      </c>
      <c r="D345" s="105" t="s">
        <v>739</v>
      </c>
      <c r="E345" s="105" t="s">
        <v>44</v>
      </c>
      <c r="F345" s="101" t="str">
        <f t="shared" si="13"/>
        <v>-</v>
      </c>
      <c r="G345" s="106" t="s">
        <v>53</v>
      </c>
      <c r="H345" s="105"/>
      <c r="I345" s="106" t="s">
        <v>740</v>
      </c>
      <c r="J345" s="107" t="s">
        <v>54</v>
      </c>
      <c r="K345" s="108"/>
      <c r="L345" s="106"/>
      <c r="M345" s="110"/>
      <c r="N345" s="105" t="s">
        <v>78</v>
      </c>
      <c r="O345" s="105" t="str">
        <f t="shared" si="14"/>
        <v/>
      </c>
      <c r="P345" s="105"/>
      <c r="Q345" s="105" t="s">
        <v>77</v>
      </c>
      <c r="R345" s="105" t="s">
        <v>77</v>
      </c>
      <c r="S345" s="105"/>
      <c r="T345" s="105"/>
      <c r="U345" s="105"/>
      <c r="V345" s="105"/>
      <c r="W345" s="105" t="s">
        <v>80</v>
      </c>
      <c r="X345" s="105"/>
      <c r="Y345" s="105"/>
    </row>
    <row r="346" spans="1:25" s="99" customFormat="1" ht="26.25" customHeight="1">
      <c r="A346" s="100">
        <v>4087</v>
      </c>
      <c r="B346" s="101" t="s">
        <v>11</v>
      </c>
      <c r="C346" s="105" t="s">
        <v>52</v>
      </c>
      <c r="D346" s="105" t="s">
        <v>741</v>
      </c>
      <c r="E346" s="105" t="s">
        <v>44</v>
      </c>
      <c r="F346" s="101" t="str">
        <f t="shared" si="13"/>
        <v>-</v>
      </c>
      <c r="G346" s="106" t="s">
        <v>53</v>
      </c>
      <c r="H346" s="105"/>
      <c r="I346" s="106" t="s">
        <v>742</v>
      </c>
      <c r="J346" s="107" t="s">
        <v>54</v>
      </c>
      <c r="K346" s="108"/>
      <c r="L346" s="106"/>
      <c r="M346" s="110"/>
      <c r="N346" s="105" t="s">
        <v>78</v>
      </c>
      <c r="O346" s="105" t="str">
        <f t="shared" si="14"/>
        <v/>
      </c>
      <c r="P346" s="105"/>
      <c r="Q346" s="105" t="s">
        <v>77</v>
      </c>
      <c r="R346" s="105" t="s">
        <v>77</v>
      </c>
      <c r="S346" s="105"/>
      <c r="T346" s="105"/>
      <c r="U346" s="105"/>
      <c r="V346" s="105"/>
      <c r="W346" s="105" t="s">
        <v>80</v>
      </c>
      <c r="X346" s="105"/>
      <c r="Y346" s="105"/>
    </row>
    <row r="347" spans="1:25" s="99" customFormat="1" ht="26.25" customHeight="1">
      <c r="A347" s="100">
        <v>4088</v>
      </c>
      <c r="B347" s="101" t="s">
        <v>11</v>
      </c>
      <c r="C347" s="105" t="s">
        <v>52</v>
      </c>
      <c r="D347" s="105" t="s">
        <v>743</v>
      </c>
      <c r="E347" s="105" t="s">
        <v>44</v>
      </c>
      <c r="F347" s="101" t="str">
        <f t="shared" si="13"/>
        <v>-</v>
      </c>
      <c r="G347" s="106" t="s">
        <v>53</v>
      </c>
      <c r="H347" s="105"/>
      <c r="I347" s="106" t="s">
        <v>744</v>
      </c>
      <c r="J347" s="107" t="s">
        <v>54</v>
      </c>
      <c r="K347" s="108"/>
      <c r="L347" s="106"/>
      <c r="M347" s="110"/>
      <c r="N347" s="105" t="s">
        <v>78</v>
      </c>
      <c r="O347" s="105" t="str">
        <f t="shared" si="14"/>
        <v/>
      </c>
      <c r="P347" s="105"/>
      <c r="Q347" s="105" t="s">
        <v>77</v>
      </c>
      <c r="R347" s="105" t="s">
        <v>77</v>
      </c>
      <c r="S347" s="105"/>
      <c r="T347" s="105"/>
      <c r="U347" s="105"/>
      <c r="V347" s="105"/>
      <c r="W347" s="105" t="s">
        <v>80</v>
      </c>
      <c r="X347" s="105"/>
      <c r="Y347" s="105"/>
    </row>
    <row r="348" spans="1:25" s="99" customFormat="1" ht="26.25" customHeight="1">
      <c r="A348" s="100">
        <v>4089</v>
      </c>
      <c r="B348" s="101" t="s">
        <v>11</v>
      </c>
      <c r="C348" s="105" t="s">
        <v>52</v>
      </c>
      <c r="D348" s="105" t="s">
        <v>745</v>
      </c>
      <c r="E348" s="105" t="s">
        <v>44</v>
      </c>
      <c r="F348" s="101" t="str">
        <f t="shared" si="13"/>
        <v>-</v>
      </c>
      <c r="G348" s="106" t="s">
        <v>53</v>
      </c>
      <c r="H348" s="105"/>
      <c r="I348" s="106" t="s">
        <v>746</v>
      </c>
      <c r="J348" s="107" t="s">
        <v>54</v>
      </c>
      <c r="K348" s="108"/>
      <c r="L348" s="106"/>
      <c r="M348" s="110"/>
      <c r="N348" s="105" t="s">
        <v>78</v>
      </c>
      <c r="O348" s="105" t="str">
        <f t="shared" si="14"/>
        <v/>
      </c>
      <c r="P348" s="105"/>
      <c r="Q348" s="105" t="s">
        <v>77</v>
      </c>
      <c r="R348" s="105" t="s">
        <v>77</v>
      </c>
      <c r="S348" s="105"/>
      <c r="T348" s="105"/>
      <c r="U348" s="105"/>
      <c r="V348" s="105"/>
      <c r="W348" s="105" t="s">
        <v>80</v>
      </c>
      <c r="X348" s="105"/>
      <c r="Y348" s="105"/>
    </row>
    <row r="349" spans="1:25" s="99" customFormat="1" ht="26.25" customHeight="1">
      <c r="A349" s="100">
        <v>4090</v>
      </c>
      <c r="B349" s="101" t="s">
        <v>11</v>
      </c>
      <c r="C349" s="105" t="s">
        <v>52</v>
      </c>
      <c r="D349" s="105" t="s">
        <v>747</v>
      </c>
      <c r="E349" s="105" t="s">
        <v>44</v>
      </c>
      <c r="F349" s="101" t="str">
        <f t="shared" si="13"/>
        <v>-</v>
      </c>
      <c r="G349" s="106" t="s">
        <v>53</v>
      </c>
      <c r="H349" s="105"/>
      <c r="I349" s="106" t="s">
        <v>748</v>
      </c>
      <c r="J349" s="107" t="s">
        <v>54</v>
      </c>
      <c r="K349" s="108"/>
      <c r="L349" s="106"/>
      <c r="M349" s="110"/>
      <c r="N349" s="105" t="s">
        <v>78</v>
      </c>
      <c r="O349" s="105" t="str">
        <f t="shared" si="14"/>
        <v/>
      </c>
      <c r="P349" s="105"/>
      <c r="Q349" s="105" t="s">
        <v>77</v>
      </c>
      <c r="R349" s="105" t="s">
        <v>77</v>
      </c>
      <c r="S349" s="105"/>
      <c r="T349" s="105"/>
      <c r="U349" s="105"/>
      <c r="V349" s="105"/>
      <c r="W349" s="105" t="s">
        <v>80</v>
      </c>
      <c r="X349" s="105"/>
      <c r="Y349" s="105"/>
    </row>
    <row r="350" spans="1:25" s="99" customFormat="1" ht="26.25" customHeight="1">
      <c r="A350" s="100">
        <v>4091</v>
      </c>
      <c r="B350" s="101" t="s">
        <v>11</v>
      </c>
      <c r="C350" s="105" t="s">
        <v>52</v>
      </c>
      <c r="D350" s="105" t="s">
        <v>749</v>
      </c>
      <c r="E350" s="105" t="s">
        <v>44</v>
      </c>
      <c r="F350" s="101" t="str">
        <f t="shared" si="13"/>
        <v>-</v>
      </c>
      <c r="G350" s="106" t="s">
        <v>53</v>
      </c>
      <c r="H350" s="105"/>
      <c r="I350" s="106" t="s">
        <v>750</v>
      </c>
      <c r="J350" s="107" t="s">
        <v>54</v>
      </c>
      <c r="K350" s="108"/>
      <c r="L350" s="106"/>
      <c r="M350" s="110"/>
      <c r="N350" s="105" t="s">
        <v>78</v>
      </c>
      <c r="O350" s="105" t="str">
        <f t="shared" si="14"/>
        <v/>
      </c>
      <c r="P350" s="105"/>
      <c r="Q350" s="105" t="s">
        <v>77</v>
      </c>
      <c r="R350" s="105" t="s">
        <v>77</v>
      </c>
      <c r="S350" s="105"/>
      <c r="T350" s="105"/>
      <c r="U350" s="105"/>
      <c r="V350" s="105"/>
      <c r="W350" s="105" t="s">
        <v>80</v>
      </c>
      <c r="X350" s="105"/>
      <c r="Y350" s="105"/>
    </row>
    <row r="351" spans="1:25" s="99" customFormat="1" ht="26.25" customHeight="1">
      <c r="A351" s="100">
        <v>4092</v>
      </c>
      <c r="B351" s="101" t="s">
        <v>11</v>
      </c>
      <c r="C351" s="105" t="s">
        <v>52</v>
      </c>
      <c r="D351" s="105" t="s">
        <v>751</v>
      </c>
      <c r="E351" s="105" t="s">
        <v>44</v>
      </c>
      <c r="F351" s="101" t="str">
        <f t="shared" si="13"/>
        <v>-</v>
      </c>
      <c r="G351" s="106" t="s">
        <v>53</v>
      </c>
      <c r="H351" s="105"/>
      <c r="I351" s="106" t="s">
        <v>752</v>
      </c>
      <c r="J351" s="107" t="s">
        <v>54</v>
      </c>
      <c r="K351" s="108"/>
      <c r="L351" s="106"/>
      <c r="M351" s="110"/>
      <c r="N351" s="105" t="s">
        <v>78</v>
      </c>
      <c r="O351" s="105" t="str">
        <f t="shared" si="14"/>
        <v/>
      </c>
      <c r="P351" s="105"/>
      <c r="Q351" s="105" t="s">
        <v>77</v>
      </c>
      <c r="R351" s="105" t="s">
        <v>77</v>
      </c>
      <c r="S351" s="105"/>
      <c r="T351" s="105"/>
      <c r="U351" s="105"/>
      <c r="V351" s="105"/>
      <c r="W351" s="105" t="s">
        <v>80</v>
      </c>
      <c r="X351" s="105"/>
      <c r="Y351" s="105"/>
    </row>
    <row r="352" spans="1:25" s="99" customFormat="1" ht="26.25" customHeight="1">
      <c r="A352" s="100">
        <v>4093</v>
      </c>
      <c r="B352" s="101" t="s">
        <v>11</v>
      </c>
      <c r="C352" s="105" t="s">
        <v>52</v>
      </c>
      <c r="D352" s="105" t="s">
        <v>753</v>
      </c>
      <c r="E352" s="105" t="s">
        <v>44</v>
      </c>
      <c r="F352" s="101" t="str">
        <f t="shared" si="13"/>
        <v>-</v>
      </c>
      <c r="G352" s="106" t="s">
        <v>53</v>
      </c>
      <c r="H352" s="105"/>
      <c r="I352" s="106" t="s">
        <v>754</v>
      </c>
      <c r="J352" s="107" t="s">
        <v>54</v>
      </c>
      <c r="K352" s="108"/>
      <c r="L352" s="106"/>
      <c r="M352" s="110"/>
      <c r="N352" s="105" t="s">
        <v>78</v>
      </c>
      <c r="O352" s="105" t="str">
        <f t="shared" si="14"/>
        <v/>
      </c>
      <c r="P352" s="105"/>
      <c r="Q352" s="105" t="s">
        <v>77</v>
      </c>
      <c r="R352" s="105" t="s">
        <v>77</v>
      </c>
      <c r="S352" s="105"/>
      <c r="T352" s="105"/>
      <c r="U352" s="105"/>
      <c r="V352" s="105"/>
      <c r="W352" s="105" t="s">
        <v>80</v>
      </c>
      <c r="X352" s="105"/>
      <c r="Y352" s="105"/>
    </row>
    <row r="353" spans="1:25" s="99" customFormat="1" ht="26.25" customHeight="1">
      <c r="A353" s="100">
        <v>4094</v>
      </c>
      <c r="B353" s="101" t="s">
        <v>11</v>
      </c>
      <c r="C353" s="105" t="s">
        <v>52</v>
      </c>
      <c r="D353" s="105" t="s">
        <v>755</v>
      </c>
      <c r="E353" s="105" t="s">
        <v>44</v>
      </c>
      <c r="F353" s="101" t="str">
        <f t="shared" si="13"/>
        <v>-</v>
      </c>
      <c r="G353" s="106" t="s">
        <v>53</v>
      </c>
      <c r="H353" s="105"/>
      <c r="I353" s="106" t="s">
        <v>756</v>
      </c>
      <c r="J353" s="107" t="s">
        <v>54</v>
      </c>
      <c r="K353" s="108"/>
      <c r="L353" s="106"/>
      <c r="M353" s="110"/>
      <c r="N353" s="105" t="s">
        <v>78</v>
      </c>
      <c r="O353" s="105" t="str">
        <f t="shared" si="14"/>
        <v/>
      </c>
      <c r="P353" s="105"/>
      <c r="Q353" s="105" t="s">
        <v>77</v>
      </c>
      <c r="R353" s="105" t="s">
        <v>77</v>
      </c>
      <c r="S353" s="105"/>
      <c r="T353" s="105"/>
      <c r="U353" s="105"/>
      <c r="V353" s="105"/>
      <c r="W353" s="105" t="s">
        <v>80</v>
      </c>
      <c r="X353" s="105"/>
      <c r="Y353" s="105"/>
    </row>
    <row r="354" spans="1:25" s="99" customFormat="1" ht="26.25" customHeight="1">
      <c r="A354" s="100">
        <v>4095</v>
      </c>
      <c r="B354" s="101" t="s">
        <v>11</v>
      </c>
      <c r="C354" s="105" t="s">
        <v>52</v>
      </c>
      <c r="D354" s="105" t="s">
        <v>757</v>
      </c>
      <c r="E354" s="105" t="s">
        <v>44</v>
      </c>
      <c r="F354" s="101" t="str">
        <f t="shared" si="13"/>
        <v>-</v>
      </c>
      <c r="G354" s="106" t="s">
        <v>53</v>
      </c>
      <c r="H354" s="105"/>
      <c r="I354" s="106" t="s">
        <v>758</v>
      </c>
      <c r="J354" s="107" t="s">
        <v>54</v>
      </c>
      <c r="K354" s="108"/>
      <c r="L354" s="106"/>
      <c r="M354" s="110"/>
      <c r="N354" s="105" t="s">
        <v>78</v>
      </c>
      <c r="O354" s="105" t="str">
        <f t="shared" si="14"/>
        <v/>
      </c>
      <c r="P354" s="105"/>
      <c r="Q354" s="105" t="s">
        <v>77</v>
      </c>
      <c r="R354" s="105" t="s">
        <v>77</v>
      </c>
      <c r="S354" s="105"/>
      <c r="T354" s="105"/>
      <c r="U354" s="105"/>
      <c r="V354" s="105"/>
      <c r="W354" s="105" t="s">
        <v>80</v>
      </c>
      <c r="X354" s="105"/>
      <c r="Y354" s="105"/>
    </row>
    <row r="355" spans="1:25" s="99" customFormat="1" ht="26.25" customHeight="1">
      <c r="A355" s="100">
        <v>4096</v>
      </c>
      <c r="B355" s="101" t="s">
        <v>11</v>
      </c>
      <c r="C355" s="105" t="s">
        <v>52</v>
      </c>
      <c r="D355" s="105" t="s">
        <v>759</v>
      </c>
      <c r="E355" s="105" t="s">
        <v>44</v>
      </c>
      <c r="F355" s="101" t="str">
        <f t="shared" si="13"/>
        <v>-</v>
      </c>
      <c r="G355" s="106" t="s">
        <v>53</v>
      </c>
      <c r="H355" s="105"/>
      <c r="I355" s="106" t="s">
        <v>760</v>
      </c>
      <c r="J355" s="107" t="s">
        <v>54</v>
      </c>
      <c r="K355" s="108"/>
      <c r="L355" s="106"/>
      <c r="M355" s="110"/>
      <c r="N355" s="105" t="s">
        <v>78</v>
      </c>
      <c r="O355" s="105" t="str">
        <f t="shared" si="14"/>
        <v/>
      </c>
      <c r="P355" s="105"/>
      <c r="Q355" s="105" t="s">
        <v>77</v>
      </c>
      <c r="R355" s="105" t="s">
        <v>77</v>
      </c>
      <c r="S355" s="105"/>
      <c r="T355" s="105"/>
      <c r="U355" s="105"/>
      <c r="V355" s="105"/>
      <c r="W355" s="105" t="s">
        <v>80</v>
      </c>
      <c r="X355" s="105"/>
      <c r="Y355" s="105"/>
    </row>
    <row r="356" spans="1:25" s="99" customFormat="1" ht="26.25" customHeight="1">
      <c r="A356" s="100">
        <v>4097</v>
      </c>
      <c r="B356" s="101" t="s">
        <v>11</v>
      </c>
      <c r="C356" s="105" t="s">
        <v>52</v>
      </c>
      <c r="D356" s="105" t="s">
        <v>761</v>
      </c>
      <c r="E356" s="105" t="s">
        <v>44</v>
      </c>
      <c r="F356" s="101" t="str">
        <f t="shared" si="13"/>
        <v>-</v>
      </c>
      <c r="G356" s="106" t="s">
        <v>53</v>
      </c>
      <c r="H356" s="105"/>
      <c r="I356" s="106" t="s">
        <v>762</v>
      </c>
      <c r="J356" s="107" t="s">
        <v>54</v>
      </c>
      <c r="K356" s="108"/>
      <c r="L356" s="106"/>
      <c r="M356" s="110"/>
      <c r="N356" s="105" t="s">
        <v>78</v>
      </c>
      <c r="O356" s="105" t="str">
        <f t="shared" si="14"/>
        <v/>
      </c>
      <c r="P356" s="105"/>
      <c r="Q356" s="105" t="s">
        <v>77</v>
      </c>
      <c r="R356" s="105" t="s">
        <v>77</v>
      </c>
      <c r="S356" s="105"/>
      <c r="T356" s="105"/>
      <c r="U356" s="105"/>
      <c r="V356" s="105"/>
      <c r="W356" s="105" t="s">
        <v>80</v>
      </c>
      <c r="X356" s="105"/>
      <c r="Y356" s="105"/>
    </row>
    <row r="357" spans="1:25" s="99" customFormat="1" ht="26.25" customHeight="1">
      <c r="A357" s="100">
        <v>4098</v>
      </c>
      <c r="B357" s="101" t="s">
        <v>11</v>
      </c>
      <c r="C357" s="105" t="s">
        <v>52</v>
      </c>
      <c r="D357" s="105" t="s">
        <v>763</v>
      </c>
      <c r="E357" s="105" t="s">
        <v>44</v>
      </c>
      <c r="F357" s="101" t="str">
        <f t="shared" si="13"/>
        <v>-</v>
      </c>
      <c r="G357" s="106" t="s">
        <v>53</v>
      </c>
      <c r="H357" s="105"/>
      <c r="I357" s="106" t="s">
        <v>764</v>
      </c>
      <c r="J357" s="107" t="s">
        <v>54</v>
      </c>
      <c r="K357" s="108"/>
      <c r="L357" s="106"/>
      <c r="M357" s="110"/>
      <c r="N357" s="105" t="s">
        <v>78</v>
      </c>
      <c r="O357" s="105" t="str">
        <f t="shared" si="14"/>
        <v/>
      </c>
      <c r="P357" s="105"/>
      <c r="Q357" s="105" t="s">
        <v>77</v>
      </c>
      <c r="R357" s="105" t="s">
        <v>77</v>
      </c>
      <c r="S357" s="105"/>
      <c r="T357" s="105"/>
      <c r="U357" s="105"/>
      <c r="V357" s="105"/>
      <c r="W357" s="105" t="s">
        <v>80</v>
      </c>
      <c r="X357" s="105"/>
      <c r="Y357" s="105"/>
    </row>
    <row r="358" spans="1:25" s="99" customFormat="1" ht="26.25" customHeight="1">
      <c r="A358" s="100">
        <v>4099</v>
      </c>
      <c r="B358" s="101" t="s">
        <v>11</v>
      </c>
      <c r="C358" s="105" t="s">
        <v>52</v>
      </c>
      <c r="D358" s="105" t="s">
        <v>765</v>
      </c>
      <c r="E358" s="105" t="s">
        <v>44</v>
      </c>
      <c r="F358" s="101" t="str">
        <f t="shared" si="13"/>
        <v>-</v>
      </c>
      <c r="G358" s="106" t="s">
        <v>53</v>
      </c>
      <c r="H358" s="105"/>
      <c r="I358" s="106" t="s">
        <v>766</v>
      </c>
      <c r="J358" s="107" t="s">
        <v>54</v>
      </c>
      <c r="K358" s="108"/>
      <c r="L358" s="106"/>
      <c r="M358" s="110"/>
      <c r="N358" s="105" t="s">
        <v>78</v>
      </c>
      <c r="O358" s="105" t="str">
        <f t="shared" si="14"/>
        <v/>
      </c>
      <c r="P358" s="105"/>
      <c r="Q358" s="105" t="s">
        <v>77</v>
      </c>
      <c r="R358" s="105" t="s">
        <v>77</v>
      </c>
      <c r="S358" s="105"/>
      <c r="T358" s="105"/>
      <c r="U358" s="105"/>
      <c r="V358" s="105"/>
      <c r="W358" s="105" t="s">
        <v>80</v>
      </c>
      <c r="X358" s="105"/>
      <c r="Y358" s="105"/>
    </row>
    <row r="359" spans="1:25" s="99" customFormat="1" ht="26.25" customHeight="1">
      <c r="A359" s="100">
        <v>4100</v>
      </c>
      <c r="B359" s="101" t="s">
        <v>11</v>
      </c>
      <c r="C359" s="105" t="s">
        <v>52</v>
      </c>
      <c r="D359" s="105" t="s">
        <v>767</v>
      </c>
      <c r="E359" s="105" t="s">
        <v>44</v>
      </c>
      <c r="F359" s="101" t="str">
        <f t="shared" si="13"/>
        <v>-</v>
      </c>
      <c r="G359" s="106" t="s">
        <v>53</v>
      </c>
      <c r="H359" s="105"/>
      <c r="I359" s="106" t="s">
        <v>768</v>
      </c>
      <c r="J359" s="107" t="s">
        <v>54</v>
      </c>
      <c r="K359" s="108"/>
      <c r="L359" s="106"/>
      <c r="M359" s="110"/>
      <c r="N359" s="105" t="s">
        <v>78</v>
      </c>
      <c r="O359" s="105" t="str">
        <f t="shared" si="14"/>
        <v/>
      </c>
      <c r="P359" s="105"/>
      <c r="Q359" s="105" t="s">
        <v>77</v>
      </c>
      <c r="R359" s="105" t="s">
        <v>77</v>
      </c>
      <c r="S359" s="105"/>
      <c r="T359" s="105"/>
      <c r="U359" s="105"/>
      <c r="V359" s="105"/>
      <c r="W359" s="105" t="s">
        <v>80</v>
      </c>
      <c r="X359" s="105"/>
      <c r="Y359" s="105"/>
    </row>
    <row r="360" spans="1:25" s="99" customFormat="1" ht="26.25" customHeight="1">
      <c r="A360" s="100">
        <v>4101</v>
      </c>
      <c r="B360" s="101" t="s">
        <v>11</v>
      </c>
      <c r="C360" s="105" t="s">
        <v>52</v>
      </c>
      <c r="D360" s="105" t="s">
        <v>769</v>
      </c>
      <c r="E360" s="105" t="s">
        <v>44</v>
      </c>
      <c r="F360" s="101" t="str">
        <f t="shared" si="13"/>
        <v>-</v>
      </c>
      <c r="G360" s="106" t="s">
        <v>53</v>
      </c>
      <c r="H360" s="105"/>
      <c r="I360" s="106" t="s">
        <v>770</v>
      </c>
      <c r="J360" s="107" t="s">
        <v>54</v>
      </c>
      <c r="K360" s="108"/>
      <c r="L360" s="106"/>
      <c r="M360" s="110"/>
      <c r="N360" s="105" t="s">
        <v>78</v>
      </c>
      <c r="O360" s="105" t="str">
        <f t="shared" si="14"/>
        <v/>
      </c>
      <c r="P360" s="105"/>
      <c r="Q360" s="105" t="s">
        <v>77</v>
      </c>
      <c r="R360" s="105" t="s">
        <v>77</v>
      </c>
      <c r="S360" s="105"/>
      <c r="T360" s="105"/>
      <c r="U360" s="105"/>
      <c r="V360" s="105"/>
      <c r="W360" s="105" t="s">
        <v>80</v>
      </c>
      <c r="X360" s="105"/>
      <c r="Y360" s="105"/>
    </row>
    <row r="361" spans="1:25" s="99" customFormat="1" ht="26.25" customHeight="1">
      <c r="A361" s="100">
        <v>4102</v>
      </c>
      <c r="B361" s="101" t="s">
        <v>11</v>
      </c>
      <c r="C361" s="105" t="s">
        <v>52</v>
      </c>
      <c r="D361" s="105" t="s">
        <v>771</v>
      </c>
      <c r="E361" s="105" t="s">
        <v>44</v>
      </c>
      <c r="F361" s="101" t="str">
        <f t="shared" si="13"/>
        <v>-</v>
      </c>
      <c r="G361" s="106" t="s">
        <v>53</v>
      </c>
      <c r="H361" s="105"/>
      <c r="I361" s="106" t="s">
        <v>772</v>
      </c>
      <c r="J361" s="107" t="s">
        <v>54</v>
      </c>
      <c r="K361" s="108"/>
      <c r="L361" s="106"/>
      <c r="M361" s="110"/>
      <c r="N361" s="105" t="s">
        <v>78</v>
      </c>
      <c r="O361" s="105" t="str">
        <f t="shared" si="14"/>
        <v/>
      </c>
      <c r="P361" s="105"/>
      <c r="Q361" s="105" t="s">
        <v>77</v>
      </c>
      <c r="R361" s="105" t="s">
        <v>77</v>
      </c>
      <c r="S361" s="105"/>
      <c r="T361" s="105"/>
      <c r="U361" s="105"/>
      <c r="V361" s="105"/>
      <c r="W361" s="105" t="s">
        <v>80</v>
      </c>
      <c r="X361" s="105"/>
      <c r="Y361" s="105"/>
    </row>
    <row r="362" spans="1:25" s="99" customFormat="1" ht="26.25" customHeight="1">
      <c r="A362" s="100">
        <v>4103</v>
      </c>
      <c r="B362" s="101" t="s">
        <v>11</v>
      </c>
      <c r="C362" s="105" t="s">
        <v>52</v>
      </c>
      <c r="D362" s="105" t="s">
        <v>773</v>
      </c>
      <c r="E362" s="105" t="s">
        <v>44</v>
      </c>
      <c r="F362" s="101" t="str">
        <f t="shared" si="13"/>
        <v>-</v>
      </c>
      <c r="G362" s="106" t="s">
        <v>53</v>
      </c>
      <c r="H362" s="105"/>
      <c r="I362" s="106" t="s">
        <v>774</v>
      </c>
      <c r="J362" s="107" t="s">
        <v>54</v>
      </c>
      <c r="K362" s="108"/>
      <c r="L362" s="106"/>
      <c r="M362" s="110"/>
      <c r="N362" s="105" t="s">
        <v>78</v>
      </c>
      <c r="O362" s="105" t="str">
        <f t="shared" si="14"/>
        <v/>
      </c>
      <c r="P362" s="105"/>
      <c r="Q362" s="105" t="s">
        <v>77</v>
      </c>
      <c r="R362" s="105" t="s">
        <v>77</v>
      </c>
      <c r="S362" s="105"/>
      <c r="T362" s="105"/>
      <c r="U362" s="105"/>
      <c r="V362" s="105"/>
      <c r="W362" s="105" t="s">
        <v>80</v>
      </c>
      <c r="X362" s="105"/>
      <c r="Y362" s="105"/>
    </row>
    <row r="363" spans="1:25" s="99" customFormat="1" ht="26.25" customHeight="1">
      <c r="A363" s="100">
        <v>4104</v>
      </c>
      <c r="B363" s="101" t="s">
        <v>11</v>
      </c>
      <c r="C363" s="105" t="s">
        <v>52</v>
      </c>
      <c r="D363" s="105" t="s">
        <v>775</v>
      </c>
      <c r="E363" s="105" t="s">
        <v>44</v>
      </c>
      <c r="F363" s="101" t="str">
        <f t="shared" si="13"/>
        <v>-</v>
      </c>
      <c r="G363" s="106" t="s">
        <v>53</v>
      </c>
      <c r="H363" s="105"/>
      <c r="I363" s="106" t="s">
        <v>776</v>
      </c>
      <c r="J363" s="107" t="s">
        <v>54</v>
      </c>
      <c r="K363" s="108"/>
      <c r="L363" s="106"/>
      <c r="M363" s="110"/>
      <c r="N363" s="105" t="s">
        <v>78</v>
      </c>
      <c r="O363" s="105" t="str">
        <f t="shared" si="14"/>
        <v/>
      </c>
      <c r="P363" s="105"/>
      <c r="Q363" s="105" t="s">
        <v>77</v>
      </c>
      <c r="R363" s="105" t="s">
        <v>77</v>
      </c>
      <c r="S363" s="105"/>
      <c r="T363" s="105"/>
      <c r="U363" s="105"/>
      <c r="V363" s="105"/>
      <c r="W363" s="105" t="s">
        <v>80</v>
      </c>
      <c r="X363" s="105"/>
      <c r="Y363" s="105"/>
    </row>
    <row r="364" spans="1:25" s="99" customFormat="1" ht="26.25" customHeight="1">
      <c r="A364" s="100">
        <v>4105</v>
      </c>
      <c r="B364" s="101" t="s">
        <v>11</v>
      </c>
      <c r="C364" s="105" t="s">
        <v>52</v>
      </c>
      <c r="D364" s="105" t="s">
        <v>777</v>
      </c>
      <c r="E364" s="105" t="s">
        <v>44</v>
      </c>
      <c r="F364" s="101" t="str">
        <f t="shared" si="13"/>
        <v>-</v>
      </c>
      <c r="G364" s="106" t="s">
        <v>53</v>
      </c>
      <c r="H364" s="105"/>
      <c r="I364" s="106" t="s">
        <v>778</v>
      </c>
      <c r="J364" s="107" t="s">
        <v>54</v>
      </c>
      <c r="K364" s="108"/>
      <c r="L364" s="106"/>
      <c r="M364" s="110"/>
      <c r="N364" s="105" t="s">
        <v>78</v>
      </c>
      <c r="O364" s="105" t="str">
        <f t="shared" si="14"/>
        <v/>
      </c>
      <c r="P364" s="105"/>
      <c r="Q364" s="105" t="s">
        <v>77</v>
      </c>
      <c r="R364" s="105" t="s">
        <v>77</v>
      </c>
      <c r="S364" s="105"/>
      <c r="T364" s="105"/>
      <c r="U364" s="105"/>
      <c r="V364" s="105"/>
      <c r="W364" s="105" t="s">
        <v>80</v>
      </c>
      <c r="X364" s="105"/>
      <c r="Y364" s="105"/>
    </row>
    <row r="365" spans="1:25" s="99" customFormat="1" ht="26.25" customHeight="1">
      <c r="A365" s="100">
        <v>4106</v>
      </c>
      <c r="B365" s="101" t="s">
        <v>11</v>
      </c>
      <c r="C365" s="105" t="s">
        <v>52</v>
      </c>
      <c r="D365" s="105" t="s">
        <v>779</v>
      </c>
      <c r="E365" s="105" t="s">
        <v>44</v>
      </c>
      <c r="F365" s="101" t="str">
        <f t="shared" si="13"/>
        <v>-</v>
      </c>
      <c r="G365" s="106" t="s">
        <v>53</v>
      </c>
      <c r="H365" s="105"/>
      <c r="I365" s="106" t="s">
        <v>780</v>
      </c>
      <c r="J365" s="107" t="s">
        <v>54</v>
      </c>
      <c r="K365" s="108"/>
      <c r="L365" s="106"/>
      <c r="M365" s="110"/>
      <c r="N365" s="105" t="s">
        <v>78</v>
      </c>
      <c r="O365" s="105" t="str">
        <f t="shared" si="14"/>
        <v/>
      </c>
      <c r="P365" s="105"/>
      <c r="Q365" s="105" t="s">
        <v>77</v>
      </c>
      <c r="R365" s="105" t="s">
        <v>77</v>
      </c>
      <c r="S365" s="105"/>
      <c r="T365" s="105"/>
      <c r="U365" s="105"/>
      <c r="V365" s="105"/>
      <c r="W365" s="105" t="s">
        <v>80</v>
      </c>
      <c r="X365" s="105"/>
      <c r="Y365" s="105"/>
    </row>
    <row r="366" spans="1:25" s="99" customFormat="1" ht="26.25" customHeight="1">
      <c r="A366" s="100">
        <v>4107</v>
      </c>
      <c r="B366" s="101" t="s">
        <v>11</v>
      </c>
      <c r="C366" s="105" t="s">
        <v>52</v>
      </c>
      <c r="D366" s="105" t="s">
        <v>781</v>
      </c>
      <c r="E366" s="105" t="s">
        <v>44</v>
      </c>
      <c r="F366" s="101" t="str">
        <f t="shared" si="13"/>
        <v>-</v>
      </c>
      <c r="G366" s="106" t="s">
        <v>53</v>
      </c>
      <c r="H366" s="105"/>
      <c r="I366" s="106" t="s">
        <v>782</v>
      </c>
      <c r="J366" s="107" t="s">
        <v>54</v>
      </c>
      <c r="K366" s="108"/>
      <c r="L366" s="106"/>
      <c r="M366" s="110"/>
      <c r="N366" s="105" t="s">
        <v>78</v>
      </c>
      <c r="O366" s="105" t="str">
        <f t="shared" si="14"/>
        <v/>
      </c>
      <c r="P366" s="105"/>
      <c r="Q366" s="105" t="s">
        <v>77</v>
      </c>
      <c r="R366" s="105" t="s">
        <v>77</v>
      </c>
      <c r="S366" s="105"/>
      <c r="T366" s="105"/>
      <c r="U366" s="105"/>
      <c r="V366" s="105"/>
      <c r="W366" s="105" t="s">
        <v>80</v>
      </c>
      <c r="X366" s="105"/>
      <c r="Y366" s="105"/>
    </row>
    <row r="367" spans="1:25" s="99" customFormat="1" ht="26.25" customHeight="1">
      <c r="A367" s="100">
        <v>4108</v>
      </c>
      <c r="B367" s="101" t="s">
        <v>11</v>
      </c>
      <c r="C367" s="105" t="s">
        <v>52</v>
      </c>
      <c r="D367" s="105" t="s">
        <v>783</v>
      </c>
      <c r="E367" s="105" t="s">
        <v>44</v>
      </c>
      <c r="F367" s="101" t="str">
        <f t="shared" si="13"/>
        <v>-</v>
      </c>
      <c r="G367" s="106" t="s">
        <v>53</v>
      </c>
      <c r="H367" s="105"/>
      <c r="I367" s="106" t="s">
        <v>784</v>
      </c>
      <c r="J367" s="107" t="s">
        <v>54</v>
      </c>
      <c r="K367" s="108"/>
      <c r="L367" s="106"/>
      <c r="M367" s="110"/>
      <c r="N367" s="105" t="s">
        <v>78</v>
      </c>
      <c r="O367" s="105" t="str">
        <f t="shared" si="14"/>
        <v/>
      </c>
      <c r="P367" s="105"/>
      <c r="Q367" s="105" t="s">
        <v>77</v>
      </c>
      <c r="R367" s="105" t="s">
        <v>77</v>
      </c>
      <c r="S367" s="105"/>
      <c r="T367" s="105"/>
      <c r="U367" s="105"/>
      <c r="V367" s="105"/>
      <c r="W367" s="105" t="s">
        <v>80</v>
      </c>
      <c r="X367" s="105"/>
      <c r="Y367" s="105"/>
    </row>
    <row r="368" spans="1:25" s="99" customFormat="1" ht="26.25" customHeight="1">
      <c r="A368" s="100">
        <v>4109</v>
      </c>
      <c r="B368" s="101" t="s">
        <v>11</v>
      </c>
      <c r="C368" s="105" t="s">
        <v>52</v>
      </c>
      <c r="D368" s="105" t="s">
        <v>785</v>
      </c>
      <c r="E368" s="105" t="s">
        <v>44</v>
      </c>
      <c r="F368" s="101" t="str">
        <f t="shared" si="13"/>
        <v>-</v>
      </c>
      <c r="G368" s="106" t="s">
        <v>53</v>
      </c>
      <c r="H368" s="105"/>
      <c r="I368" s="106" t="s">
        <v>786</v>
      </c>
      <c r="J368" s="107" t="s">
        <v>54</v>
      </c>
      <c r="K368" s="108"/>
      <c r="L368" s="106"/>
      <c r="M368" s="110"/>
      <c r="N368" s="105" t="s">
        <v>78</v>
      </c>
      <c r="O368" s="105" t="str">
        <f t="shared" si="14"/>
        <v/>
      </c>
      <c r="P368" s="105"/>
      <c r="Q368" s="105" t="s">
        <v>77</v>
      </c>
      <c r="R368" s="105" t="s">
        <v>77</v>
      </c>
      <c r="S368" s="105"/>
      <c r="T368" s="105"/>
      <c r="U368" s="105"/>
      <c r="V368" s="105"/>
      <c r="W368" s="105" t="s">
        <v>80</v>
      </c>
      <c r="X368" s="105"/>
      <c r="Y368" s="105"/>
    </row>
    <row r="369" spans="1:25" s="99" customFormat="1" ht="26.25" customHeight="1">
      <c r="A369" s="100">
        <v>4110</v>
      </c>
      <c r="B369" s="101" t="s">
        <v>11</v>
      </c>
      <c r="C369" s="105" t="s">
        <v>52</v>
      </c>
      <c r="D369" s="105" t="s">
        <v>787</v>
      </c>
      <c r="E369" s="105" t="s">
        <v>44</v>
      </c>
      <c r="F369" s="101" t="str">
        <f t="shared" si="13"/>
        <v>-</v>
      </c>
      <c r="G369" s="106" t="s">
        <v>53</v>
      </c>
      <c r="H369" s="105"/>
      <c r="I369" s="106" t="s">
        <v>788</v>
      </c>
      <c r="J369" s="107" t="s">
        <v>54</v>
      </c>
      <c r="K369" s="108"/>
      <c r="L369" s="106"/>
      <c r="M369" s="110"/>
      <c r="N369" s="105" t="s">
        <v>78</v>
      </c>
      <c r="O369" s="105" t="str">
        <f t="shared" si="14"/>
        <v/>
      </c>
      <c r="P369" s="105"/>
      <c r="Q369" s="105" t="s">
        <v>77</v>
      </c>
      <c r="R369" s="105" t="s">
        <v>77</v>
      </c>
      <c r="S369" s="105"/>
      <c r="T369" s="105"/>
      <c r="U369" s="105"/>
      <c r="V369" s="105"/>
      <c r="W369" s="105" t="s">
        <v>80</v>
      </c>
      <c r="X369" s="105"/>
      <c r="Y369" s="105"/>
    </row>
    <row r="370" spans="1:25" s="99" customFormat="1" ht="26.25" customHeight="1">
      <c r="A370" s="100">
        <v>4111</v>
      </c>
      <c r="B370" s="101" t="s">
        <v>11</v>
      </c>
      <c r="C370" s="105" t="s">
        <v>52</v>
      </c>
      <c r="D370" s="105" t="s">
        <v>789</v>
      </c>
      <c r="E370" s="105" t="s">
        <v>44</v>
      </c>
      <c r="F370" s="101" t="str">
        <f t="shared" si="13"/>
        <v>-</v>
      </c>
      <c r="G370" s="106" t="s">
        <v>53</v>
      </c>
      <c r="H370" s="105"/>
      <c r="I370" s="106" t="s">
        <v>790</v>
      </c>
      <c r="J370" s="107" t="s">
        <v>54</v>
      </c>
      <c r="K370" s="108"/>
      <c r="L370" s="106"/>
      <c r="M370" s="110"/>
      <c r="N370" s="105" t="s">
        <v>78</v>
      </c>
      <c r="O370" s="105" t="str">
        <f t="shared" si="14"/>
        <v/>
      </c>
      <c r="P370" s="105"/>
      <c r="Q370" s="105" t="s">
        <v>77</v>
      </c>
      <c r="R370" s="105" t="s">
        <v>77</v>
      </c>
      <c r="S370" s="105"/>
      <c r="T370" s="105"/>
      <c r="U370" s="105"/>
      <c r="V370" s="105"/>
      <c r="W370" s="105" t="s">
        <v>80</v>
      </c>
      <c r="X370" s="105"/>
      <c r="Y370" s="105"/>
    </row>
    <row r="371" spans="1:25" s="99" customFormat="1" ht="26.25" customHeight="1">
      <c r="A371" s="100">
        <v>4112</v>
      </c>
      <c r="B371" s="101" t="s">
        <v>11</v>
      </c>
      <c r="C371" s="105" t="s">
        <v>52</v>
      </c>
      <c r="D371" s="105" t="s">
        <v>791</v>
      </c>
      <c r="E371" s="105" t="s">
        <v>44</v>
      </c>
      <c r="F371" s="101" t="str">
        <f t="shared" si="13"/>
        <v>-</v>
      </c>
      <c r="G371" s="106" t="s">
        <v>53</v>
      </c>
      <c r="H371" s="105"/>
      <c r="I371" s="106" t="s">
        <v>792</v>
      </c>
      <c r="J371" s="107" t="s">
        <v>54</v>
      </c>
      <c r="K371" s="108"/>
      <c r="L371" s="106"/>
      <c r="M371" s="110"/>
      <c r="N371" s="105" t="s">
        <v>78</v>
      </c>
      <c r="O371" s="105" t="str">
        <f t="shared" si="14"/>
        <v/>
      </c>
      <c r="P371" s="105"/>
      <c r="Q371" s="105" t="s">
        <v>77</v>
      </c>
      <c r="R371" s="105" t="s">
        <v>77</v>
      </c>
      <c r="S371" s="105"/>
      <c r="T371" s="105"/>
      <c r="U371" s="105"/>
      <c r="V371" s="105"/>
      <c r="W371" s="105" t="s">
        <v>80</v>
      </c>
      <c r="X371" s="105"/>
      <c r="Y371" s="105"/>
    </row>
    <row r="372" spans="1:25" s="99" customFormat="1" ht="26.25" customHeight="1">
      <c r="A372" s="100">
        <v>4113</v>
      </c>
      <c r="B372" s="101" t="s">
        <v>11</v>
      </c>
      <c r="C372" s="105" t="s">
        <v>52</v>
      </c>
      <c r="D372" s="105" t="s">
        <v>793</v>
      </c>
      <c r="E372" s="105" t="s">
        <v>44</v>
      </c>
      <c r="F372" s="101" t="str">
        <f t="shared" si="13"/>
        <v>-</v>
      </c>
      <c r="G372" s="106" t="s">
        <v>53</v>
      </c>
      <c r="H372" s="105"/>
      <c r="I372" s="106" t="s">
        <v>794</v>
      </c>
      <c r="J372" s="107" t="s">
        <v>54</v>
      </c>
      <c r="K372" s="108"/>
      <c r="L372" s="106"/>
      <c r="M372" s="110"/>
      <c r="N372" s="105" t="s">
        <v>78</v>
      </c>
      <c r="O372" s="105" t="str">
        <f t="shared" si="14"/>
        <v/>
      </c>
      <c r="P372" s="105"/>
      <c r="Q372" s="105" t="s">
        <v>77</v>
      </c>
      <c r="R372" s="105" t="s">
        <v>77</v>
      </c>
      <c r="S372" s="105"/>
      <c r="T372" s="105"/>
      <c r="U372" s="105"/>
      <c r="V372" s="105"/>
      <c r="W372" s="105" t="s">
        <v>80</v>
      </c>
      <c r="X372" s="105"/>
      <c r="Y372" s="105"/>
    </row>
    <row r="373" spans="1:25" s="99" customFormat="1" ht="26.25" customHeight="1">
      <c r="A373" s="100">
        <v>4114</v>
      </c>
      <c r="B373" s="101" t="s">
        <v>11</v>
      </c>
      <c r="C373" s="105" t="s">
        <v>52</v>
      </c>
      <c r="D373" s="105" t="s">
        <v>795</v>
      </c>
      <c r="E373" s="105" t="s">
        <v>44</v>
      </c>
      <c r="F373" s="101" t="str">
        <f t="shared" si="13"/>
        <v>-</v>
      </c>
      <c r="G373" s="106" t="s">
        <v>53</v>
      </c>
      <c r="H373" s="105"/>
      <c r="I373" s="106" t="s">
        <v>796</v>
      </c>
      <c r="J373" s="107" t="s">
        <v>54</v>
      </c>
      <c r="K373" s="108"/>
      <c r="L373" s="106"/>
      <c r="M373" s="110"/>
      <c r="N373" s="105" t="s">
        <v>78</v>
      </c>
      <c r="O373" s="105" t="str">
        <f t="shared" si="14"/>
        <v/>
      </c>
      <c r="P373" s="105"/>
      <c r="Q373" s="105" t="s">
        <v>77</v>
      </c>
      <c r="R373" s="105" t="s">
        <v>77</v>
      </c>
      <c r="S373" s="105"/>
      <c r="T373" s="105"/>
      <c r="U373" s="105"/>
      <c r="V373" s="105"/>
      <c r="W373" s="105" t="s">
        <v>80</v>
      </c>
      <c r="X373" s="105"/>
      <c r="Y373" s="105"/>
    </row>
    <row r="374" spans="1:25" s="99" customFormat="1" ht="26.25" customHeight="1">
      <c r="A374" s="100">
        <v>4115</v>
      </c>
      <c r="B374" s="101" t="s">
        <v>11</v>
      </c>
      <c r="C374" s="105" t="s">
        <v>52</v>
      </c>
      <c r="D374" s="105" t="s">
        <v>797</v>
      </c>
      <c r="E374" s="105" t="s">
        <v>44</v>
      </c>
      <c r="F374" s="101" t="str">
        <f t="shared" si="13"/>
        <v>-</v>
      </c>
      <c r="G374" s="106" t="s">
        <v>53</v>
      </c>
      <c r="H374" s="105"/>
      <c r="I374" s="106" t="s">
        <v>798</v>
      </c>
      <c r="J374" s="107" t="s">
        <v>54</v>
      </c>
      <c r="K374" s="108"/>
      <c r="L374" s="106"/>
      <c r="M374" s="110"/>
      <c r="N374" s="105" t="s">
        <v>78</v>
      </c>
      <c r="O374" s="105" t="str">
        <f t="shared" si="14"/>
        <v/>
      </c>
      <c r="P374" s="105"/>
      <c r="Q374" s="105" t="s">
        <v>77</v>
      </c>
      <c r="R374" s="105" t="s">
        <v>77</v>
      </c>
      <c r="S374" s="105"/>
      <c r="T374" s="105"/>
      <c r="U374" s="105"/>
      <c r="V374" s="105"/>
      <c r="W374" s="105" t="s">
        <v>80</v>
      </c>
      <c r="X374" s="105"/>
      <c r="Y374" s="105"/>
    </row>
    <row r="375" spans="1:25" s="99" customFormat="1" ht="26.25" customHeight="1">
      <c r="A375" s="100">
        <v>4116</v>
      </c>
      <c r="B375" s="101" t="s">
        <v>11</v>
      </c>
      <c r="C375" s="105" t="s">
        <v>52</v>
      </c>
      <c r="D375" s="105" t="s">
        <v>799</v>
      </c>
      <c r="E375" s="105" t="s">
        <v>44</v>
      </c>
      <c r="F375" s="101" t="str">
        <f t="shared" si="13"/>
        <v>-</v>
      </c>
      <c r="G375" s="106" t="s">
        <v>53</v>
      </c>
      <c r="H375" s="105"/>
      <c r="I375" s="106" t="s">
        <v>800</v>
      </c>
      <c r="J375" s="107" t="s">
        <v>54</v>
      </c>
      <c r="K375" s="108"/>
      <c r="L375" s="106"/>
      <c r="M375" s="110"/>
      <c r="N375" s="105" t="s">
        <v>78</v>
      </c>
      <c r="O375" s="105" t="str">
        <f t="shared" si="14"/>
        <v/>
      </c>
      <c r="P375" s="105"/>
      <c r="Q375" s="105" t="s">
        <v>77</v>
      </c>
      <c r="R375" s="105" t="s">
        <v>77</v>
      </c>
      <c r="S375" s="105"/>
      <c r="T375" s="105"/>
      <c r="U375" s="105"/>
      <c r="V375" s="105"/>
      <c r="W375" s="105" t="s">
        <v>80</v>
      </c>
      <c r="X375" s="105"/>
      <c r="Y375" s="105"/>
    </row>
    <row r="376" spans="1:25" s="99" customFormat="1" ht="26.25" customHeight="1">
      <c r="A376" s="100">
        <v>4117</v>
      </c>
      <c r="B376" s="101" t="s">
        <v>11</v>
      </c>
      <c r="C376" s="105" t="s">
        <v>52</v>
      </c>
      <c r="D376" s="105" t="s">
        <v>801</v>
      </c>
      <c r="E376" s="105" t="s">
        <v>44</v>
      </c>
      <c r="F376" s="101" t="str">
        <f t="shared" si="13"/>
        <v>-</v>
      </c>
      <c r="G376" s="106" t="s">
        <v>53</v>
      </c>
      <c r="H376" s="105"/>
      <c r="I376" s="106" t="s">
        <v>802</v>
      </c>
      <c r="J376" s="107" t="s">
        <v>54</v>
      </c>
      <c r="K376" s="108"/>
      <c r="L376" s="106"/>
      <c r="M376" s="110"/>
      <c r="N376" s="105" t="s">
        <v>78</v>
      </c>
      <c r="O376" s="105" t="str">
        <f t="shared" si="14"/>
        <v/>
      </c>
      <c r="P376" s="105"/>
      <c r="Q376" s="105" t="s">
        <v>77</v>
      </c>
      <c r="R376" s="105" t="s">
        <v>77</v>
      </c>
      <c r="S376" s="105"/>
      <c r="T376" s="105"/>
      <c r="U376" s="105"/>
      <c r="V376" s="105"/>
      <c r="W376" s="105" t="s">
        <v>80</v>
      </c>
      <c r="X376" s="105"/>
      <c r="Y376" s="105"/>
    </row>
    <row r="377" spans="1:25" s="99" customFormat="1" ht="26.25" customHeight="1">
      <c r="A377" s="100">
        <v>4118</v>
      </c>
      <c r="B377" s="101" t="s">
        <v>11</v>
      </c>
      <c r="C377" s="105" t="s">
        <v>52</v>
      </c>
      <c r="D377" s="105" t="s">
        <v>803</v>
      </c>
      <c r="E377" s="105" t="s">
        <v>44</v>
      </c>
      <c r="F377" s="101" t="str">
        <f t="shared" si="13"/>
        <v>-</v>
      </c>
      <c r="G377" s="106" t="s">
        <v>53</v>
      </c>
      <c r="H377" s="105"/>
      <c r="I377" s="106" t="s">
        <v>804</v>
      </c>
      <c r="J377" s="107" t="s">
        <v>54</v>
      </c>
      <c r="K377" s="108"/>
      <c r="L377" s="106"/>
      <c r="M377" s="110"/>
      <c r="N377" s="105" t="s">
        <v>78</v>
      </c>
      <c r="O377" s="105" t="str">
        <f t="shared" si="14"/>
        <v/>
      </c>
      <c r="P377" s="105"/>
      <c r="Q377" s="105" t="s">
        <v>77</v>
      </c>
      <c r="R377" s="105" t="s">
        <v>77</v>
      </c>
      <c r="S377" s="105"/>
      <c r="T377" s="105"/>
      <c r="U377" s="105"/>
      <c r="V377" s="105"/>
      <c r="W377" s="105" t="s">
        <v>80</v>
      </c>
      <c r="X377" s="105"/>
      <c r="Y377" s="105"/>
    </row>
    <row r="378" spans="1:25" s="99" customFormat="1" ht="26.25" customHeight="1">
      <c r="A378" s="100">
        <v>4119</v>
      </c>
      <c r="B378" s="101" t="s">
        <v>11</v>
      </c>
      <c r="C378" s="105" t="s">
        <v>52</v>
      </c>
      <c r="D378" s="105" t="s">
        <v>805</v>
      </c>
      <c r="E378" s="105" t="s">
        <v>44</v>
      </c>
      <c r="F378" s="101" t="str">
        <f t="shared" si="13"/>
        <v>-</v>
      </c>
      <c r="G378" s="106" t="s">
        <v>53</v>
      </c>
      <c r="H378" s="105"/>
      <c r="I378" s="106" t="s">
        <v>806</v>
      </c>
      <c r="J378" s="107" t="s">
        <v>54</v>
      </c>
      <c r="K378" s="108"/>
      <c r="L378" s="106"/>
      <c r="M378" s="110"/>
      <c r="N378" s="105" t="s">
        <v>78</v>
      </c>
      <c r="O378" s="105" t="str">
        <f t="shared" si="14"/>
        <v/>
      </c>
      <c r="P378" s="105"/>
      <c r="Q378" s="105" t="s">
        <v>77</v>
      </c>
      <c r="R378" s="105" t="s">
        <v>77</v>
      </c>
      <c r="S378" s="105"/>
      <c r="T378" s="105"/>
      <c r="U378" s="105"/>
      <c r="V378" s="105"/>
      <c r="W378" s="105" t="s">
        <v>80</v>
      </c>
      <c r="X378" s="105"/>
      <c r="Y378" s="105"/>
    </row>
    <row r="379" spans="1:25" s="99" customFormat="1" ht="26.25" customHeight="1">
      <c r="A379" s="100">
        <v>4120</v>
      </c>
      <c r="B379" s="101" t="s">
        <v>11</v>
      </c>
      <c r="C379" s="105" t="s">
        <v>52</v>
      </c>
      <c r="D379" s="105" t="s">
        <v>807</v>
      </c>
      <c r="E379" s="105" t="s">
        <v>44</v>
      </c>
      <c r="F379" s="101" t="str">
        <f t="shared" si="13"/>
        <v>-</v>
      </c>
      <c r="G379" s="106" t="s">
        <v>53</v>
      </c>
      <c r="H379" s="105"/>
      <c r="I379" s="106" t="s">
        <v>808</v>
      </c>
      <c r="J379" s="107" t="s">
        <v>54</v>
      </c>
      <c r="K379" s="108"/>
      <c r="L379" s="106"/>
      <c r="M379" s="110"/>
      <c r="N379" s="105" t="s">
        <v>78</v>
      </c>
      <c r="O379" s="105" t="str">
        <f t="shared" si="14"/>
        <v/>
      </c>
      <c r="P379" s="105"/>
      <c r="Q379" s="105" t="s">
        <v>77</v>
      </c>
      <c r="R379" s="105" t="s">
        <v>77</v>
      </c>
      <c r="S379" s="105"/>
      <c r="T379" s="105"/>
      <c r="U379" s="105"/>
      <c r="V379" s="105"/>
      <c r="W379" s="105" t="s">
        <v>80</v>
      </c>
      <c r="X379" s="105"/>
      <c r="Y379" s="105"/>
    </row>
    <row r="380" spans="1:25" s="99" customFormat="1" ht="26.25" customHeight="1">
      <c r="A380" s="100">
        <v>4121</v>
      </c>
      <c r="B380" s="101" t="s">
        <v>11</v>
      </c>
      <c r="C380" s="105" t="s">
        <v>52</v>
      </c>
      <c r="D380" s="105" t="s">
        <v>809</v>
      </c>
      <c r="E380" s="105" t="s">
        <v>44</v>
      </c>
      <c r="F380" s="101" t="str">
        <f t="shared" si="13"/>
        <v>-</v>
      </c>
      <c r="G380" s="106" t="s">
        <v>53</v>
      </c>
      <c r="H380" s="105"/>
      <c r="I380" s="106" t="s">
        <v>810</v>
      </c>
      <c r="J380" s="107" t="s">
        <v>54</v>
      </c>
      <c r="K380" s="108"/>
      <c r="L380" s="106"/>
      <c r="M380" s="110"/>
      <c r="N380" s="105" t="s">
        <v>78</v>
      </c>
      <c r="O380" s="105" t="str">
        <f t="shared" si="14"/>
        <v/>
      </c>
      <c r="P380" s="105"/>
      <c r="Q380" s="105" t="s">
        <v>77</v>
      </c>
      <c r="R380" s="105" t="s">
        <v>77</v>
      </c>
      <c r="S380" s="105"/>
      <c r="T380" s="105"/>
      <c r="U380" s="105"/>
      <c r="V380" s="105"/>
      <c r="W380" s="105" t="s">
        <v>80</v>
      </c>
      <c r="X380" s="105"/>
      <c r="Y380" s="105"/>
    </row>
    <row r="381" spans="1:25" s="99" customFormat="1" ht="26.25" customHeight="1">
      <c r="A381" s="100">
        <v>4122</v>
      </c>
      <c r="B381" s="101" t="s">
        <v>11</v>
      </c>
      <c r="C381" s="105" t="s">
        <v>52</v>
      </c>
      <c r="D381" s="105" t="s">
        <v>811</v>
      </c>
      <c r="E381" s="105" t="s">
        <v>44</v>
      </c>
      <c r="F381" s="101" t="str">
        <f t="shared" si="13"/>
        <v>-</v>
      </c>
      <c r="G381" s="106" t="s">
        <v>53</v>
      </c>
      <c r="H381" s="105"/>
      <c r="I381" s="106" t="s">
        <v>812</v>
      </c>
      <c r="J381" s="107" t="s">
        <v>54</v>
      </c>
      <c r="K381" s="108"/>
      <c r="L381" s="106"/>
      <c r="M381" s="110"/>
      <c r="N381" s="105" t="s">
        <v>78</v>
      </c>
      <c r="O381" s="105" t="str">
        <f t="shared" si="14"/>
        <v/>
      </c>
      <c r="P381" s="105"/>
      <c r="Q381" s="105" t="s">
        <v>77</v>
      </c>
      <c r="R381" s="105" t="s">
        <v>77</v>
      </c>
      <c r="S381" s="105"/>
      <c r="T381" s="105"/>
      <c r="U381" s="105"/>
      <c r="V381" s="105"/>
      <c r="W381" s="105" t="s">
        <v>80</v>
      </c>
      <c r="X381" s="105"/>
      <c r="Y381" s="105"/>
    </row>
    <row r="382" spans="1:25" s="99" customFormat="1" ht="26.25" customHeight="1">
      <c r="A382" s="100">
        <v>4123</v>
      </c>
      <c r="B382" s="101" t="s">
        <v>11</v>
      </c>
      <c r="C382" s="105" t="s">
        <v>52</v>
      </c>
      <c r="D382" s="105" t="s">
        <v>813</v>
      </c>
      <c r="E382" s="105" t="s">
        <v>44</v>
      </c>
      <c r="F382" s="101" t="str">
        <f t="shared" si="13"/>
        <v>-</v>
      </c>
      <c r="G382" s="106" t="s">
        <v>53</v>
      </c>
      <c r="H382" s="105"/>
      <c r="I382" s="106" t="s">
        <v>814</v>
      </c>
      <c r="J382" s="107" t="s">
        <v>54</v>
      </c>
      <c r="K382" s="108"/>
      <c r="L382" s="106"/>
      <c r="M382" s="110"/>
      <c r="N382" s="105" t="s">
        <v>78</v>
      </c>
      <c r="O382" s="105" t="str">
        <f t="shared" si="14"/>
        <v/>
      </c>
      <c r="P382" s="105"/>
      <c r="Q382" s="105" t="s">
        <v>77</v>
      </c>
      <c r="R382" s="105" t="s">
        <v>77</v>
      </c>
      <c r="S382" s="105"/>
      <c r="T382" s="105"/>
      <c r="U382" s="105"/>
      <c r="V382" s="105"/>
      <c r="W382" s="105" t="s">
        <v>80</v>
      </c>
      <c r="X382" s="105"/>
      <c r="Y382" s="105"/>
    </row>
    <row r="383" spans="1:25" s="99" customFormat="1" ht="26.25" customHeight="1">
      <c r="A383" s="100">
        <v>4124</v>
      </c>
      <c r="B383" s="101" t="s">
        <v>11</v>
      </c>
      <c r="C383" s="105" t="s">
        <v>52</v>
      </c>
      <c r="D383" s="105" t="s">
        <v>815</v>
      </c>
      <c r="E383" s="105" t="s">
        <v>44</v>
      </c>
      <c r="F383" s="101" t="str">
        <f t="shared" si="13"/>
        <v>-</v>
      </c>
      <c r="G383" s="106" t="s">
        <v>53</v>
      </c>
      <c r="H383" s="105"/>
      <c r="I383" s="106" t="s">
        <v>816</v>
      </c>
      <c r="J383" s="107" t="s">
        <v>54</v>
      </c>
      <c r="K383" s="108"/>
      <c r="L383" s="106"/>
      <c r="M383" s="110"/>
      <c r="N383" s="105" t="s">
        <v>78</v>
      </c>
      <c r="O383" s="105" t="str">
        <f t="shared" si="14"/>
        <v/>
      </c>
      <c r="P383" s="105"/>
      <c r="Q383" s="105" t="s">
        <v>77</v>
      </c>
      <c r="R383" s="105" t="s">
        <v>77</v>
      </c>
      <c r="S383" s="105"/>
      <c r="T383" s="105"/>
      <c r="U383" s="105"/>
      <c r="V383" s="105"/>
      <c r="W383" s="105" t="s">
        <v>80</v>
      </c>
      <c r="X383" s="105"/>
      <c r="Y383" s="105"/>
    </row>
    <row r="384" spans="1:25" s="99" customFormat="1" ht="26.25" customHeight="1">
      <c r="A384" s="100">
        <v>4125</v>
      </c>
      <c r="B384" s="101" t="s">
        <v>11</v>
      </c>
      <c r="C384" s="105" t="s">
        <v>52</v>
      </c>
      <c r="D384" s="105" t="s">
        <v>817</v>
      </c>
      <c r="E384" s="105" t="s">
        <v>44</v>
      </c>
      <c r="F384" s="101" t="str">
        <f t="shared" si="13"/>
        <v>-</v>
      </c>
      <c r="G384" s="106" t="s">
        <v>53</v>
      </c>
      <c r="H384" s="105"/>
      <c r="I384" s="106" t="s">
        <v>818</v>
      </c>
      <c r="J384" s="107" t="s">
        <v>54</v>
      </c>
      <c r="K384" s="108"/>
      <c r="L384" s="106"/>
      <c r="M384" s="110"/>
      <c r="N384" s="105" t="s">
        <v>78</v>
      </c>
      <c r="O384" s="105" t="str">
        <f t="shared" si="14"/>
        <v/>
      </c>
      <c r="P384" s="105"/>
      <c r="Q384" s="105" t="s">
        <v>77</v>
      </c>
      <c r="R384" s="105" t="s">
        <v>77</v>
      </c>
      <c r="S384" s="105"/>
      <c r="T384" s="105"/>
      <c r="U384" s="105"/>
      <c r="V384" s="105"/>
      <c r="W384" s="105" t="s">
        <v>80</v>
      </c>
      <c r="X384" s="105"/>
      <c r="Y384" s="105"/>
    </row>
    <row r="385" spans="1:25" s="99" customFormat="1" ht="26.25" customHeight="1">
      <c r="A385" s="100">
        <v>4126</v>
      </c>
      <c r="B385" s="101" t="s">
        <v>11</v>
      </c>
      <c r="C385" s="105" t="s">
        <v>52</v>
      </c>
      <c r="D385" s="105" t="s">
        <v>819</v>
      </c>
      <c r="E385" s="105" t="s">
        <v>44</v>
      </c>
      <c r="F385" s="101" t="str">
        <f t="shared" si="13"/>
        <v>-</v>
      </c>
      <c r="G385" s="106" t="s">
        <v>53</v>
      </c>
      <c r="H385" s="105"/>
      <c r="I385" s="106" t="s">
        <v>820</v>
      </c>
      <c r="J385" s="107" t="s">
        <v>54</v>
      </c>
      <c r="K385" s="108"/>
      <c r="L385" s="106"/>
      <c r="M385" s="110"/>
      <c r="N385" s="105" t="s">
        <v>78</v>
      </c>
      <c r="O385" s="105" t="str">
        <f t="shared" si="14"/>
        <v/>
      </c>
      <c r="P385" s="105"/>
      <c r="Q385" s="105" t="s">
        <v>77</v>
      </c>
      <c r="R385" s="105" t="s">
        <v>77</v>
      </c>
      <c r="S385" s="105"/>
      <c r="T385" s="105"/>
      <c r="U385" s="105"/>
      <c r="V385" s="105"/>
      <c r="W385" s="105" t="s">
        <v>80</v>
      </c>
      <c r="X385" s="105"/>
      <c r="Y385" s="105"/>
    </row>
    <row r="386" spans="1:25" s="99" customFormat="1" ht="26.25" customHeight="1">
      <c r="A386" s="100">
        <v>4127</v>
      </c>
      <c r="B386" s="101" t="s">
        <v>11</v>
      </c>
      <c r="C386" s="105" t="s">
        <v>52</v>
      </c>
      <c r="D386" s="105" t="s">
        <v>821</v>
      </c>
      <c r="E386" s="105" t="s">
        <v>44</v>
      </c>
      <c r="F386" s="101" t="str">
        <f t="shared" si="13"/>
        <v>-</v>
      </c>
      <c r="G386" s="106" t="s">
        <v>53</v>
      </c>
      <c r="H386" s="105"/>
      <c r="I386" s="106" t="s">
        <v>822</v>
      </c>
      <c r="J386" s="107" t="s">
        <v>54</v>
      </c>
      <c r="K386" s="108"/>
      <c r="L386" s="106"/>
      <c r="M386" s="110"/>
      <c r="N386" s="105" t="s">
        <v>78</v>
      </c>
      <c r="O386" s="105" t="str">
        <f t="shared" si="14"/>
        <v/>
      </c>
      <c r="P386" s="105"/>
      <c r="Q386" s="105" t="s">
        <v>77</v>
      </c>
      <c r="R386" s="105" t="s">
        <v>77</v>
      </c>
      <c r="S386" s="105"/>
      <c r="T386" s="105"/>
      <c r="U386" s="105"/>
      <c r="V386" s="105"/>
      <c r="W386" s="105" t="s">
        <v>80</v>
      </c>
      <c r="X386" s="105"/>
      <c r="Y386" s="105"/>
    </row>
    <row r="387" spans="1:25" s="99" customFormat="1" ht="26.25" customHeight="1">
      <c r="A387" s="100">
        <v>4128</v>
      </c>
      <c r="B387" s="101" t="s">
        <v>11</v>
      </c>
      <c r="C387" s="105" t="s">
        <v>52</v>
      </c>
      <c r="D387" s="105" t="s">
        <v>823</v>
      </c>
      <c r="E387" s="105" t="s">
        <v>44</v>
      </c>
      <c r="F387" s="101" t="str">
        <f t="shared" si="13"/>
        <v>-</v>
      </c>
      <c r="G387" s="106" t="s">
        <v>53</v>
      </c>
      <c r="H387" s="105"/>
      <c r="I387" s="106" t="s">
        <v>824</v>
      </c>
      <c r="J387" s="107" t="s">
        <v>54</v>
      </c>
      <c r="K387" s="108"/>
      <c r="L387" s="106"/>
      <c r="M387" s="110"/>
      <c r="N387" s="105" t="s">
        <v>78</v>
      </c>
      <c r="O387" s="105" t="str">
        <f t="shared" si="14"/>
        <v/>
      </c>
      <c r="P387" s="105"/>
      <c r="Q387" s="105" t="s">
        <v>77</v>
      </c>
      <c r="R387" s="105" t="s">
        <v>77</v>
      </c>
      <c r="S387" s="105"/>
      <c r="T387" s="105"/>
      <c r="U387" s="105"/>
      <c r="V387" s="105"/>
      <c r="W387" s="105" t="s">
        <v>80</v>
      </c>
      <c r="X387" s="105"/>
      <c r="Y387" s="105"/>
    </row>
    <row r="388" spans="1:25" s="99" customFormat="1" ht="26.25" customHeight="1">
      <c r="A388" s="100">
        <v>4129</v>
      </c>
      <c r="B388" s="101" t="s">
        <v>11</v>
      </c>
      <c r="C388" s="105" t="s">
        <v>52</v>
      </c>
      <c r="D388" s="105" t="s">
        <v>825</v>
      </c>
      <c r="E388" s="105" t="s">
        <v>44</v>
      </c>
      <c r="F388" s="101" t="str">
        <f t="shared" si="13"/>
        <v>-</v>
      </c>
      <c r="G388" s="106" t="s">
        <v>53</v>
      </c>
      <c r="H388" s="105"/>
      <c r="I388" s="106" t="s">
        <v>826</v>
      </c>
      <c r="J388" s="107" t="s">
        <v>54</v>
      </c>
      <c r="K388" s="108"/>
      <c r="L388" s="106"/>
      <c r="M388" s="110"/>
      <c r="N388" s="105" t="s">
        <v>78</v>
      </c>
      <c r="O388" s="105" t="str">
        <f t="shared" si="14"/>
        <v/>
      </c>
      <c r="P388" s="105"/>
      <c r="Q388" s="105" t="s">
        <v>77</v>
      </c>
      <c r="R388" s="105" t="s">
        <v>77</v>
      </c>
      <c r="S388" s="105"/>
      <c r="T388" s="105"/>
      <c r="U388" s="105"/>
      <c r="V388" s="105"/>
      <c r="W388" s="105" t="s">
        <v>80</v>
      </c>
      <c r="X388" s="105"/>
      <c r="Y388" s="105"/>
    </row>
    <row r="389" spans="1:25" s="99" customFormat="1" ht="26.25" customHeight="1">
      <c r="A389" s="100">
        <v>4130</v>
      </c>
      <c r="B389" s="101" t="s">
        <v>11</v>
      </c>
      <c r="C389" s="105" t="s">
        <v>52</v>
      </c>
      <c r="D389" s="105" t="s">
        <v>827</v>
      </c>
      <c r="E389" s="105" t="s">
        <v>44</v>
      </c>
      <c r="F389" s="101" t="str">
        <f t="shared" si="13"/>
        <v>-</v>
      </c>
      <c r="G389" s="106" t="s">
        <v>53</v>
      </c>
      <c r="H389" s="105"/>
      <c r="I389" s="106" t="s">
        <v>828</v>
      </c>
      <c r="J389" s="107" t="s">
        <v>54</v>
      </c>
      <c r="K389" s="108"/>
      <c r="L389" s="106"/>
      <c r="M389" s="110"/>
      <c r="N389" s="105" t="s">
        <v>78</v>
      </c>
      <c r="O389" s="105" t="str">
        <f t="shared" si="14"/>
        <v/>
      </c>
      <c r="P389" s="105"/>
      <c r="Q389" s="105" t="s">
        <v>77</v>
      </c>
      <c r="R389" s="105" t="s">
        <v>77</v>
      </c>
      <c r="S389" s="105"/>
      <c r="T389" s="105"/>
      <c r="U389" s="105"/>
      <c r="V389" s="105"/>
      <c r="W389" s="105" t="s">
        <v>80</v>
      </c>
      <c r="X389" s="105"/>
      <c r="Y389" s="105"/>
    </row>
    <row r="390" spans="1:25" s="99" customFormat="1" ht="26.25" customHeight="1">
      <c r="A390" s="100">
        <v>4131</v>
      </c>
      <c r="B390" s="101" t="s">
        <v>11</v>
      </c>
      <c r="C390" s="105" t="s">
        <v>52</v>
      </c>
      <c r="D390" s="105" t="s">
        <v>829</v>
      </c>
      <c r="E390" s="105" t="s">
        <v>44</v>
      </c>
      <c r="F390" s="101" t="str">
        <f t="shared" si="13"/>
        <v>-</v>
      </c>
      <c r="G390" s="106" t="s">
        <v>53</v>
      </c>
      <c r="H390" s="105"/>
      <c r="I390" s="106" t="s">
        <v>830</v>
      </c>
      <c r="J390" s="107" t="s">
        <v>54</v>
      </c>
      <c r="K390" s="108"/>
      <c r="L390" s="106"/>
      <c r="M390" s="110"/>
      <c r="N390" s="105" t="s">
        <v>78</v>
      </c>
      <c r="O390" s="105" t="str">
        <f t="shared" si="14"/>
        <v/>
      </c>
      <c r="P390" s="105"/>
      <c r="Q390" s="105" t="s">
        <v>77</v>
      </c>
      <c r="R390" s="105" t="s">
        <v>77</v>
      </c>
      <c r="S390" s="105"/>
      <c r="T390" s="105"/>
      <c r="U390" s="105"/>
      <c r="V390" s="105"/>
      <c r="W390" s="105" t="s">
        <v>80</v>
      </c>
      <c r="X390" s="105"/>
      <c r="Y390" s="105"/>
    </row>
    <row r="391" spans="1:25" s="99" customFormat="1" ht="26.25" customHeight="1">
      <c r="A391" s="100">
        <v>4132</v>
      </c>
      <c r="B391" s="101" t="s">
        <v>11</v>
      </c>
      <c r="C391" s="105" t="s">
        <v>52</v>
      </c>
      <c r="D391" s="105" t="s">
        <v>831</v>
      </c>
      <c r="E391" s="105" t="s">
        <v>44</v>
      </c>
      <c r="F391" s="101" t="str">
        <f t="shared" si="13"/>
        <v>-</v>
      </c>
      <c r="G391" s="106" t="s">
        <v>53</v>
      </c>
      <c r="H391" s="105"/>
      <c r="I391" s="106" t="s">
        <v>832</v>
      </c>
      <c r="J391" s="107" t="s">
        <v>54</v>
      </c>
      <c r="K391" s="108"/>
      <c r="L391" s="106"/>
      <c r="M391" s="110"/>
      <c r="N391" s="105" t="s">
        <v>78</v>
      </c>
      <c r="O391" s="105" t="str">
        <f t="shared" si="14"/>
        <v/>
      </c>
      <c r="P391" s="105"/>
      <c r="Q391" s="105" t="s">
        <v>77</v>
      </c>
      <c r="R391" s="105" t="s">
        <v>77</v>
      </c>
      <c r="S391" s="105"/>
      <c r="T391" s="105"/>
      <c r="U391" s="105"/>
      <c r="V391" s="105"/>
      <c r="W391" s="105" t="s">
        <v>80</v>
      </c>
      <c r="X391" s="105"/>
      <c r="Y391" s="105"/>
    </row>
    <row r="392" spans="1:25" s="99" customFormat="1" ht="26.25" customHeight="1">
      <c r="A392" s="100">
        <v>4133</v>
      </c>
      <c r="B392" s="101" t="s">
        <v>11</v>
      </c>
      <c r="C392" s="105" t="s">
        <v>52</v>
      </c>
      <c r="D392" s="105" t="s">
        <v>833</v>
      </c>
      <c r="E392" s="105" t="s">
        <v>44</v>
      </c>
      <c r="F392" s="101" t="str">
        <f t="shared" si="13"/>
        <v>-</v>
      </c>
      <c r="G392" s="106" t="s">
        <v>53</v>
      </c>
      <c r="H392" s="105"/>
      <c r="I392" s="106" t="s">
        <v>834</v>
      </c>
      <c r="J392" s="107" t="s">
        <v>54</v>
      </c>
      <c r="K392" s="108"/>
      <c r="L392" s="106"/>
      <c r="M392" s="110"/>
      <c r="N392" s="105" t="s">
        <v>78</v>
      </c>
      <c r="O392" s="105" t="str">
        <f t="shared" si="14"/>
        <v/>
      </c>
      <c r="P392" s="105"/>
      <c r="Q392" s="105" t="s">
        <v>77</v>
      </c>
      <c r="R392" s="105" t="s">
        <v>77</v>
      </c>
      <c r="S392" s="105"/>
      <c r="T392" s="105"/>
      <c r="U392" s="105"/>
      <c r="V392" s="105"/>
      <c r="W392" s="105" t="s">
        <v>80</v>
      </c>
      <c r="X392" s="105"/>
      <c r="Y392" s="105"/>
    </row>
    <row r="393" spans="1:25" s="99" customFormat="1" ht="26.25" customHeight="1">
      <c r="A393" s="100">
        <v>4134</v>
      </c>
      <c r="B393" s="101" t="s">
        <v>11</v>
      </c>
      <c r="C393" s="105" t="s">
        <v>52</v>
      </c>
      <c r="D393" s="105" t="s">
        <v>835</v>
      </c>
      <c r="E393" s="105" t="s">
        <v>44</v>
      </c>
      <c r="F393" s="101" t="str">
        <f t="shared" si="13"/>
        <v>-</v>
      </c>
      <c r="G393" s="106" t="s">
        <v>53</v>
      </c>
      <c r="H393" s="105"/>
      <c r="I393" s="106" t="s">
        <v>836</v>
      </c>
      <c r="J393" s="107" t="s">
        <v>54</v>
      </c>
      <c r="K393" s="108"/>
      <c r="L393" s="106"/>
      <c r="M393" s="110"/>
      <c r="N393" s="105" t="s">
        <v>78</v>
      </c>
      <c r="O393" s="105" t="str">
        <f t="shared" si="14"/>
        <v/>
      </c>
      <c r="P393" s="105"/>
      <c r="Q393" s="105" t="s">
        <v>77</v>
      </c>
      <c r="R393" s="105" t="s">
        <v>77</v>
      </c>
      <c r="S393" s="105"/>
      <c r="T393" s="105"/>
      <c r="U393" s="105"/>
      <c r="V393" s="105"/>
      <c r="W393" s="105" t="s">
        <v>80</v>
      </c>
      <c r="X393" s="105"/>
      <c r="Y393" s="105"/>
    </row>
    <row r="394" spans="1:25" s="99" customFormat="1" ht="26.25" customHeight="1">
      <c r="A394" s="100">
        <v>4135</v>
      </c>
      <c r="B394" s="101" t="s">
        <v>11</v>
      </c>
      <c r="C394" s="105" t="s">
        <v>52</v>
      </c>
      <c r="D394" s="105" t="s">
        <v>837</v>
      </c>
      <c r="E394" s="105" t="s">
        <v>44</v>
      </c>
      <c r="F394" s="101" t="str">
        <f t="shared" si="13"/>
        <v>-</v>
      </c>
      <c r="G394" s="106" t="s">
        <v>53</v>
      </c>
      <c r="H394" s="105"/>
      <c r="I394" s="106" t="s">
        <v>838</v>
      </c>
      <c r="J394" s="107" t="s">
        <v>54</v>
      </c>
      <c r="K394" s="108"/>
      <c r="L394" s="106"/>
      <c r="M394" s="110"/>
      <c r="N394" s="105" t="s">
        <v>78</v>
      </c>
      <c r="O394" s="105" t="str">
        <f t="shared" si="14"/>
        <v/>
      </c>
      <c r="P394" s="105"/>
      <c r="Q394" s="105" t="s">
        <v>77</v>
      </c>
      <c r="R394" s="105" t="s">
        <v>77</v>
      </c>
      <c r="S394" s="105"/>
      <c r="T394" s="105"/>
      <c r="U394" s="105"/>
      <c r="V394" s="105"/>
      <c r="W394" s="105" t="s">
        <v>80</v>
      </c>
      <c r="X394" s="105"/>
      <c r="Y394" s="105"/>
    </row>
    <row r="395" spans="1:25" s="99" customFormat="1" ht="26.25" customHeight="1">
      <c r="A395" s="100">
        <v>4136</v>
      </c>
      <c r="B395" s="101" t="s">
        <v>11</v>
      </c>
      <c r="C395" s="105" t="s">
        <v>52</v>
      </c>
      <c r="D395" s="105" t="s">
        <v>839</v>
      </c>
      <c r="E395" s="105" t="s">
        <v>44</v>
      </c>
      <c r="F395" s="101" t="str">
        <f t="shared" si="13"/>
        <v>-</v>
      </c>
      <c r="G395" s="106" t="s">
        <v>53</v>
      </c>
      <c r="H395" s="105"/>
      <c r="I395" s="106" t="s">
        <v>840</v>
      </c>
      <c r="J395" s="107" t="s">
        <v>54</v>
      </c>
      <c r="K395" s="108"/>
      <c r="L395" s="106"/>
      <c r="M395" s="110"/>
      <c r="N395" s="105" t="s">
        <v>78</v>
      </c>
      <c r="O395" s="105" t="str">
        <f t="shared" si="14"/>
        <v/>
      </c>
      <c r="P395" s="105"/>
      <c r="Q395" s="105" t="s">
        <v>77</v>
      </c>
      <c r="R395" s="105" t="s">
        <v>77</v>
      </c>
      <c r="S395" s="105"/>
      <c r="T395" s="105"/>
      <c r="U395" s="105"/>
      <c r="V395" s="105"/>
      <c r="W395" s="105" t="s">
        <v>80</v>
      </c>
      <c r="X395" s="105"/>
      <c r="Y395" s="105"/>
    </row>
    <row r="396" spans="1:25" s="99" customFormat="1" ht="26.25" customHeight="1">
      <c r="A396" s="100">
        <v>4137</v>
      </c>
      <c r="B396" s="101" t="s">
        <v>11</v>
      </c>
      <c r="C396" s="105" t="s">
        <v>52</v>
      </c>
      <c r="D396" s="105" t="s">
        <v>841</v>
      </c>
      <c r="E396" s="105" t="s">
        <v>44</v>
      </c>
      <c r="F396" s="101" t="str">
        <f t="shared" si="13"/>
        <v>-</v>
      </c>
      <c r="G396" s="106" t="s">
        <v>53</v>
      </c>
      <c r="H396" s="105"/>
      <c r="I396" s="106" t="s">
        <v>842</v>
      </c>
      <c r="J396" s="107" t="s">
        <v>54</v>
      </c>
      <c r="K396" s="108"/>
      <c r="L396" s="106"/>
      <c r="M396" s="110"/>
      <c r="N396" s="105" t="s">
        <v>78</v>
      </c>
      <c r="O396" s="105" t="str">
        <f t="shared" si="14"/>
        <v/>
      </c>
      <c r="P396" s="105"/>
      <c r="Q396" s="105" t="s">
        <v>77</v>
      </c>
      <c r="R396" s="105" t="s">
        <v>77</v>
      </c>
      <c r="S396" s="105"/>
      <c r="T396" s="105"/>
      <c r="U396" s="105"/>
      <c r="V396" s="105"/>
      <c r="W396" s="105" t="s">
        <v>80</v>
      </c>
      <c r="X396" s="105"/>
      <c r="Y396" s="105"/>
    </row>
    <row r="397" spans="1:25" s="99" customFormat="1" ht="26.25" customHeight="1">
      <c r="A397" s="100">
        <v>4138</v>
      </c>
      <c r="B397" s="101" t="s">
        <v>11</v>
      </c>
      <c r="C397" s="105" t="s">
        <v>52</v>
      </c>
      <c r="D397" s="105" t="s">
        <v>843</v>
      </c>
      <c r="E397" s="105" t="s">
        <v>44</v>
      </c>
      <c r="F397" s="101" t="str">
        <f t="shared" si="13"/>
        <v>-</v>
      </c>
      <c r="G397" s="106" t="s">
        <v>53</v>
      </c>
      <c r="H397" s="105"/>
      <c r="I397" s="106" t="s">
        <v>844</v>
      </c>
      <c r="J397" s="107" t="s">
        <v>54</v>
      </c>
      <c r="K397" s="108"/>
      <c r="L397" s="106"/>
      <c r="M397" s="110"/>
      <c r="N397" s="105" t="s">
        <v>78</v>
      </c>
      <c r="O397" s="105" t="str">
        <f t="shared" si="14"/>
        <v/>
      </c>
      <c r="P397" s="105"/>
      <c r="Q397" s="105" t="s">
        <v>77</v>
      </c>
      <c r="R397" s="105" t="s">
        <v>77</v>
      </c>
      <c r="S397" s="105"/>
      <c r="T397" s="105"/>
      <c r="U397" s="105"/>
      <c r="V397" s="105"/>
      <c r="W397" s="105" t="s">
        <v>80</v>
      </c>
      <c r="X397" s="105"/>
      <c r="Y397" s="105"/>
    </row>
    <row r="398" spans="1:25" s="99" customFormat="1" ht="26.25" customHeight="1">
      <c r="A398" s="100">
        <v>4139</v>
      </c>
      <c r="B398" s="101" t="s">
        <v>11</v>
      </c>
      <c r="C398" s="105" t="s">
        <v>52</v>
      </c>
      <c r="D398" s="105" t="s">
        <v>845</v>
      </c>
      <c r="E398" s="105" t="s">
        <v>44</v>
      </c>
      <c r="F398" s="101" t="str">
        <f t="shared" si="13"/>
        <v>-</v>
      </c>
      <c r="G398" s="106" t="s">
        <v>53</v>
      </c>
      <c r="H398" s="105"/>
      <c r="I398" s="106" t="s">
        <v>846</v>
      </c>
      <c r="J398" s="107" t="s">
        <v>54</v>
      </c>
      <c r="K398" s="108"/>
      <c r="L398" s="106"/>
      <c r="M398" s="110"/>
      <c r="N398" s="105" t="s">
        <v>78</v>
      </c>
      <c r="O398" s="105" t="str">
        <f t="shared" si="14"/>
        <v/>
      </c>
      <c r="P398" s="105"/>
      <c r="Q398" s="105" t="s">
        <v>77</v>
      </c>
      <c r="R398" s="105" t="s">
        <v>77</v>
      </c>
      <c r="S398" s="105"/>
      <c r="T398" s="105"/>
      <c r="U398" s="105"/>
      <c r="V398" s="105"/>
      <c r="W398" s="105" t="s">
        <v>80</v>
      </c>
      <c r="X398" s="105"/>
      <c r="Y398" s="105"/>
    </row>
    <row r="399" spans="1:25" s="99" customFormat="1" ht="26.25" customHeight="1">
      <c r="A399" s="100">
        <v>4140</v>
      </c>
      <c r="B399" s="101" t="s">
        <v>11</v>
      </c>
      <c r="C399" s="105" t="s">
        <v>52</v>
      </c>
      <c r="D399" s="105" t="s">
        <v>847</v>
      </c>
      <c r="E399" s="105" t="s">
        <v>44</v>
      </c>
      <c r="F399" s="101" t="str">
        <f t="shared" si="13"/>
        <v>-</v>
      </c>
      <c r="G399" s="106" t="s">
        <v>53</v>
      </c>
      <c r="H399" s="105"/>
      <c r="I399" s="106" t="s">
        <v>848</v>
      </c>
      <c r="J399" s="107" t="s">
        <v>54</v>
      </c>
      <c r="K399" s="108"/>
      <c r="L399" s="106"/>
      <c r="M399" s="110"/>
      <c r="N399" s="105" t="s">
        <v>78</v>
      </c>
      <c r="O399" s="105" t="str">
        <f t="shared" si="14"/>
        <v/>
      </c>
      <c r="P399" s="105"/>
      <c r="Q399" s="105" t="s">
        <v>77</v>
      </c>
      <c r="R399" s="105" t="s">
        <v>77</v>
      </c>
      <c r="S399" s="105"/>
      <c r="T399" s="105"/>
      <c r="U399" s="105"/>
      <c r="V399" s="105"/>
      <c r="W399" s="105" t="s">
        <v>80</v>
      </c>
      <c r="X399" s="105"/>
      <c r="Y399" s="105"/>
    </row>
    <row r="400" spans="1:25" s="99" customFormat="1" ht="26.25" customHeight="1">
      <c r="A400" s="100">
        <v>4141</v>
      </c>
      <c r="B400" s="101" t="s">
        <v>11</v>
      </c>
      <c r="C400" s="105" t="s">
        <v>52</v>
      </c>
      <c r="D400" s="105" t="s">
        <v>849</v>
      </c>
      <c r="E400" s="105" t="s">
        <v>44</v>
      </c>
      <c r="F400" s="101" t="str">
        <f t="shared" si="13"/>
        <v>-</v>
      </c>
      <c r="G400" s="106" t="s">
        <v>53</v>
      </c>
      <c r="H400" s="105"/>
      <c r="I400" s="106" t="s">
        <v>850</v>
      </c>
      <c r="J400" s="107" t="s">
        <v>54</v>
      </c>
      <c r="K400" s="108"/>
      <c r="L400" s="106"/>
      <c r="M400" s="110"/>
      <c r="N400" s="105" t="s">
        <v>78</v>
      </c>
      <c r="O400" s="105" t="str">
        <f t="shared" si="14"/>
        <v/>
      </c>
      <c r="P400" s="105"/>
      <c r="Q400" s="105" t="s">
        <v>77</v>
      </c>
      <c r="R400" s="105" t="s">
        <v>77</v>
      </c>
      <c r="S400" s="105"/>
      <c r="T400" s="105"/>
      <c r="U400" s="105"/>
      <c r="V400" s="105"/>
      <c r="W400" s="105" t="s">
        <v>80</v>
      </c>
      <c r="X400" s="105"/>
      <c r="Y400" s="105"/>
    </row>
    <row r="401" spans="1:25" s="99" customFormat="1" ht="26.25" customHeight="1">
      <c r="A401" s="100">
        <v>4142</v>
      </c>
      <c r="B401" s="101" t="s">
        <v>11</v>
      </c>
      <c r="C401" s="105" t="s">
        <v>52</v>
      </c>
      <c r="D401" s="105" t="s">
        <v>851</v>
      </c>
      <c r="E401" s="105" t="s">
        <v>44</v>
      </c>
      <c r="F401" s="101" t="str">
        <f t="shared" si="13"/>
        <v>-</v>
      </c>
      <c r="G401" s="106" t="s">
        <v>53</v>
      </c>
      <c r="H401" s="105"/>
      <c r="I401" s="106" t="s">
        <v>852</v>
      </c>
      <c r="J401" s="107" t="s">
        <v>54</v>
      </c>
      <c r="K401" s="108"/>
      <c r="L401" s="106"/>
      <c r="M401" s="110"/>
      <c r="N401" s="105" t="s">
        <v>78</v>
      </c>
      <c r="O401" s="105" t="str">
        <f t="shared" si="14"/>
        <v/>
      </c>
      <c r="P401" s="105"/>
      <c r="Q401" s="105" t="s">
        <v>77</v>
      </c>
      <c r="R401" s="105" t="s">
        <v>77</v>
      </c>
      <c r="S401" s="105"/>
      <c r="T401" s="105"/>
      <c r="U401" s="105"/>
      <c r="V401" s="105"/>
      <c r="W401" s="105" t="s">
        <v>80</v>
      </c>
      <c r="X401" s="105"/>
      <c r="Y401" s="105"/>
    </row>
    <row r="402" spans="1:25" s="99" customFormat="1" ht="26.25" customHeight="1">
      <c r="A402" s="100">
        <v>4143</v>
      </c>
      <c r="B402" s="101" t="s">
        <v>11</v>
      </c>
      <c r="C402" s="105" t="s">
        <v>52</v>
      </c>
      <c r="D402" s="105" t="s">
        <v>853</v>
      </c>
      <c r="E402" s="105" t="s">
        <v>44</v>
      </c>
      <c r="F402" s="101" t="str">
        <f t="shared" si="13"/>
        <v>-</v>
      </c>
      <c r="G402" s="106" t="s">
        <v>53</v>
      </c>
      <c r="H402" s="105"/>
      <c r="I402" s="106" t="s">
        <v>854</v>
      </c>
      <c r="J402" s="107" t="s">
        <v>54</v>
      </c>
      <c r="K402" s="108"/>
      <c r="L402" s="106"/>
      <c r="M402" s="110"/>
      <c r="N402" s="105" t="s">
        <v>78</v>
      </c>
      <c r="O402" s="105" t="str">
        <f t="shared" si="14"/>
        <v/>
      </c>
      <c r="P402" s="105"/>
      <c r="Q402" s="105" t="s">
        <v>77</v>
      </c>
      <c r="R402" s="105" t="s">
        <v>77</v>
      </c>
      <c r="S402" s="105"/>
      <c r="T402" s="105"/>
      <c r="U402" s="105"/>
      <c r="V402" s="105"/>
      <c r="W402" s="105" t="s">
        <v>80</v>
      </c>
      <c r="X402" s="105"/>
      <c r="Y402" s="105"/>
    </row>
    <row r="403" spans="1:25" s="99" customFormat="1" ht="26.25" customHeight="1">
      <c r="A403" s="100">
        <v>4144</v>
      </c>
      <c r="B403" s="101" t="s">
        <v>11</v>
      </c>
      <c r="C403" s="105" t="s">
        <v>52</v>
      </c>
      <c r="D403" s="105" t="s">
        <v>855</v>
      </c>
      <c r="E403" s="105" t="s">
        <v>44</v>
      </c>
      <c r="F403" s="101" t="str">
        <f t="shared" si="13"/>
        <v>-</v>
      </c>
      <c r="G403" s="106" t="s">
        <v>53</v>
      </c>
      <c r="H403" s="105"/>
      <c r="I403" s="106" t="s">
        <v>856</v>
      </c>
      <c r="J403" s="107" t="s">
        <v>54</v>
      </c>
      <c r="K403" s="108"/>
      <c r="L403" s="106"/>
      <c r="M403" s="110"/>
      <c r="N403" s="105" t="s">
        <v>78</v>
      </c>
      <c r="O403" s="105" t="str">
        <f t="shared" si="14"/>
        <v/>
      </c>
      <c r="P403" s="105"/>
      <c r="Q403" s="105" t="s">
        <v>77</v>
      </c>
      <c r="R403" s="105" t="s">
        <v>77</v>
      </c>
      <c r="S403" s="105"/>
      <c r="T403" s="105"/>
      <c r="U403" s="105"/>
      <c r="V403" s="105"/>
      <c r="W403" s="105" t="s">
        <v>80</v>
      </c>
      <c r="X403" s="105"/>
      <c r="Y403" s="105"/>
    </row>
    <row r="404" spans="1:25" s="99" customFormat="1" ht="26.25" customHeight="1">
      <c r="A404" s="100">
        <v>4145</v>
      </c>
      <c r="B404" s="101" t="s">
        <v>11</v>
      </c>
      <c r="C404" s="105" t="s">
        <v>52</v>
      </c>
      <c r="D404" s="105" t="s">
        <v>857</v>
      </c>
      <c r="E404" s="105" t="s">
        <v>44</v>
      </c>
      <c r="F404" s="101" t="str">
        <f t="shared" si="13"/>
        <v>-</v>
      </c>
      <c r="G404" s="106" t="s">
        <v>53</v>
      </c>
      <c r="H404" s="105"/>
      <c r="I404" s="106" t="s">
        <v>858</v>
      </c>
      <c r="J404" s="107" t="s">
        <v>54</v>
      </c>
      <c r="K404" s="108"/>
      <c r="L404" s="106"/>
      <c r="M404" s="110"/>
      <c r="N404" s="105" t="s">
        <v>78</v>
      </c>
      <c r="O404" s="105" t="str">
        <f t="shared" si="14"/>
        <v/>
      </c>
      <c r="P404" s="105"/>
      <c r="Q404" s="105" t="s">
        <v>77</v>
      </c>
      <c r="R404" s="105" t="s">
        <v>77</v>
      </c>
      <c r="S404" s="105"/>
      <c r="T404" s="105"/>
      <c r="U404" s="105"/>
      <c r="V404" s="105"/>
      <c r="W404" s="105" t="s">
        <v>80</v>
      </c>
      <c r="X404" s="105"/>
      <c r="Y404" s="105"/>
    </row>
    <row r="405" spans="1:25" s="99" customFormat="1" ht="26.25" customHeight="1">
      <c r="A405" s="100">
        <v>4146</v>
      </c>
      <c r="B405" s="101" t="s">
        <v>11</v>
      </c>
      <c r="C405" s="105" t="s">
        <v>52</v>
      </c>
      <c r="D405" s="105" t="s">
        <v>859</v>
      </c>
      <c r="E405" s="105" t="s">
        <v>44</v>
      </c>
      <c r="F405" s="101" t="str">
        <f t="shared" si="13"/>
        <v>-</v>
      </c>
      <c r="G405" s="106" t="s">
        <v>53</v>
      </c>
      <c r="H405" s="105"/>
      <c r="I405" s="106" t="s">
        <v>860</v>
      </c>
      <c r="J405" s="107" t="s">
        <v>54</v>
      </c>
      <c r="K405" s="108"/>
      <c r="L405" s="106"/>
      <c r="M405" s="110"/>
      <c r="N405" s="105" t="s">
        <v>78</v>
      </c>
      <c r="O405" s="105" t="str">
        <f t="shared" si="14"/>
        <v/>
      </c>
      <c r="P405" s="105"/>
      <c r="Q405" s="105" t="s">
        <v>77</v>
      </c>
      <c r="R405" s="105" t="s">
        <v>77</v>
      </c>
      <c r="S405" s="105"/>
      <c r="T405" s="105"/>
      <c r="U405" s="105"/>
      <c r="V405" s="105"/>
      <c r="W405" s="105" t="s">
        <v>80</v>
      </c>
      <c r="X405" s="105"/>
      <c r="Y405" s="105"/>
    </row>
    <row r="406" spans="1:25" s="99" customFormat="1" ht="26.25" customHeight="1">
      <c r="A406" s="100">
        <v>4147</v>
      </c>
      <c r="B406" s="101" t="s">
        <v>11</v>
      </c>
      <c r="C406" s="105" t="s">
        <v>52</v>
      </c>
      <c r="D406" s="105" t="s">
        <v>861</v>
      </c>
      <c r="E406" s="105" t="s">
        <v>44</v>
      </c>
      <c r="F406" s="101" t="str">
        <f t="shared" ref="F406:F469" si="15">IF(B406&lt;&gt;"","-","")</f>
        <v>-</v>
      </c>
      <c r="G406" s="106" t="s">
        <v>53</v>
      </c>
      <c r="H406" s="105"/>
      <c r="I406" s="106" t="s">
        <v>862</v>
      </c>
      <c r="J406" s="107" t="s">
        <v>54</v>
      </c>
      <c r="K406" s="108"/>
      <c r="L406" s="106"/>
      <c r="M406" s="110"/>
      <c r="N406" s="105" t="s">
        <v>78</v>
      </c>
      <c r="O406" s="105" t="str">
        <f t="shared" ref="O406:O469" si="16">IF(OR(R406&lt;&gt;"",Q406&lt;&gt;""),"X","")</f>
        <v/>
      </c>
      <c r="P406" s="105"/>
      <c r="Q406" s="105" t="s">
        <v>77</v>
      </c>
      <c r="R406" s="105" t="s">
        <v>77</v>
      </c>
      <c r="S406" s="105"/>
      <c r="T406" s="105"/>
      <c r="U406" s="105"/>
      <c r="V406" s="105"/>
      <c r="W406" s="105" t="s">
        <v>80</v>
      </c>
      <c r="X406" s="105"/>
      <c r="Y406" s="105"/>
    </row>
    <row r="407" spans="1:25" s="99" customFormat="1" ht="26.25" customHeight="1">
      <c r="A407" s="100">
        <v>4148</v>
      </c>
      <c r="B407" s="101" t="s">
        <v>11</v>
      </c>
      <c r="C407" s="105" t="s">
        <v>52</v>
      </c>
      <c r="D407" s="105" t="s">
        <v>863</v>
      </c>
      <c r="E407" s="105" t="s">
        <v>44</v>
      </c>
      <c r="F407" s="101" t="str">
        <f t="shared" si="15"/>
        <v>-</v>
      </c>
      <c r="G407" s="106" t="s">
        <v>53</v>
      </c>
      <c r="H407" s="105"/>
      <c r="I407" s="106" t="s">
        <v>864</v>
      </c>
      <c r="J407" s="107" t="s">
        <v>54</v>
      </c>
      <c r="K407" s="108"/>
      <c r="L407" s="106"/>
      <c r="M407" s="110"/>
      <c r="N407" s="105" t="s">
        <v>78</v>
      </c>
      <c r="O407" s="105" t="str">
        <f t="shared" si="16"/>
        <v/>
      </c>
      <c r="P407" s="105"/>
      <c r="Q407" s="105" t="s">
        <v>77</v>
      </c>
      <c r="R407" s="105" t="s">
        <v>77</v>
      </c>
      <c r="S407" s="105"/>
      <c r="T407" s="105"/>
      <c r="U407" s="105"/>
      <c r="V407" s="105"/>
      <c r="W407" s="105" t="s">
        <v>80</v>
      </c>
      <c r="X407" s="105"/>
      <c r="Y407" s="105"/>
    </row>
    <row r="408" spans="1:25" s="99" customFormat="1" ht="26.25" customHeight="1">
      <c r="A408" s="100">
        <v>4149</v>
      </c>
      <c r="B408" s="101" t="s">
        <v>11</v>
      </c>
      <c r="C408" s="105" t="s">
        <v>52</v>
      </c>
      <c r="D408" s="105" t="s">
        <v>865</v>
      </c>
      <c r="E408" s="105" t="s">
        <v>44</v>
      </c>
      <c r="F408" s="101" t="str">
        <f t="shared" si="15"/>
        <v>-</v>
      </c>
      <c r="G408" s="106" t="s">
        <v>53</v>
      </c>
      <c r="H408" s="105"/>
      <c r="I408" s="106" t="s">
        <v>866</v>
      </c>
      <c r="J408" s="107" t="s">
        <v>54</v>
      </c>
      <c r="K408" s="108"/>
      <c r="L408" s="106"/>
      <c r="M408" s="110"/>
      <c r="N408" s="105" t="s">
        <v>78</v>
      </c>
      <c r="O408" s="105" t="str">
        <f t="shared" si="16"/>
        <v/>
      </c>
      <c r="P408" s="105"/>
      <c r="Q408" s="105" t="s">
        <v>77</v>
      </c>
      <c r="R408" s="105" t="s">
        <v>77</v>
      </c>
      <c r="S408" s="105"/>
      <c r="T408" s="105"/>
      <c r="U408" s="105"/>
      <c r="V408" s="105"/>
      <c r="W408" s="105" t="s">
        <v>80</v>
      </c>
      <c r="X408" s="105"/>
      <c r="Y408" s="105"/>
    </row>
    <row r="409" spans="1:25" s="99" customFormat="1" ht="26.25" customHeight="1">
      <c r="A409" s="100">
        <v>4150</v>
      </c>
      <c r="B409" s="101" t="s">
        <v>11</v>
      </c>
      <c r="C409" s="105" t="s">
        <v>52</v>
      </c>
      <c r="D409" s="105" t="s">
        <v>867</v>
      </c>
      <c r="E409" s="105" t="s">
        <v>44</v>
      </c>
      <c r="F409" s="101" t="str">
        <f t="shared" si="15"/>
        <v>-</v>
      </c>
      <c r="G409" s="106" t="s">
        <v>53</v>
      </c>
      <c r="H409" s="105"/>
      <c r="I409" s="106" t="s">
        <v>868</v>
      </c>
      <c r="J409" s="107" t="s">
        <v>54</v>
      </c>
      <c r="K409" s="108"/>
      <c r="L409" s="106"/>
      <c r="M409" s="110"/>
      <c r="N409" s="105" t="s">
        <v>78</v>
      </c>
      <c r="O409" s="105" t="str">
        <f t="shared" si="16"/>
        <v/>
      </c>
      <c r="P409" s="105"/>
      <c r="Q409" s="105" t="s">
        <v>77</v>
      </c>
      <c r="R409" s="105" t="s">
        <v>77</v>
      </c>
      <c r="S409" s="105"/>
      <c r="T409" s="105"/>
      <c r="U409" s="105"/>
      <c r="V409" s="105"/>
      <c r="W409" s="105" t="s">
        <v>80</v>
      </c>
      <c r="X409" s="105"/>
      <c r="Y409" s="105"/>
    </row>
    <row r="410" spans="1:25" s="99" customFormat="1" ht="26.25" customHeight="1">
      <c r="A410" s="100">
        <v>4151</v>
      </c>
      <c r="B410" s="101" t="s">
        <v>11</v>
      </c>
      <c r="C410" s="105" t="s">
        <v>52</v>
      </c>
      <c r="D410" s="105" t="s">
        <v>869</v>
      </c>
      <c r="E410" s="105" t="s">
        <v>44</v>
      </c>
      <c r="F410" s="101" t="str">
        <f t="shared" si="15"/>
        <v>-</v>
      </c>
      <c r="G410" s="106" t="s">
        <v>53</v>
      </c>
      <c r="H410" s="105"/>
      <c r="I410" s="106" t="s">
        <v>870</v>
      </c>
      <c r="J410" s="107" t="s">
        <v>54</v>
      </c>
      <c r="K410" s="108"/>
      <c r="L410" s="106"/>
      <c r="M410" s="110"/>
      <c r="N410" s="105" t="s">
        <v>78</v>
      </c>
      <c r="O410" s="105" t="str">
        <f t="shared" si="16"/>
        <v/>
      </c>
      <c r="P410" s="105"/>
      <c r="Q410" s="105" t="s">
        <v>77</v>
      </c>
      <c r="R410" s="105" t="s">
        <v>77</v>
      </c>
      <c r="S410" s="105"/>
      <c r="T410" s="105"/>
      <c r="U410" s="105"/>
      <c r="V410" s="105"/>
      <c r="W410" s="105" t="s">
        <v>80</v>
      </c>
      <c r="X410" s="105"/>
      <c r="Y410" s="105"/>
    </row>
    <row r="411" spans="1:25" s="99" customFormat="1" ht="26.25" customHeight="1">
      <c r="A411" s="100">
        <v>4152</v>
      </c>
      <c r="B411" s="101" t="s">
        <v>11</v>
      </c>
      <c r="C411" s="105" t="s">
        <v>52</v>
      </c>
      <c r="D411" s="105" t="s">
        <v>871</v>
      </c>
      <c r="E411" s="105" t="s">
        <v>44</v>
      </c>
      <c r="F411" s="101" t="str">
        <f t="shared" si="15"/>
        <v>-</v>
      </c>
      <c r="G411" s="106" t="s">
        <v>53</v>
      </c>
      <c r="H411" s="105"/>
      <c r="I411" s="106" t="s">
        <v>872</v>
      </c>
      <c r="J411" s="107" t="s">
        <v>54</v>
      </c>
      <c r="K411" s="108"/>
      <c r="L411" s="106"/>
      <c r="M411" s="110"/>
      <c r="N411" s="105" t="s">
        <v>78</v>
      </c>
      <c r="O411" s="105" t="str">
        <f t="shared" si="16"/>
        <v/>
      </c>
      <c r="P411" s="105"/>
      <c r="Q411" s="105" t="s">
        <v>77</v>
      </c>
      <c r="R411" s="105" t="s">
        <v>77</v>
      </c>
      <c r="S411" s="105"/>
      <c r="T411" s="105"/>
      <c r="U411" s="105"/>
      <c r="V411" s="105"/>
      <c r="W411" s="105" t="s">
        <v>80</v>
      </c>
      <c r="X411" s="105"/>
      <c r="Y411" s="105"/>
    </row>
    <row r="412" spans="1:25" s="99" customFormat="1" ht="26.25" customHeight="1">
      <c r="A412" s="100">
        <v>4153</v>
      </c>
      <c r="B412" s="101" t="s">
        <v>11</v>
      </c>
      <c r="C412" s="105" t="s">
        <v>52</v>
      </c>
      <c r="D412" s="105" t="s">
        <v>873</v>
      </c>
      <c r="E412" s="105" t="s">
        <v>44</v>
      </c>
      <c r="F412" s="101" t="str">
        <f t="shared" si="15"/>
        <v>-</v>
      </c>
      <c r="G412" s="106" t="s">
        <v>53</v>
      </c>
      <c r="H412" s="105"/>
      <c r="I412" s="106" t="s">
        <v>874</v>
      </c>
      <c r="J412" s="107" t="s">
        <v>54</v>
      </c>
      <c r="K412" s="108"/>
      <c r="L412" s="106"/>
      <c r="M412" s="110"/>
      <c r="N412" s="105" t="s">
        <v>78</v>
      </c>
      <c r="O412" s="105" t="str">
        <f t="shared" si="16"/>
        <v/>
      </c>
      <c r="P412" s="105"/>
      <c r="Q412" s="105" t="s">
        <v>77</v>
      </c>
      <c r="R412" s="105" t="s">
        <v>77</v>
      </c>
      <c r="S412" s="105"/>
      <c r="T412" s="105"/>
      <c r="U412" s="105"/>
      <c r="V412" s="105"/>
      <c r="W412" s="105" t="s">
        <v>80</v>
      </c>
      <c r="X412" s="105"/>
      <c r="Y412" s="105"/>
    </row>
    <row r="413" spans="1:25" s="99" customFormat="1" ht="26.25" customHeight="1">
      <c r="A413" s="100">
        <v>4154</v>
      </c>
      <c r="B413" s="101" t="s">
        <v>11</v>
      </c>
      <c r="C413" s="105" t="s">
        <v>52</v>
      </c>
      <c r="D413" s="105" t="s">
        <v>875</v>
      </c>
      <c r="E413" s="105" t="s">
        <v>44</v>
      </c>
      <c r="F413" s="101" t="str">
        <f t="shared" si="15"/>
        <v>-</v>
      </c>
      <c r="G413" s="106" t="s">
        <v>53</v>
      </c>
      <c r="H413" s="105"/>
      <c r="I413" s="106" t="s">
        <v>876</v>
      </c>
      <c r="J413" s="107" t="s">
        <v>54</v>
      </c>
      <c r="K413" s="108"/>
      <c r="L413" s="106"/>
      <c r="M413" s="110"/>
      <c r="N413" s="105" t="s">
        <v>78</v>
      </c>
      <c r="O413" s="105" t="str">
        <f t="shared" si="16"/>
        <v/>
      </c>
      <c r="P413" s="105"/>
      <c r="Q413" s="105" t="s">
        <v>77</v>
      </c>
      <c r="R413" s="105" t="s">
        <v>77</v>
      </c>
      <c r="S413" s="105"/>
      <c r="T413" s="105"/>
      <c r="U413" s="105"/>
      <c r="V413" s="105"/>
      <c r="W413" s="105" t="s">
        <v>80</v>
      </c>
      <c r="X413" s="105"/>
      <c r="Y413" s="105"/>
    </row>
    <row r="414" spans="1:25" s="99" customFormat="1" ht="26.25" customHeight="1">
      <c r="A414" s="100">
        <v>4155</v>
      </c>
      <c r="B414" s="101" t="s">
        <v>11</v>
      </c>
      <c r="C414" s="105" t="s">
        <v>52</v>
      </c>
      <c r="D414" s="105" t="s">
        <v>877</v>
      </c>
      <c r="E414" s="105" t="s">
        <v>44</v>
      </c>
      <c r="F414" s="101" t="str">
        <f t="shared" si="15"/>
        <v>-</v>
      </c>
      <c r="G414" s="106" t="s">
        <v>53</v>
      </c>
      <c r="H414" s="105"/>
      <c r="I414" s="106" t="s">
        <v>878</v>
      </c>
      <c r="J414" s="107" t="s">
        <v>54</v>
      </c>
      <c r="K414" s="108"/>
      <c r="L414" s="106"/>
      <c r="M414" s="110"/>
      <c r="N414" s="105" t="s">
        <v>78</v>
      </c>
      <c r="O414" s="105" t="str">
        <f t="shared" si="16"/>
        <v/>
      </c>
      <c r="P414" s="105"/>
      <c r="Q414" s="105" t="s">
        <v>77</v>
      </c>
      <c r="R414" s="105" t="s">
        <v>77</v>
      </c>
      <c r="S414" s="105"/>
      <c r="T414" s="105"/>
      <c r="U414" s="105"/>
      <c r="V414" s="105"/>
      <c r="W414" s="105" t="s">
        <v>80</v>
      </c>
      <c r="X414" s="105"/>
      <c r="Y414" s="105"/>
    </row>
    <row r="415" spans="1:25" s="99" customFormat="1" ht="26.25" customHeight="1">
      <c r="A415" s="100">
        <v>4156</v>
      </c>
      <c r="B415" s="101" t="s">
        <v>11</v>
      </c>
      <c r="C415" s="105" t="s">
        <v>52</v>
      </c>
      <c r="D415" s="105" t="s">
        <v>879</v>
      </c>
      <c r="E415" s="105" t="s">
        <v>44</v>
      </c>
      <c r="F415" s="101" t="str">
        <f t="shared" si="15"/>
        <v>-</v>
      </c>
      <c r="G415" s="106" t="s">
        <v>53</v>
      </c>
      <c r="H415" s="105"/>
      <c r="I415" s="106" t="s">
        <v>880</v>
      </c>
      <c r="J415" s="107" t="s">
        <v>54</v>
      </c>
      <c r="K415" s="108"/>
      <c r="L415" s="106"/>
      <c r="M415" s="110"/>
      <c r="N415" s="105" t="s">
        <v>78</v>
      </c>
      <c r="O415" s="105" t="str">
        <f t="shared" si="16"/>
        <v/>
      </c>
      <c r="P415" s="105"/>
      <c r="Q415" s="105" t="s">
        <v>77</v>
      </c>
      <c r="R415" s="105" t="s">
        <v>77</v>
      </c>
      <c r="S415" s="105"/>
      <c r="T415" s="105"/>
      <c r="U415" s="105"/>
      <c r="V415" s="105"/>
      <c r="W415" s="105" t="s">
        <v>80</v>
      </c>
      <c r="X415" s="105"/>
      <c r="Y415" s="105"/>
    </row>
    <row r="416" spans="1:25" s="99" customFormat="1" ht="26.25" customHeight="1">
      <c r="A416" s="100">
        <v>4157</v>
      </c>
      <c r="B416" s="101" t="s">
        <v>11</v>
      </c>
      <c r="C416" s="105" t="s">
        <v>52</v>
      </c>
      <c r="D416" s="105" t="s">
        <v>881</v>
      </c>
      <c r="E416" s="105" t="s">
        <v>44</v>
      </c>
      <c r="F416" s="101" t="str">
        <f t="shared" si="15"/>
        <v>-</v>
      </c>
      <c r="G416" s="106" t="s">
        <v>53</v>
      </c>
      <c r="H416" s="105"/>
      <c r="I416" s="106" t="s">
        <v>882</v>
      </c>
      <c r="J416" s="107" t="s">
        <v>54</v>
      </c>
      <c r="K416" s="108"/>
      <c r="L416" s="106"/>
      <c r="M416" s="110"/>
      <c r="N416" s="105" t="s">
        <v>78</v>
      </c>
      <c r="O416" s="105" t="str">
        <f t="shared" si="16"/>
        <v/>
      </c>
      <c r="P416" s="105"/>
      <c r="Q416" s="105" t="s">
        <v>77</v>
      </c>
      <c r="R416" s="105" t="s">
        <v>77</v>
      </c>
      <c r="S416" s="105"/>
      <c r="T416" s="105"/>
      <c r="U416" s="105"/>
      <c r="V416" s="105"/>
      <c r="W416" s="105" t="s">
        <v>80</v>
      </c>
      <c r="X416" s="105"/>
      <c r="Y416" s="105"/>
    </row>
    <row r="417" spans="1:25" s="99" customFormat="1" ht="26.25" customHeight="1">
      <c r="A417" s="100">
        <v>4158</v>
      </c>
      <c r="B417" s="101" t="s">
        <v>11</v>
      </c>
      <c r="C417" s="105" t="s">
        <v>52</v>
      </c>
      <c r="D417" s="105" t="s">
        <v>883</v>
      </c>
      <c r="E417" s="105" t="s">
        <v>44</v>
      </c>
      <c r="F417" s="101" t="str">
        <f t="shared" si="15"/>
        <v>-</v>
      </c>
      <c r="G417" s="106" t="s">
        <v>53</v>
      </c>
      <c r="H417" s="105"/>
      <c r="I417" s="106" t="s">
        <v>884</v>
      </c>
      <c r="J417" s="107" t="s">
        <v>54</v>
      </c>
      <c r="K417" s="108"/>
      <c r="L417" s="106"/>
      <c r="M417" s="110"/>
      <c r="N417" s="105" t="s">
        <v>78</v>
      </c>
      <c r="O417" s="105" t="str">
        <f t="shared" si="16"/>
        <v/>
      </c>
      <c r="P417" s="105"/>
      <c r="Q417" s="105" t="s">
        <v>77</v>
      </c>
      <c r="R417" s="105" t="s">
        <v>77</v>
      </c>
      <c r="S417" s="105"/>
      <c r="T417" s="105"/>
      <c r="U417" s="105"/>
      <c r="V417" s="105"/>
      <c r="W417" s="105" t="s">
        <v>80</v>
      </c>
      <c r="X417" s="105"/>
      <c r="Y417" s="105"/>
    </row>
    <row r="418" spans="1:25" s="99" customFormat="1" ht="26.25" customHeight="1">
      <c r="A418" s="100">
        <v>4159</v>
      </c>
      <c r="B418" s="101" t="s">
        <v>11</v>
      </c>
      <c r="C418" s="105" t="s">
        <v>52</v>
      </c>
      <c r="D418" s="105" t="s">
        <v>885</v>
      </c>
      <c r="E418" s="105" t="s">
        <v>44</v>
      </c>
      <c r="F418" s="101" t="str">
        <f t="shared" si="15"/>
        <v>-</v>
      </c>
      <c r="G418" s="106" t="s">
        <v>53</v>
      </c>
      <c r="H418" s="105"/>
      <c r="I418" s="106" t="s">
        <v>886</v>
      </c>
      <c r="J418" s="107" t="s">
        <v>54</v>
      </c>
      <c r="K418" s="108"/>
      <c r="L418" s="106"/>
      <c r="M418" s="110"/>
      <c r="N418" s="105" t="s">
        <v>78</v>
      </c>
      <c r="O418" s="105" t="str">
        <f t="shared" si="16"/>
        <v/>
      </c>
      <c r="P418" s="105"/>
      <c r="Q418" s="105" t="s">
        <v>77</v>
      </c>
      <c r="R418" s="105" t="s">
        <v>77</v>
      </c>
      <c r="S418" s="105"/>
      <c r="T418" s="105"/>
      <c r="U418" s="105"/>
      <c r="V418" s="105"/>
      <c r="W418" s="105" t="s">
        <v>80</v>
      </c>
      <c r="X418" s="105"/>
      <c r="Y418" s="105"/>
    </row>
    <row r="419" spans="1:25" s="99" customFormat="1" ht="26.25" customHeight="1">
      <c r="A419" s="100">
        <v>4160</v>
      </c>
      <c r="B419" s="101" t="s">
        <v>11</v>
      </c>
      <c r="C419" s="105" t="s">
        <v>52</v>
      </c>
      <c r="D419" s="105" t="s">
        <v>887</v>
      </c>
      <c r="E419" s="105" t="s">
        <v>44</v>
      </c>
      <c r="F419" s="101" t="str">
        <f t="shared" si="15"/>
        <v>-</v>
      </c>
      <c r="G419" s="106" t="s">
        <v>53</v>
      </c>
      <c r="H419" s="105"/>
      <c r="I419" s="106" t="s">
        <v>888</v>
      </c>
      <c r="J419" s="107" t="s">
        <v>54</v>
      </c>
      <c r="K419" s="108"/>
      <c r="L419" s="106"/>
      <c r="M419" s="110"/>
      <c r="N419" s="105" t="s">
        <v>78</v>
      </c>
      <c r="O419" s="105" t="str">
        <f t="shared" si="16"/>
        <v/>
      </c>
      <c r="P419" s="105"/>
      <c r="Q419" s="105" t="s">
        <v>77</v>
      </c>
      <c r="R419" s="105" t="s">
        <v>77</v>
      </c>
      <c r="S419" s="105"/>
      <c r="T419" s="105"/>
      <c r="U419" s="105"/>
      <c r="V419" s="105"/>
      <c r="W419" s="105" t="s">
        <v>80</v>
      </c>
      <c r="X419" s="105"/>
      <c r="Y419" s="105"/>
    </row>
    <row r="420" spans="1:25" s="99" customFormat="1" ht="26.25" customHeight="1">
      <c r="A420" s="100">
        <v>4161</v>
      </c>
      <c r="B420" s="101" t="s">
        <v>11</v>
      </c>
      <c r="C420" s="105" t="s">
        <v>52</v>
      </c>
      <c r="D420" s="105" t="s">
        <v>889</v>
      </c>
      <c r="E420" s="105" t="s">
        <v>44</v>
      </c>
      <c r="F420" s="101" t="str">
        <f t="shared" si="15"/>
        <v>-</v>
      </c>
      <c r="G420" s="106" t="s">
        <v>53</v>
      </c>
      <c r="H420" s="105"/>
      <c r="I420" s="106" t="s">
        <v>890</v>
      </c>
      <c r="J420" s="107" t="s">
        <v>54</v>
      </c>
      <c r="K420" s="108"/>
      <c r="L420" s="106"/>
      <c r="M420" s="110"/>
      <c r="N420" s="105" t="s">
        <v>78</v>
      </c>
      <c r="O420" s="105" t="str">
        <f t="shared" si="16"/>
        <v/>
      </c>
      <c r="P420" s="105"/>
      <c r="Q420" s="105" t="s">
        <v>77</v>
      </c>
      <c r="R420" s="105" t="s">
        <v>77</v>
      </c>
      <c r="S420" s="105"/>
      <c r="T420" s="105"/>
      <c r="U420" s="105"/>
      <c r="V420" s="105"/>
      <c r="W420" s="105" t="s">
        <v>80</v>
      </c>
      <c r="X420" s="105"/>
      <c r="Y420" s="105"/>
    </row>
    <row r="421" spans="1:25" s="99" customFormat="1" ht="26.25" customHeight="1">
      <c r="A421" s="100">
        <v>4162</v>
      </c>
      <c r="B421" s="101" t="s">
        <v>11</v>
      </c>
      <c r="C421" s="105" t="s">
        <v>52</v>
      </c>
      <c r="D421" s="105" t="s">
        <v>891</v>
      </c>
      <c r="E421" s="105" t="s">
        <v>44</v>
      </c>
      <c r="F421" s="101" t="str">
        <f t="shared" si="15"/>
        <v>-</v>
      </c>
      <c r="G421" s="106" t="s">
        <v>53</v>
      </c>
      <c r="H421" s="105"/>
      <c r="I421" s="106" t="s">
        <v>892</v>
      </c>
      <c r="J421" s="107" t="s">
        <v>54</v>
      </c>
      <c r="K421" s="108"/>
      <c r="L421" s="106"/>
      <c r="M421" s="110"/>
      <c r="N421" s="105" t="s">
        <v>78</v>
      </c>
      <c r="O421" s="105" t="str">
        <f t="shared" si="16"/>
        <v/>
      </c>
      <c r="P421" s="105"/>
      <c r="Q421" s="105" t="s">
        <v>77</v>
      </c>
      <c r="R421" s="105" t="s">
        <v>77</v>
      </c>
      <c r="S421" s="105"/>
      <c r="T421" s="105"/>
      <c r="U421" s="105"/>
      <c r="V421" s="105"/>
      <c r="W421" s="105" t="s">
        <v>80</v>
      </c>
      <c r="X421" s="105"/>
      <c r="Y421" s="105"/>
    </row>
    <row r="422" spans="1:25" s="99" customFormat="1" ht="26.25" customHeight="1">
      <c r="A422" s="100">
        <v>4163</v>
      </c>
      <c r="B422" s="101" t="s">
        <v>11</v>
      </c>
      <c r="C422" s="105" t="s">
        <v>52</v>
      </c>
      <c r="D422" s="105" t="s">
        <v>893</v>
      </c>
      <c r="E422" s="105" t="s">
        <v>44</v>
      </c>
      <c r="F422" s="101" t="str">
        <f t="shared" si="15"/>
        <v>-</v>
      </c>
      <c r="G422" s="106" t="s">
        <v>53</v>
      </c>
      <c r="H422" s="105"/>
      <c r="I422" s="106" t="s">
        <v>894</v>
      </c>
      <c r="J422" s="107" t="s">
        <v>54</v>
      </c>
      <c r="K422" s="108"/>
      <c r="L422" s="106"/>
      <c r="M422" s="110"/>
      <c r="N422" s="105" t="s">
        <v>78</v>
      </c>
      <c r="O422" s="105" t="str">
        <f t="shared" si="16"/>
        <v/>
      </c>
      <c r="P422" s="105"/>
      <c r="Q422" s="105" t="s">
        <v>77</v>
      </c>
      <c r="R422" s="105" t="s">
        <v>77</v>
      </c>
      <c r="S422" s="105"/>
      <c r="T422" s="105"/>
      <c r="U422" s="105"/>
      <c r="V422" s="105"/>
      <c r="W422" s="105" t="s">
        <v>80</v>
      </c>
      <c r="X422" s="105"/>
      <c r="Y422" s="105"/>
    </row>
    <row r="423" spans="1:25" s="99" customFormat="1" ht="26.25" customHeight="1">
      <c r="A423" s="100">
        <v>4164</v>
      </c>
      <c r="B423" s="101" t="s">
        <v>11</v>
      </c>
      <c r="C423" s="105" t="s">
        <v>52</v>
      </c>
      <c r="D423" s="105" t="s">
        <v>895</v>
      </c>
      <c r="E423" s="105" t="s">
        <v>44</v>
      </c>
      <c r="F423" s="101" t="str">
        <f t="shared" si="15"/>
        <v>-</v>
      </c>
      <c r="G423" s="106" t="s">
        <v>53</v>
      </c>
      <c r="H423" s="105"/>
      <c r="I423" s="106" t="s">
        <v>896</v>
      </c>
      <c r="J423" s="107" t="s">
        <v>54</v>
      </c>
      <c r="K423" s="108"/>
      <c r="L423" s="106"/>
      <c r="M423" s="110"/>
      <c r="N423" s="105" t="s">
        <v>78</v>
      </c>
      <c r="O423" s="105" t="str">
        <f t="shared" si="16"/>
        <v/>
      </c>
      <c r="P423" s="105"/>
      <c r="Q423" s="105" t="s">
        <v>77</v>
      </c>
      <c r="R423" s="105" t="s">
        <v>77</v>
      </c>
      <c r="S423" s="105"/>
      <c r="T423" s="105"/>
      <c r="U423" s="105"/>
      <c r="V423" s="105"/>
      <c r="W423" s="105" t="s">
        <v>80</v>
      </c>
      <c r="X423" s="105"/>
      <c r="Y423" s="105"/>
    </row>
    <row r="424" spans="1:25" s="99" customFormat="1" ht="26.25" customHeight="1">
      <c r="A424" s="100">
        <v>4165</v>
      </c>
      <c r="B424" s="101" t="s">
        <v>11</v>
      </c>
      <c r="C424" s="105" t="s">
        <v>52</v>
      </c>
      <c r="D424" s="105" t="s">
        <v>897</v>
      </c>
      <c r="E424" s="105" t="s">
        <v>44</v>
      </c>
      <c r="F424" s="101" t="str">
        <f t="shared" si="15"/>
        <v>-</v>
      </c>
      <c r="G424" s="106" t="s">
        <v>53</v>
      </c>
      <c r="H424" s="105"/>
      <c r="I424" s="106" t="s">
        <v>898</v>
      </c>
      <c r="J424" s="107" t="s">
        <v>54</v>
      </c>
      <c r="K424" s="108"/>
      <c r="L424" s="106"/>
      <c r="M424" s="110"/>
      <c r="N424" s="105" t="s">
        <v>78</v>
      </c>
      <c r="O424" s="105" t="str">
        <f t="shared" si="16"/>
        <v/>
      </c>
      <c r="P424" s="105"/>
      <c r="Q424" s="105" t="s">
        <v>77</v>
      </c>
      <c r="R424" s="105" t="s">
        <v>77</v>
      </c>
      <c r="S424" s="105"/>
      <c r="T424" s="105"/>
      <c r="U424" s="105"/>
      <c r="V424" s="105"/>
      <c r="W424" s="105" t="s">
        <v>80</v>
      </c>
      <c r="X424" s="105"/>
      <c r="Y424" s="105"/>
    </row>
    <row r="425" spans="1:25" s="99" customFormat="1" ht="26.25" customHeight="1">
      <c r="A425" s="100">
        <v>4166</v>
      </c>
      <c r="B425" s="101" t="s">
        <v>11</v>
      </c>
      <c r="C425" s="105" t="s">
        <v>52</v>
      </c>
      <c r="D425" s="105" t="s">
        <v>899</v>
      </c>
      <c r="E425" s="105" t="s">
        <v>44</v>
      </c>
      <c r="F425" s="101" t="str">
        <f t="shared" si="15"/>
        <v>-</v>
      </c>
      <c r="G425" s="106" t="s">
        <v>53</v>
      </c>
      <c r="H425" s="105"/>
      <c r="I425" s="106" t="s">
        <v>900</v>
      </c>
      <c r="J425" s="107" t="s">
        <v>54</v>
      </c>
      <c r="K425" s="108"/>
      <c r="L425" s="106"/>
      <c r="M425" s="110"/>
      <c r="N425" s="105" t="s">
        <v>78</v>
      </c>
      <c r="O425" s="105" t="str">
        <f t="shared" si="16"/>
        <v/>
      </c>
      <c r="P425" s="105"/>
      <c r="Q425" s="105" t="s">
        <v>77</v>
      </c>
      <c r="R425" s="105" t="s">
        <v>77</v>
      </c>
      <c r="S425" s="105"/>
      <c r="T425" s="105"/>
      <c r="U425" s="105"/>
      <c r="V425" s="105"/>
      <c r="W425" s="105" t="s">
        <v>80</v>
      </c>
      <c r="X425" s="105"/>
      <c r="Y425" s="105"/>
    </row>
    <row r="426" spans="1:25" s="99" customFormat="1" ht="26.25" customHeight="1">
      <c r="A426" s="100">
        <v>4167</v>
      </c>
      <c r="B426" s="101" t="s">
        <v>11</v>
      </c>
      <c r="C426" s="105" t="s">
        <v>52</v>
      </c>
      <c r="D426" s="105" t="s">
        <v>901</v>
      </c>
      <c r="E426" s="105" t="s">
        <v>44</v>
      </c>
      <c r="F426" s="101" t="str">
        <f t="shared" si="15"/>
        <v>-</v>
      </c>
      <c r="G426" s="106" t="s">
        <v>53</v>
      </c>
      <c r="H426" s="105"/>
      <c r="I426" s="106" t="s">
        <v>902</v>
      </c>
      <c r="J426" s="107" t="s">
        <v>54</v>
      </c>
      <c r="K426" s="108"/>
      <c r="L426" s="106"/>
      <c r="M426" s="110"/>
      <c r="N426" s="105" t="s">
        <v>78</v>
      </c>
      <c r="O426" s="105" t="str">
        <f t="shared" si="16"/>
        <v/>
      </c>
      <c r="P426" s="105"/>
      <c r="Q426" s="105" t="s">
        <v>77</v>
      </c>
      <c r="R426" s="105" t="s">
        <v>77</v>
      </c>
      <c r="S426" s="105"/>
      <c r="T426" s="105"/>
      <c r="U426" s="105"/>
      <c r="V426" s="105"/>
      <c r="W426" s="105" t="s">
        <v>80</v>
      </c>
      <c r="X426" s="105"/>
      <c r="Y426" s="105"/>
    </row>
    <row r="427" spans="1:25" s="99" customFormat="1" ht="26.25" customHeight="1">
      <c r="A427" s="100">
        <v>4168</v>
      </c>
      <c r="B427" s="101" t="s">
        <v>11</v>
      </c>
      <c r="C427" s="105" t="s">
        <v>52</v>
      </c>
      <c r="D427" s="105" t="s">
        <v>903</v>
      </c>
      <c r="E427" s="105" t="s">
        <v>44</v>
      </c>
      <c r="F427" s="101" t="str">
        <f t="shared" si="15"/>
        <v>-</v>
      </c>
      <c r="G427" s="106" t="s">
        <v>53</v>
      </c>
      <c r="H427" s="105"/>
      <c r="I427" s="106" t="s">
        <v>904</v>
      </c>
      <c r="J427" s="107" t="s">
        <v>54</v>
      </c>
      <c r="K427" s="108"/>
      <c r="L427" s="106"/>
      <c r="M427" s="110"/>
      <c r="N427" s="105" t="s">
        <v>78</v>
      </c>
      <c r="O427" s="105" t="str">
        <f t="shared" si="16"/>
        <v/>
      </c>
      <c r="P427" s="105"/>
      <c r="Q427" s="105" t="s">
        <v>77</v>
      </c>
      <c r="R427" s="105" t="s">
        <v>77</v>
      </c>
      <c r="S427" s="105"/>
      <c r="T427" s="105"/>
      <c r="U427" s="105"/>
      <c r="V427" s="105"/>
      <c r="W427" s="105" t="s">
        <v>80</v>
      </c>
      <c r="X427" s="105"/>
      <c r="Y427" s="105"/>
    </row>
    <row r="428" spans="1:25" s="99" customFormat="1" ht="26.25" customHeight="1">
      <c r="A428" s="100">
        <v>4169</v>
      </c>
      <c r="B428" s="101" t="s">
        <v>11</v>
      </c>
      <c r="C428" s="105" t="s">
        <v>52</v>
      </c>
      <c r="D428" s="105" t="s">
        <v>905</v>
      </c>
      <c r="E428" s="105" t="s">
        <v>44</v>
      </c>
      <c r="F428" s="101" t="str">
        <f t="shared" si="15"/>
        <v>-</v>
      </c>
      <c r="G428" s="106" t="s">
        <v>53</v>
      </c>
      <c r="H428" s="105"/>
      <c r="I428" s="106" t="s">
        <v>906</v>
      </c>
      <c r="J428" s="107" t="s">
        <v>54</v>
      </c>
      <c r="K428" s="108"/>
      <c r="L428" s="106"/>
      <c r="M428" s="110"/>
      <c r="N428" s="105" t="s">
        <v>78</v>
      </c>
      <c r="O428" s="105" t="str">
        <f t="shared" si="16"/>
        <v/>
      </c>
      <c r="P428" s="105"/>
      <c r="Q428" s="105" t="s">
        <v>77</v>
      </c>
      <c r="R428" s="105" t="s">
        <v>77</v>
      </c>
      <c r="S428" s="105"/>
      <c r="T428" s="105"/>
      <c r="U428" s="105"/>
      <c r="V428" s="105"/>
      <c r="W428" s="105" t="s">
        <v>80</v>
      </c>
      <c r="X428" s="105"/>
      <c r="Y428" s="105"/>
    </row>
    <row r="429" spans="1:25" s="99" customFormat="1" ht="26.25" customHeight="1">
      <c r="A429" s="100">
        <v>4170</v>
      </c>
      <c r="B429" s="101" t="s">
        <v>11</v>
      </c>
      <c r="C429" s="105" t="s">
        <v>52</v>
      </c>
      <c r="D429" s="105" t="s">
        <v>907</v>
      </c>
      <c r="E429" s="105" t="s">
        <v>44</v>
      </c>
      <c r="F429" s="101" t="str">
        <f t="shared" si="15"/>
        <v>-</v>
      </c>
      <c r="G429" s="106" t="s">
        <v>53</v>
      </c>
      <c r="H429" s="105"/>
      <c r="I429" s="106" t="s">
        <v>908</v>
      </c>
      <c r="J429" s="107" t="s">
        <v>54</v>
      </c>
      <c r="K429" s="108"/>
      <c r="L429" s="106"/>
      <c r="M429" s="110"/>
      <c r="N429" s="105" t="s">
        <v>78</v>
      </c>
      <c r="O429" s="105" t="str">
        <f t="shared" si="16"/>
        <v/>
      </c>
      <c r="P429" s="105"/>
      <c r="Q429" s="105" t="s">
        <v>77</v>
      </c>
      <c r="R429" s="105" t="s">
        <v>77</v>
      </c>
      <c r="S429" s="105"/>
      <c r="T429" s="105"/>
      <c r="U429" s="105"/>
      <c r="V429" s="105"/>
      <c r="W429" s="105" t="s">
        <v>80</v>
      </c>
      <c r="X429" s="105"/>
      <c r="Y429" s="105"/>
    </row>
    <row r="430" spans="1:25" s="99" customFormat="1" ht="26.25" customHeight="1">
      <c r="A430" s="100">
        <v>4171</v>
      </c>
      <c r="B430" s="101" t="s">
        <v>11</v>
      </c>
      <c r="C430" s="105" t="s">
        <v>52</v>
      </c>
      <c r="D430" s="105" t="s">
        <v>909</v>
      </c>
      <c r="E430" s="105" t="s">
        <v>44</v>
      </c>
      <c r="F430" s="101" t="str">
        <f t="shared" si="15"/>
        <v>-</v>
      </c>
      <c r="G430" s="106" t="s">
        <v>53</v>
      </c>
      <c r="H430" s="105"/>
      <c r="I430" s="106" t="s">
        <v>910</v>
      </c>
      <c r="J430" s="107" t="s">
        <v>54</v>
      </c>
      <c r="K430" s="108"/>
      <c r="L430" s="106"/>
      <c r="M430" s="110"/>
      <c r="N430" s="105" t="s">
        <v>78</v>
      </c>
      <c r="O430" s="105" t="str">
        <f t="shared" si="16"/>
        <v/>
      </c>
      <c r="P430" s="105"/>
      <c r="Q430" s="105" t="s">
        <v>77</v>
      </c>
      <c r="R430" s="105" t="s">
        <v>77</v>
      </c>
      <c r="S430" s="105"/>
      <c r="T430" s="105"/>
      <c r="U430" s="105"/>
      <c r="V430" s="105"/>
      <c r="W430" s="105" t="s">
        <v>80</v>
      </c>
      <c r="X430" s="105"/>
      <c r="Y430" s="105"/>
    </row>
    <row r="431" spans="1:25" s="99" customFormat="1" ht="26.25" customHeight="1">
      <c r="A431" s="100">
        <v>4172</v>
      </c>
      <c r="B431" s="101" t="s">
        <v>11</v>
      </c>
      <c r="C431" s="105" t="s">
        <v>52</v>
      </c>
      <c r="D431" s="105" t="s">
        <v>911</v>
      </c>
      <c r="E431" s="105" t="s">
        <v>44</v>
      </c>
      <c r="F431" s="101" t="str">
        <f t="shared" si="15"/>
        <v>-</v>
      </c>
      <c r="G431" s="106" t="s">
        <v>53</v>
      </c>
      <c r="H431" s="105"/>
      <c r="I431" s="106" t="s">
        <v>912</v>
      </c>
      <c r="J431" s="107" t="s">
        <v>54</v>
      </c>
      <c r="K431" s="108"/>
      <c r="L431" s="106"/>
      <c r="M431" s="110"/>
      <c r="N431" s="105" t="s">
        <v>78</v>
      </c>
      <c r="O431" s="105" t="str">
        <f t="shared" si="16"/>
        <v/>
      </c>
      <c r="P431" s="105"/>
      <c r="Q431" s="105" t="s">
        <v>77</v>
      </c>
      <c r="R431" s="105" t="s">
        <v>77</v>
      </c>
      <c r="S431" s="105"/>
      <c r="T431" s="105"/>
      <c r="U431" s="105"/>
      <c r="V431" s="105"/>
      <c r="W431" s="105" t="s">
        <v>80</v>
      </c>
      <c r="X431" s="105"/>
      <c r="Y431" s="105"/>
    </row>
    <row r="432" spans="1:25" s="99" customFormat="1" ht="26.25" customHeight="1">
      <c r="A432" s="100">
        <v>4173</v>
      </c>
      <c r="B432" s="101" t="s">
        <v>11</v>
      </c>
      <c r="C432" s="105" t="s">
        <v>52</v>
      </c>
      <c r="D432" s="105" t="s">
        <v>913</v>
      </c>
      <c r="E432" s="105" t="s">
        <v>44</v>
      </c>
      <c r="F432" s="101" t="str">
        <f t="shared" si="15"/>
        <v>-</v>
      </c>
      <c r="G432" s="106" t="s">
        <v>53</v>
      </c>
      <c r="H432" s="105"/>
      <c r="I432" s="106" t="s">
        <v>914</v>
      </c>
      <c r="J432" s="107" t="s">
        <v>54</v>
      </c>
      <c r="K432" s="108"/>
      <c r="L432" s="106"/>
      <c r="M432" s="110"/>
      <c r="N432" s="105" t="s">
        <v>78</v>
      </c>
      <c r="O432" s="105" t="str">
        <f t="shared" si="16"/>
        <v/>
      </c>
      <c r="P432" s="105"/>
      <c r="Q432" s="105" t="s">
        <v>77</v>
      </c>
      <c r="R432" s="105" t="s">
        <v>77</v>
      </c>
      <c r="S432" s="105"/>
      <c r="T432" s="105"/>
      <c r="U432" s="105"/>
      <c r="V432" s="105"/>
      <c r="W432" s="105" t="s">
        <v>80</v>
      </c>
      <c r="X432" s="105"/>
      <c r="Y432" s="105"/>
    </row>
    <row r="433" spans="1:25" s="99" customFormat="1" ht="26.25" customHeight="1">
      <c r="A433" s="100">
        <v>4174</v>
      </c>
      <c r="B433" s="101" t="s">
        <v>11</v>
      </c>
      <c r="C433" s="105" t="s">
        <v>52</v>
      </c>
      <c r="D433" s="105" t="s">
        <v>915</v>
      </c>
      <c r="E433" s="105" t="s">
        <v>44</v>
      </c>
      <c r="F433" s="101" t="str">
        <f t="shared" si="15"/>
        <v>-</v>
      </c>
      <c r="G433" s="106" t="s">
        <v>53</v>
      </c>
      <c r="H433" s="105"/>
      <c r="I433" s="106" t="s">
        <v>916</v>
      </c>
      <c r="J433" s="107" t="s">
        <v>54</v>
      </c>
      <c r="K433" s="108"/>
      <c r="L433" s="106"/>
      <c r="M433" s="110"/>
      <c r="N433" s="105" t="s">
        <v>78</v>
      </c>
      <c r="O433" s="105" t="str">
        <f t="shared" si="16"/>
        <v/>
      </c>
      <c r="P433" s="105"/>
      <c r="Q433" s="105" t="s">
        <v>77</v>
      </c>
      <c r="R433" s="105" t="s">
        <v>77</v>
      </c>
      <c r="S433" s="105"/>
      <c r="T433" s="105"/>
      <c r="U433" s="105"/>
      <c r="V433" s="105"/>
      <c r="W433" s="105" t="s">
        <v>80</v>
      </c>
      <c r="X433" s="105"/>
      <c r="Y433" s="105"/>
    </row>
    <row r="434" spans="1:25" s="99" customFormat="1" ht="26.25" customHeight="1">
      <c r="A434" s="100">
        <v>4175</v>
      </c>
      <c r="B434" s="101" t="s">
        <v>11</v>
      </c>
      <c r="C434" s="105" t="s">
        <v>52</v>
      </c>
      <c r="D434" s="105" t="s">
        <v>917</v>
      </c>
      <c r="E434" s="105" t="s">
        <v>44</v>
      </c>
      <c r="F434" s="101" t="str">
        <f t="shared" si="15"/>
        <v>-</v>
      </c>
      <c r="G434" s="106" t="s">
        <v>53</v>
      </c>
      <c r="H434" s="105"/>
      <c r="I434" s="106" t="s">
        <v>918</v>
      </c>
      <c r="J434" s="107" t="s">
        <v>54</v>
      </c>
      <c r="K434" s="108"/>
      <c r="L434" s="106"/>
      <c r="M434" s="110"/>
      <c r="N434" s="105" t="s">
        <v>78</v>
      </c>
      <c r="O434" s="105" t="str">
        <f t="shared" si="16"/>
        <v/>
      </c>
      <c r="P434" s="105"/>
      <c r="Q434" s="105" t="s">
        <v>77</v>
      </c>
      <c r="R434" s="105" t="s">
        <v>77</v>
      </c>
      <c r="S434" s="105"/>
      <c r="T434" s="105"/>
      <c r="U434" s="105"/>
      <c r="V434" s="105"/>
      <c r="W434" s="105" t="s">
        <v>80</v>
      </c>
      <c r="X434" s="105"/>
      <c r="Y434" s="105"/>
    </row>
    <row r="435" spans="1:25" s="99" customFormat="1" ht="26.25" customHeight="1">
      <c r="A435" s="100">
        <v>4176</v>
      </c>
      <c r="B435" s="101" t="s">
        <v>11</v>
      </c>
      <c r="C435" s="105" t="s">
        <v>52</v>
      </c>
      <c r="D435" s="105" t="s">
        <v>919</v>
      </c>
      <c r="E435" s="105" t="s">
        <v>44</v>
      </c>
      <c r="F435" s="101" t="str">
        <f t="shared" si="15"/>
        <v>-</v>
      </c>
      <c r="G435" s="106" t="s">
        <v>53</v>
      </c>
      <c r="H435" s="105"/>
      <c r="I435" s="106" t="s">
        <v>920</v>
      </c>
      <c r="J435" s="107" t="s">
        <v>54</v>
      </c>
      <c r="K435" s="108"/>
      <c r="L435" s="106"/>
      <c r="M435" s="110"/>
      <c r="N435" s="105" t="s">
        <v>78</v>
      </c>
      <c r="O435" s="105" t="str">
        <f t="shared" si="16"/>
        <v/>
      </c>
      <c r="P435" s="105"/>
      <c r="Q435" s="105" t="s">
        <v>77</v>
      </c>
      <c r="R435" s="105" t="s">
        <v>77</v>
      </c>
      <c r="S435" s="105"/>
      <c r="T435" s="105"/>
      <c r="U435" s="105"/>
      <c r="V435" s="105"/>
      <c r="W435" s="105" t="s">
        <v>80</v>
      </c>
      <c r="X435" s="105"/>
      <c r="Y435" s="105"/>
    </row>
    <row r="436" spans="1:25" s="99" customFormat="1" ht="26.25" customHeight="1">
      <c r="A436" s="100">
        <v>4177</v>
      </c>
      <c r="B436" s="101" t="s">
        <v>11</v>
      </c>
      <c r="C436" s="105" t="s">
        <v>52</v>
      </c>
      <c r="D436" s="105" t="s">
        <v>921</v>
      </c>
      <c r="E436" s="105" t="s">
        <v>44</v>
      </c>
      <c r="F436" s="101" t="str">
        <f t="shared" si="15"/>
        <v>-</v>
      </c>
      <c r="G436" s="106" t="s">
        <v>53</v>
      </c>
      <c r="H436" s="105"/>
      <c r="I436" s="106" t="s">
        <v>922</v>
      </c>
      <c r="J436" s="107" t="s">
        <v>54</v>
      </c>
      <c r="K436" s="108"/>
      <c r="L436" s="106"/>
      <c r="M436" s="110"/>
      <c r="N436" s="105" t="s">
        <v>78</v>
      </c>
      <c r="O436" s="105" t="str">
        <f t="shared" si="16"/>
        <v/>
      </c>
      <c r="P436" s="105"/>
      <c r="Q436" s="105" t="s">
        <v>77</v>
      </c>
      <c r="R436" s="105" t="s">
        <v>77</v>
      </c>
      <c r="S436" s="105"/>
      <c r="T436" s="105"/>
      <c r="U436" s="105"/>
      <c r="V436" s="105"/>
      <c r="W436" s="105" t="s">
        <v>80</v>
      </c>
      <c r="X436" s="105"/>
      <c r="Y436" s="105"/>
    </row>
    <row r="437" spans="1:25" s="99" customFormat="1" ht="26.25" customHeight="1">
      <c r="A437" s="100">
        <v>4178</v>
      </c>
      <c r="B437" s="101" t="s">
        <v>11</v>
      </c>
      <c r="C437" s="105" t="s">
        <v>52</v>
      </c>
      <c r="D437" s="105" t="s">
        <v>923</v>
      </c>
      <c r="E437" s="105" t="s">
        <v>44</v>
      </c>
      <c r="F437" s="101" t="str">
        <f t="shared" si="15"/>
        <v>-</v>
      </c>
      <c r="G437" s="106" t="s">
        <v>53</v>
      </c>
      <c r="H437" s="105"/>
      <c r="I437" s="106" t="s">
        <v>924</v>
      </c>
      <c r="J437" s="107" t="s">
        <v>54</v>
      </c>
      <c r="K437" s="108"/>
      <c r="L437" s="106"/>
      <c r="M437" s="110"/>
      <c r="N437" s="105" t="s">
        <v>78</v>
      </c>
      <c r="O437" s="105" t="str">
        <f t="shared" si="16"/>
        <v/>
      </c>
      <c r="P437" s="105"/>
      <c r="Q437" s="105" t="s">
        <v>77</v>
      </c>
      <c r="R437" s="105" t="s">
        <v>77</v>
      </c>
      <c r="S437" s="105"/>
      <c r="T437" s="105"/>
      <c r="U437" s="105"/>
      <c r="V437" s="105"/>
      <c r="W437" s="105" t="s">
        <v>80</v>
      </c>
      <c r="X437" s="105"/>
      <c r="Y437" s="105"/>
    </row>
    <row r="438" spans="1:25" s="99" customFormat="1" ht="26.25" customHeight="1">
      <c r="A438" s="100">
        <v>4179</v>
      </c>
      <c r="B438" s="101" t="s">
        <v>11</v>
      </c>
      <c r="C438" s="105" t="s">
        <v>52</v>
      </c>
      <c r="D438" s="105" t="s">
        <v>925</v>
      </c>
      <c r="E438" s="105" t="s">
        <v>44</v>
      </c>
      <c r="F438" s="101" t="str">
        <f t="shared" si="15"/>
        <v>-</v>
      </c>
      <c r="G438" s="106" t="s">
        <v>53</v>
      </c>
      <c r="H438" s="105"/>
      <c r="I438" s="106" t="s">
        <v>926</v>
      </c>
      <c r="J438" s="107" t="s">
        <v>54</v>
      </c>
      <c r="K438" s="108"/>
      <c r="L438" s="106"/>
      <c r="M438" s="110"/>
      <c r="N438" s="105" t="s">
        <v>78</v>
      </c>
      <c r="O438" s="105" t="str">
        <f t="shared" si="16"/>
        <v/>
      </c>
      <c r="P438" s="105"/>
      <c r="Q438" s="105" t="s">
        <v>77</v>
      </c>
      <c r="R438" s="105" t="s">
        <v>77</v>
      </c>
      <c r="S438" s="105"/>
      <c r="T438" s="105"/>
      <c r="U438" s="105"/>
      <c r="V438" s="105"/>
      <c r="W438" s="105" t="s">
        <v>80</v>
      </c>
      <c r="X438" s="105"/>
      <c r="Y438" s="105"/>
    </row>
    <row r="439" spans="1:25" s="99" customFormat="1" ht="26.25" customHeight="1">
      <c r="A439" s="100">
        <v>4180</v>
      </c>
      <c r="B439" s="101" t="s">
        <v>11</v>
      </c>
      <c r="C439" s="105" t="s">
        <v>52</v>
      </c>
      <c r="D439" s="105" t="s">
        <v>927</v>
      </c>
      <c r="E439" s="105" t="s">
        <v>44</v>
      </c>
      <c r="F439" s="101" t="str">
        <f t="shared" si="15"/>
        <v>-</v>
      </c>
      <c r="G439" s="106" t="s">
        <v>53</v>
      </c>
      <c r="H439" s="105"/>
      <c r="I439" s="106" t="s">
        <v>928</v>
      </c>
      <c r="J439" s="107" t="s">
        <v>54</v>
      </c>
      <c r="K439" s="108"/>
      <c r="L439" s="106"/>
      <c r="M439" s="110"/>
      <c r="N439" s="105" t="s">
        <v>78</v>
      </c>
      <c r="O439" s="105" t="str">
        <f t="shared" si="16"/>
        <v/>
      </c>
      <c r="P439" s="105"/>
      <c r="Q439" s="105" t="s">
        <v>77</v>
      </c>
      <c r="R439" s="105" t="s">
        <v>77</v>
      </c>
      <c r="S439" s="105"/>
      <c r="T439" s="105"/>
      <c r="U439" s="105"/>
      <c r="V439" s="105"/>
      <c r="W439" s="105" t="s">
        <v>80</v>
      </c>
      <c r="X439" s="105"/>
      <c r="Y439" s="105"/>
    </row>
    <row r="440" spans="1:25" s="99" customFormat="1" ht="26.25" customHeight="1">
      <c r="A440" s="100">
        <v>4181</v>
      </c>
      <c r="B440" s="101" t="s">
        <v>11</v>
      </c>
      <c r="C440" s="105" t="s">
        <v>52</v>
      </c>
      <c r="D440" s="105" t="s">
        <v>929</v>
      </c>
      <c r="E440" s="105" t="s">
        <v>44</v>
      </c>
      <c r="F440" s="101" t="str">
        <f t="shared" si="15"/>
        <v>-</v>
      </c>
      <c r="G440" s="106" t="s">
        <v>53</v>
      </c>
      <c r="H440" s="105"/>
      <c r="I440" s="106" t="s">
        <v>930</v>
      </c>
      <c r="J440" s="107" t="s">
        <v>54</v>
      </c>
      <c r="K440" s="108"/>
      <c r="L440" s="106"/>
      <c r="M440" s="110"/>
      <c r="N440" s="105" t="s">
        <v>78</v>
      </c>
      <c r="O440" s="105" t="str">
        <f t="shared" si="16"/>
        <v/>
      </c>
      <c r="P440" s="105"/>
      <c r="Q440" s="105" t="s">
        <v>77</v>
      </c>
      <c r="R440" s="105" t="s">
        <v>77</v>
      </c>
      <c r="S440" s="105"/>
      <c r="T440" s="105"/>
      <c r="U440" s="105"/>
      <c r="V440" s="105"/>
      <c r="W440" s="105" t="s">
        <v>80</v>
      </c>
      <c r="X440" s="105"/>
      <c r="Y440" s="105"/>
    </row>
    <row r="441" spans="1:25" s="99" customFormat="1" ht="26.25" customHeight="1">
      <c r="A441" s="100">
        <v>4182</v>
      </c>
      <c r="B441" s="101" t="s">
        <v>11</v>
      </c>
      <c r="C441" s="105" t="s">
        <v>52</v>
      </c>
      <c r="D441" s="105" t="s">
        <v>931</v>
      </c>
      <c r="E441" s="105" t="s">
        <v>44</v>
      </c>
      <c r="F441" s="101" t="str">
        <f t="shared" si="15"/>
        <v>-</v>
      </c>
      <c r="G441" s="106" t="s">
        <v>53</v>
      </c>
      <c r="H441" s="105"/>
      <c r="I441" s="106" t="s">
        <v>932</v>
      </c>
      <c r="J441" s="107" t="s">
        <v>54</v>
      </c>
      <c r="K441" s="108"/>
      <c r="L441" s="106"/>
      <c r="M441" s="110"/>
      <c r="N441" s="105" t="s">
        <v>78</v>
      </c>
      <c r="O441" s="105" t="str">
        <f t="shared" si="16"/>
        <v/>
      </c>
      <c r="P441" s="105"/>
      <c r="Q441" s="105" t="s">
        <v>77</v>
      </c>
      <c r="R441" s="105" t="s">
        <v>77</v>
      </c>
      <c r="S441" s="105"/>
      <c r="T441" s="105"/>
      <c r="U441" s="105"/>
      <c r="V441" s="105"/>
      <c r="W441" s="105" t="s">
        <v>80</v>
      </c>
      <c r="X441" s="105"/>
      <c r="Y441" s="105"/>
    </row>
    <row r="442" spans="1:25" s="99" customFormat="1" ht="26.25" customHeight="1">
      <c r="A442" s="100">
        <v>4183</v>
      </c>
      <c r="B442" s="101" t="s">
        <v>11</v>
      </c>
      <c r="C442" s="105" t="s">
        <v>52</v>
      </c>
      <c r="D442" s="105" t="s">
        <v>933</v>
      </c>
      <c r="E442" s="105" t="s">
        <v>44</v>
      </c>
      <c r="F442" s="101" t="str">
        <f t="shared" si="15"/>
        <v>-</v>
      </c>
      <c r="G442" s="106" t="s">
        <v>53</v>
      </c>
      <c r="H442" s="105"/>
      <c r="I442" s="106" t="s">
        <v>934</v>
      </c>
      <c r="J442" s="107" t="s">
        <v>54</v>
      </c>
      <c r="K442" s="108"/>
      <c r="L442" s="106"/>
      <c r="M442" s="110"/>
      <c r="N442" s="105" t="s">
        <v>78</v>
      </c>
      <c r="O442" s="105" t="str">
        <f t="shared" si="16"/>
        <v/>
      </c>
      <c r="P442" s="105"/>
      <c r="Q442" s="105" t="s">
        <v>77</v>
      </c>
      <c r="R442" s="105" t="s">
        <v>77</v>
      </c>
      <c r="S442" s="105"/>
      <c r="T442" s="105"/>
      <c r="U442" s="105"/>
      <c r="V442" s="105"/>
      <c r="W442" s="105" t="s">
        <v>80</v>
      </c>
      <c r="X442" s="105"/>
      <c r="Y442" s="105"/>
    </row>
    <row r="443" spans="1:25" s="99" customFormat="1" ht="26.25" customHeight="1">
      <c r="A443" s="100">
        <v>4184</v>
      </c>
      <c r="B443" s="101" t="s">
        <v>11</v>
      </c>
      <c r="C443" s="105" t="s">
        <v>52</v>
      </c>
      <c r="D443" s="105" t="s">
        <v>935</v>
      </c>
      <c r="E443" s="105" t="s">
        <v>44</v>
      </c>
      <c r="F443" s="101" t="str">
        <f t="shared" si="15"/>
        <v>-</v>
      </c>
      <c r="G443" s="106" t="s">
        <v>53</v>
      </c>
      <c r="H443" s="105"/>
      <c r="I443" s="106" t="s">
        <v>936</v>
      </c>
      <c r="J443" s="107" t="s">
        <v>54</v>
      </c>
      <c r="K443" s="108"/>
      <c r="L443" s="106"/>
      <c r="M443" s="110"/>
      <c r="N443" s="105" t="s">
        <v>78</v>
      </c>
      <c r="O443" s="105" t="str">
        <f t="shared" si="16"/>
        <v/>
      </c>
      <c r="P443" s="105"/>
      <c r="Q443" s="105" t="s">
        <v>77</v>
      </c>
      <c r="R443" s="105" t="s">
        <v>77</v>
      </c>
      <c r="S443" s="105"/>
      <c r="T443" s="105"/>
      <c r="U443" s="105"/>
      <c r="V443" s="105"/>
      <c r="W443" s="105" t="s">
        <v>80</v>
      </c>
      <c r="X443" s="105"/>
      <c r="Y443" s="105"/>
    </row>
    <row r="444" spans="1:25" s="99" customFormat="1" ht="26.25" customHeight="1">
      <c r="A444" s="100">
        <v>4185</v>
      </c>
      <c r="B444" s="101" t="s">
        <v>11</v>
      </c>
      <c r="C444" s="105" t="s">
        <v>52</v>
      </c>
      <c r="D444" s="105" t="s">
        <v>937</v>
      </c>
      <c r="E444" s="105" t="s">
        <v>44</v>
      </c>
      <c r="F444" s="101" t="str">
        <f t="shared" si="15"/>
        <v>-</v>
      </c>
      <c r="G444" s="106" t="s">
        <v>53</v>
      </c>
      <c r="H444" s="105"/>
      <c r="I444" s="106" t="s">
        <v>938</v>
      </c>
      <c r="J444" s="107" t="s">
        <v>54</v>
      </c>
      <c r="K444" s="108"/>
      <c r="L444" s="106"/>
      <c r="M444" s="110"/>
      <c r="N444" s="105" t="s">
        <v>78</v>
      </c>
      <c r="O444" s="105" t="str">
        <f t="shared" si="16"/>
        <v/>
      </c>
      <c r="P444" s="105"/>
      <c r="Q444" s="105" t="s">
        <v>77</v>
      </c>
      <c r="R444" s="105" t="s">
        <v>77</v>
      </c>
      <c r="S444" s="105"/>
      <c r="T444" s="105"/>
      <c r="U444" s="105"/>
      <c r="V444" s="105"/>
      <c r="W444" s="105" t="s">
        <v>80</v>
      </c>
      <c r="X444" s="105"/>
      <c r="Y444" s="105"/>
    </row>
    <row r="445" spans="1:25" s="99" customFormat="1" ht="26.25" customHeight="1">
      <c r="A445" s="100">
        <v>4186</v>
      </c>
      <c r="B445" s="101" t="s">
        <v>11</v>
      </c>
      <c r="C445" s="105" t="s">
        <v>52</v>
      </c>
      <c r="D445" s="105" t="s">
        <v>939</v>
      </c>
      <c r="E445" s="105" t="s">
        <v>44</v>
      </c>
      <c r="F445" s="101" t="str">
        <f t="shared" si="15"/>
        <v>-</v>
      </c>
      <c r="G445" s="106" t="s">
        <v>53</v>
      </c>
      <c r="H445" s="105"/>
      <c r="I445" s="106" t="s">
        <v>940</v>
      </c>
      <c r="J445" s="107" t="s">
        <v>54</v>
      </c>
      <c r="K445" s="108"/>
      <c r="L445" s="106"/>
      <c r="M445" s="110"/>
      <c r="N445" s="105" t="s">
        <v>78</v>
      </c>
      <c r="O445" s="105" t="str">
        <f t="shared" si="16"/>
        <v/>
      </c>
      <c r="P445" s="105"/>
      <c r="Q445" s="105" t="s">
        <v>77</v>
      </c>
      <c r="R445" s="105" t="s">
        <v>77</v>
      </c>
      <c r="S445" s="105"/>
      <c r="T445" s="105"/>
      <c r="U445" s="105"/>
      <c r="V445" s="105"/>
      <c r="W445" s="105" t="s">
        <v>80</v>
      </c>
      <c r="X445" s="105"/>
      <c r="Y445" s="105"/>
    </row>
    <row r="446" spans="1:25" s="99" customFormat="1" ht="26.25" customHeight="1">
      <c r="A446" s="100">
        <v>4187</v>
      </c>
      <c r="B446" s="101" t="s">
        <v>11</v>
      </c>
      <c r="C446" s="105" t="s">
        <v>52</v>
      </c>
      <c r="D446" s="105" t="s">
        <v>941</v>
      </c>
      <c r="E446" s="105" t="s">
        <v>44</v>
      </c>
      <c r="F446" s="101" t="str">
        <f t="shared" si="15"/>
        <v>-</v>
      </c>
      <c r="G446" s="106" t="s">
        <v>53</v>
      </c>
      <c r="H446" s="105"/>
      <c r="I446" s="106" t="s">
        <v>942</v>
      </c>
      <c r="J446" s="107" t="s">
        <v>54</v>
      </c>
      <c r="K446" s="108"/>
      <c r="L446" s="106"/>
      <c r="M446" s="110"/>
      <c r="N446" s="105" t="s">
        <v>78</v>
      </c>
      <c r="O446" s="105" t="str">
        <f t="shared" si="16"/>
        <v/>
      </c>
      <c r="P446" s="105"/>
      <c r="Q446" s="105" t="s">
        <v>77</v>
      </c>
      <c r="R446" s="105" t="s">
        <v>77</v>
      </c>
      <c r="S446" s="105"/>
      <c r="T446" s="105"/>
      <c r="U446" s="105"/>
      <c r="V446" s="105"/>
      <c r="W446" s="105" t="s">
        <v>80</v>
      </c>
      <c r="X446" s="105"/>
      <c r="Y446" s="105"/>
    </row>
    <row r="447" spans="1:25" s="99" customFormat="1" ht="26.25" customHeight="1">
      <c r="A447" s="100">
        <v>4188</v>
      </c>
      <c r="B447" s="101" t="s">
        <v>11</v>
      </c>
      <c r="C447" s="105" t="s">
        <v>52</v>
      </c>
      <c r="D447" s="105" t="s">
        <v>943</v>
      </c>
      <c r="E447" s="105" t="s">
        <v>44</v>
      </c>
      <c r="F447" s="101" t="str">
        <f t="shared" si="15"/>
        <v>-</v>
      </c>
      <c r="G447" s="106" t="s">
        <v>53</v>
      </c>
      <c r="H447" s="105"/>
      <c r="I447" s="106" t="s">
        <v>944</v>
      </c>
      <c r="J447" s="107" t="s">
        <v>54</v>
      </c>
      <c r="K447" s="108"/>
      <c r="L447" s="106"/>
      <c r="M447" s="110"/>
      <c r="N447" s="105" t="s">
        <v>78</v>
      </c>
      <c r="O447" s="105" t="str">
        <f t="shared" si="16"/>
        <v/>
      </c>
      <c r="P447" s="105"/>
      <c r="Q447" s="105" t="s">
        <v>77</v>
      </c>
      <c r="R447" s="105" t="s">
        <v>77</v>
      </c>
      <c r="S447" s="105"/>
      <c r="T447" s="105"/>
      <c r="U447" s="105"/>
      <c r="V447" s="105"/>
      <c r="W447" s="105" t="s">
        <v>80</v>
      </c>
      <c r="X447" s="105"/>
      <c r="Y447" s="105"/>
    </row>
    <row r="448" spans="1:25" s="99" customFormat="1" ht="26.25" customHeight="1">
      <c r="A448" s="100">
        <v>4189</v>
      </c>
      <c r="B448" s="101" t="s">
        <v>11</v>
      </c>
      <c r="C448" s="105" t="s">
        <v>52</v>
      </c>
      <c r="D448" s="105" t="s">
        <v>945</v>
      </c>
      <c r="E448" s="105" t="s">
        <v>44</v>
      </c>
      <c r="F448" s="101" t="str">
        <f t="shared" si="15"/>
        <v>-</v>
      </c>
      <c r="G448" s="106" t="s">
        <v>53</v>
      </c>
      <c r="H448" s="105"/>
      <c r="I448" s="106" t="s">
        <v>946</v>
      </c>
      <c r="J448" s="107" t="s">
        <v>54</v>
      </c>
      <c r="K448" s="108"/>
      <c r="L448" s="106"/>
      <c r="M448" s="110"/>
      <c r="N448" s="105" t="s">
        <v>78</v>
      </c>
      <c r="O448" s="105" t="str">
        <f t="shared" si="16"/>
        <v/>
      </c>
      <c r="P448" s="105"/>
      <c r="Q448" s="105" t="s">
        <v>77</v>
      </c>
      <c r="R448" s="105" t="s">
        <v>77</v>
      </c>
      <c r="S448" s="105"/>
      <c r="T448" s="105"/>
      <c r="U448" s="105"/>
      <c r="V448" s="105"/>
      <c r="W448" s="105" t="s">
        <v>80</v>
      </c>
      <c r="X448" s="105"/>
      <c r="Y448" s="105"/>
    </row>
    <row r="449" spans="1:25" s="99" customFormat="1" ht="26.25" customHeight="1">
      <c r="A449" s="100">
        <v>4190</v>
      </c>
      <c r="B449" s="101" t="s">
        <v>11</v>
      </c>
      <c r="C449" s="105" t="s">
        <v>52</v>
      </c>
      <c r="D449" s="105" t="s">
        <v>947</v>
      </c>
      <c r="E449" s="105" t="s">
        <v>44</v>
      </c>
      <c r="F449" s="101" t="str">
        <f t="shared" si="15"/>
        <v>-</v>
      </c>
      <c r="G449" s="106" t="s">
        <v>53</v>
      </c>
      <c r="H449" s="105"/>
      <c r="I449" s="106" t="s">
        <v>948</v>
      </c>
      <c r="J449" s="107" t="s">
        <v>54</v>
      </c>
      <c r="K449" s="108"/>
      <c r="L449" s="106"/>
      <c r="M449" s="110"/>
      <c r="N449" s="105" t="s">
        <v>78</v>
      </c>
      <c r="O449" s="105" t="str">
        <f t="shared" si="16"/>
        <v/>
      </c>
      <c r="P449" s="105"/>
      <c r="Q449" s="105" t="s">
        <v>77</v>
      </c>
      <c r="R449" s="105" t="s">
        <v>77</v>
      </c>
      <c r="S449" s="105"/>
      <c r="T449" s="105"/>
      <c r="U449" s="105"/>
      <c r="V449" s="105"/>
      <c r="W449" s="105" t="s">
        <v>80</v>
      </c>
      <c r="X449" s="105"/>
      <c r="Y449" s="105"/>
    </row>
    <row r="450" spans="1:25" s="99" customFormat="1" ht="26.25" customHeight="1">
      <c r="A450" s="100">
        <v>4191</v>
      </c>
      <c r="B450" s="101" t="s">
        <v>11</v>
      </c>
      <c r="C450" s="105" t="s">
        <v>52</v>
      </c>
      <c r="D450" s="105" t="s">
        <v>949</v>
      </c>
      <c r="E450" s="105" t="s">
        <v>44</v>
      </c>
      <c r="F450" s="101" t="str">
        <f t="shared" si="15"/>
        <v>-</v>
      </c>
      <c r="G450" s="106" t="s">
        <v>53</v>
      </c>
      <c r="H450" s="105"/>
      <c r="I450" s="106" t="s">
        <v>950</v>
      </c>
      <c r="J450" s="107" t="s">
        <v>54</v>
      </c>
      <c r="K450" s="108"/>
      <c r="L450" s="106"/>
      <c r="M450" s="110"/>
      <c r="N450" s="105" t="s">
        <v>78</v>
      </c>
      <c r="O450" s="105" t="str">
        <f t="shared" si="16"/>
        <v/>
      </c>
      <c r="P450" s="105"/>
      <c r="Q450" s="105" t="s">
        <v>77</v>
      </c>
      <c r="R450" s="105" t="s">
        <v>77</v>
      </c>
      <c r="S450" s="105"/>
      <c r="T450" s="105"/>
      <c r="U450" s="105"/>
      <c r="V450" s="105"/>
      <c r="W450" s="105" t="s">
        <v>80</v>
      </c>
      <c r="X450" s="105"/>
      <c r="Y450" s="105"/>
    </row>
    <row r="451" spans="1:25" s="99" customFormat="1" ht="26.25" customHeight="1">
      <c r="A451" s="100">
        <v>4192</v>
      </c>
      <c r="B451" s="101" t="s">
        <v>11</v>
      </c>
      <c r="C451" s="105" t="s">
        <v>52</v>
      </c>
      <c r="D451" s="105" t="s">
        <v>951</v>
      </c>
      <c r="E451" s="105" t="s">
        <v>44</v>
      </c>
      <c r="F451" s="101" t="str">
        <f t="shared" si="15"/>
        <v>-</v>
      </c>
      <c r="G451" s="106" t="s">
        <v>53</v>
      </c>
      <c r="H451" s="105"/>
      <c r="I451" s="106" t="s">
        <v>952</v>
      </c>
      <c r="J451" s="107" t="s">
        <v>54</v>
      </c>
      <c r="K451" s="108"/>
      <c r="L451" s="106"/>
      <c r="M451" s="110"/>
      <c r="N451" s="105" t="s">
        <v>78</v>
      </c>
      <c r="O451" s="105" t="str">
        <f t="shared" si="16"/>
        <v/>
      </c>
      <c r="P451" s="105"/>
      <c r="Q451" s="105" t="s">
        <v>77</v>
      </c>
      <c r="R451" s="105" t="s">
        <v>77</v>
      </c>
      <c r="S451" s="105"/>
      <c r="T451" s="105"/>
      <c r="U451" s="105"/>
      <c r="V451" s="105"/>
      <c r="W451" s="105" t="s">
        <v>80</v>
      </c>
      <c r="X451" s="105"/>
      <c r="Y451" s="105"/>
    </row>
    <row r="452" spans="1:25" s="99" customFormat="1" ht="26.25" customHeight="1">
      <c r="A452" s="100">
        <v>4193</v>
      </c>
      <c r="B452" s="101" t="s">
        <v>11</v>
      </c>
      <c r="C452" s="105" t="s">
        <v>52</v>
      </c>
      <c r="D452" s="105" t="s">
        <v>953</v>
      </c>
      <c r="E452" s="105" t="s">
        <v>44</v>
      </c>
      <c r="F452" s="101" t="str">
        <f t="shared" si="15"/>
        <v>-</v>
      </c>
      <c r="G452" s="106" t="s">
        <v>53</v>
      </c>
      <c r="H452" s="105"/>
      <c r="I452" s="106" t="s">
        <v>954</v>
      </c>
      <c r="J452" s="107" t="s">
        <v>54</v>
      </c>
      <c r="K452" s="108"/>
      <c r="L452" s="106"/>
      <c r="M452" s="110"/>
      <c r="N452" s="105" t="s">
        <v>78</v>
      </c>
      <c r="O452" s="105" t="str">
        <f t="shared" si="16"/>
        <v/>
      </c>
      <c r="P452" s="105"/>
      <c r="Q452" s="105" t="s">
        <v>77</v>
      </c>
      <c r="R452" s="105" t="s">
        <v>77</v>
      </c>
      <c r="S452" s="105"/>
      <c r="T452" s="105"/>
      <c r="U452" s="105"/>
      <c r="V452" s="105"/>
      <c r="W452" s="105" t="s">
        <v>80</v>
      </c>
      <c r="X452" s="105"/>
      <c r="Y452" s="105"/>
    </row>
    <row r="453" spans="1:25" s="99" customFormat="1" ht="26.25" customHeight="1">
      <c r="A453" s="100">
        <v>4194</v>
      </c>
      <c r="B453" s="101" t="s">
        <v>11</v>
      </c>
      <c r="C453" s="105" t="s">
        <v>52</v>
      </c>
      <c r="D453" s="105" t="s">
        <v>955</v>
      </c>
      <c r="E453" s="105" t="s">
        <v>44</v>
      </c>
      <c r="F453" s="101" t="str">
        <f t="shared" si="15"/>
        <v>-</v>
      </c>
      <c r="G453" s="106" t="s">
        <v>53</v>
      </c>
      <c r="H453" s="105"/>
      <c r="I453" s="106" t="s">
        <v>956</v>
      </c>
      <c r="J453" s="107" t="s">
        <v>54</v>
      </c>
      <c r="K453" s="108"/>
      <c r="L453" s="106"/>
      <c r="M453" s="110"/>
      <c r="N453" s="105" t="s">
        <v>78</v>
      </c>
      <c r="O453" s="105" t="str">
        <f t="shared" si="16"/>
        <v/>
      </c>
      <c r="P453" s="105"/>
      <c r="Q453" s="105" t="s">
        <v>77</v>
      </c>
      <c r="R453" s="105" t="s">
        <v>77</v>
      </c>
      <c r="S453" s="105"/>
      <c r="T453" s="105"/>
      <c r="U453" s="105"/>
      <c r="V453" s="105"/>
      <c r="W453" s="105" t="s">
        <v>80</v>
      </c>
      <c r="X453" s="105"/>
      <c r="Y453" s="105"/>
    </row>
    <row r="454" spans="1:25" s="99" customFormat="1" ht="26.25" customHeight="1">
      <c r="A454" s="100">
        <v>4195</v>
      </c>
      <c r="B454" s="101" t="s">
        <v>11</v>
      </c>
      <c r="C454" s="105" t="s">
        <v>52</v>
      </c>
      <c r="D454" s="105" t="s">
        <v>957</v>
      </c>
      <c r="E454" s="105" t="s">
        <v>44</v>
      </c>
      <c r="F454" s="101" t="str">
        <f t="shared" si="15"/>
        <v>-</v>
      </c>
      <c r="G454" s="106" t="s">
        <v>53</v>
      </c>
      <c r="H454" s="105"/>
      <c r="I454" s="106" t="s">
        <v>958</v>
      </c>
      <c r="J454" s="107" t="s">
        <v>54</v>
      </c>
      <c r="K454" s="108"/>
      <c r="L454" s="106"/>
      <c r="M454" s="110"/>
      <c r="N454" s="105" t="s">
        <v>78</v>
      </c>
      <c r="O454" s="105" t="str">
        <f t="shared" si="16"/>
        <v/>
      </c>
      <c r="P454" s="105"/>
      <c r="Q454" s="105" t="s">
        <v>77</v>
      </c>
      <c r="R454" s="105" t="s">
        <v>77</v>
      </c>
      <c r="S454" s="105"/>
      <c r="T454" s="105"/>
      <c r="U454" s="105"/>
      <c r="V454" s="105"/>
      <c r="W454" s="105" t="s">
        <v>80</v>
      </c>
      <c r="X454" s="105"/>
      <c r="Y454" s="105"/>
    </row>
    <row r="455" spans="1:25" s="99" customFormat="1" ht="26.25" customHeight="1">
      <c r="A455" s="100">
        <v>4196</v>
      </c>
      <c r="B455" s="101" t="s">
        <v>11</v>
      </c>
      <c r="C455" s="105" t="s">
        <v>52</v>
      </c>
      <c r="D455" s="105" t="s">
        <v>959</v>
      </c>
      <c r="E455" s="105" t="s">
        <v>44</v>
      </c>
      <c r="F455" s="101" t="str">
        <f t="shared" si="15"/>
        <v>-</v>
      </c>
      <c r="G455" s="106" t="s">
        <v>53</v>
      </c>
      <c r="H455" s="105"/>
      <c r="I455" s="106" t="s">
        <v>960</v>
      </c>
      <c r="J455" s="107" t="s">
        <v>54</v>
      </c>
      <c r="K455" s="108"/>
      <c r="L455" s="106"/>
      <c r="M455" s="110"/>
      <c r="N455" s="105" t="s">
        <v>78</v>
      </c>
      <c r="O455" s="105" t="str">
        <f t="shared" si="16"/>
        <v/>
      </c>
      <c r="P455" s="105"/>
      <c r="Q455" s="105" t="s">
        <v>77</v>
      </c>
      <c r="R455" s="105" t="s">
        <v>77</v>
      </c>
      <c r="S455" s="105"/>
      <c r="T455" s="105"/>
      <c r="U455" s="105"/>
      <c r="V455" s="105"/>
      <c r="W455" s="105" t="s">
        <v>80</v>
      </c>
      <c r="X455" s="105"/>
      <c r="Y455" s="105"/>
    </row>
    <row r="456" spans="1:25" s="99" customFormat="1" ht="26.25" customHeight="1">
      <c r="A456" s="100">
        <v>4197</v>
      </c>
      <c r="B456" s="101" t="s">
        <v>11</v>
      </c>
      <c r="C456" s="105" t="s">
        <v>52</v>
      </c>
      <c r="D456" s="105" t="s">
        <v>961</v>
      </c>
      <c r="E456" s="105" t="s">
        <v>44</v>
      </c>
      <c r="F456" s="101" t="str">
        <f t="shared" si="15"/>
        <v>-</v>
      </c>
      <c r="G456" s="106" t="s">
        <v>53</v>
      </c>
      <c r="H456" s="105"/>
      <c r="I456" s="106" t="s">
        <v>962</v>
      </c>
      <c r="J456" s="107" t="s">
        <v>54</v>
      </c>
      <c r="K456" s="108"/>
      <c r="L456" s="106"/>
      <c r="M456" s="110"/>
      <c r="N456" s="105" t="s">
        <v>78</v>
      </c>
      <c r="O456" s="105" t="str">
        <f t="shared" si="16"/>
        <v/>
      </c>
      <c r="P456" s="105"/>
      <c r="Q456" s="105" t="s">
        <v>77</v>
      </c>
      <c r="R456" s="105" t="s">
        <v>77</v>
      </c>
      <c r="S456" s="105"/>
      <c r="T456" s="105"/>
      <c r="U456" s="105"/>
      <c r="V456" s="105"/>
      <c r="W456" s="105" t="s">
        <v>80</v>
      </c>
      <c r="X456" s="105"/>
      <c r="Y456" s="105"/>
    </row>
    <row r="457" spans="1:25" s="99" customFormat="1" ht="26.25" customHeight="1">
      <c r="A457" s="100">
        <v>4198</v>
      </c>
      <c r="B457" s="101" t="s">
        <v>11</v>
      </c>
      <c r="C457" s="105" t="s">
        <v>52</v>
      </c>
      <c r="D457" s="105" t="s">
        <v>963</v>
      </c>
      <c r="E457" s="105" t="s">
        <v>44</v>
      </c>
      <c r="F457" s="101" t="str">
        <f t="shared" si="15"/>
        <v>-</v>
      </c>
      <c r="G457" s="106" t="s">
        <v>53</v>
      </c>
      <c r="H457" s="105"/>
      <c r="I457" s="106" t="s">
        <v>964</v>
      </c>
      <c r="J457" s="107" t="s">
        <v>54</v>
      </c>
      <c r="K457" s="108"/>
      <c r="L457" s="106"/>
      <c r="M457" s="110"/>
      <c r="N457" s="105" t="s">
        <v>78</v>
      </c>
      <c r="O457" s="105" t="str">
        <f t="shared" si="16"/>
        <v/>
      </c>
      <c r="P457" s="105"/>
      <c r="Q457" s="105" t="s">
        <v>77</v>
      </c>
      <c r="R457" s="105" t="s">
        <v>77</v>
      </c>
      <c r="S457" s="105"/>
      <c r="T457" s="105"/>
      <c r="U457" s="105"/>
      <c r="V457" s="105"/>
      <c r="W457" s="105" t="s">
        <v>80</v>
      </c>
      <c r="X457" s="105"/>
      <c r="Y457" s="105"/>
    </row>
    <row r="458" spans="1:25" s="99" customFormat="1" ht="26.25" customHeight="1">
      <c r="A458" s="100">
        <v>4199</v>
      </c>
      <c r="B458" s="101" t="s">
        <v>11</v>
      </c>
      <c r="C458" s="105" t="s">
        <v>52</v>
      </c>
      <c r="D458" s="105" t="s">
        <v>965</v>
      </c>
      <c r="E458" s="105" t="s">
        <v>44</v>
      </c>
      <c r="F458" s="101" t="str">
        <f t="shared" si="15"/>
        <v>-</v>
      </c>
      <c r="G458" s="106" t="s">
        <v>53</v>
      </c>
      <c r="H458" s="105"/>
      <c r="I458" s="106" t="s">
        <v>966</v>
      </c>
      <c r="J458" s="107" t="s">
        <v>54</v>
      </c>
      <c r="K458" s="108"/>
      <c r="L458" s="106"/>
      <c r="M458" s="110"/>
      <c r="N458" s="105" t="s">
        <v>78</v>
      </c>
      <c r="O458" s="105" t="str">
        <f t="shared" si="16"/>
        <v/>
      </c>
      <c r="P458" s="105"/>
      <c r="Q458" s="105" t="s">
        <v>77</v>
      </c>
      <c r="R458" s="105" t="s">
        <v>77</v>
      </c>
      <c r="S458" s="105"/>
      <c r="T458" s="105"/>
      <c r="U458" s="105"/>
      <c r="V458" s="105"/>
      <c r="W458" s="105" t="s">
        <v>80</v>
      </c>
      <c r="X458" s="105"/>
      <c r="Y458" s="105"/>
    </row>
    <row r="459" spans="1:25" s="99" customFormat="1" ht="26.25" customHeight="1">
      <c r="A459" s="100">
        <v>4200</v>
      </c>
      <c r="B459" s="101" t="s">
        <v>11</v>
      </c>
      <c r="C459" s="105" t="s">
        <v>52</v>
      </c>
      <c r="D459" s="105" t="s">
        <v>967</v>
      </c>
      <c r="E459" s="105" t="s">
        <v>44</v>
      </c>
      <c r="F459" s="101" t="str">
        <f t="shared" si="15"/>
        <v>-</v>
      </c>
      <c r="G459" s="106" t="s">
        <v>53</v>
      </c>
      <c r="H459" s="105"/>
      <c r="I459" s="106" t="s">
        <v>968</v>
      </c>
      <c r="J459" s="107" t="s">
        <v>54</v>
      </c>
      <c r="K459" s="108"/>
      <c r="L459" s="106"/>
      <c r="M459" s="110"/>
      <c r="N459" s="105" t="s">
        <v>78</v>
      </c>
      <c r="O459" s="105" t="str">
        <f t="shared" si="16"/>
        <v/>
      </c>
      <c r="P459" s="105"/>
      <c r="Q459" s="105" t="s">
        <v>77</v>
      </c>
      <c r="R459" s="105" t="s">
        <v>77</v>
      </c>
      <c r="S459" s="105"/>
      <c r="T459" s="105"/>
      <c r="U459" s="105"/>
      <c r="V459" s="105"/>
      <c r="W459" s="105" t="s">
        <v>80</v>
      </c>
      <c r="X459" s="105"/>
      <c r="Y459" s="105"/>
    </row>
    <row r="460" spans="1:25" s="99" customFormat="1" ht="26.25" customHeight="1">
      <c r="A460" s="100">
        <v>4201</v>
      </c>
      <c r="B460" s="101" t="s">
        <v>11</v>
      </c>
      <c r="C460" s="105" t="s">
        <v>52</v>
      </c>
      <c r="D460" s="105" t="s">
        <v>969</v>
      </c>
      <c r="E460" s="105" t="s">
        <v>44</v>
      </c>
      <c r="F460" s="101" t="str">
        <f t="shared" si="15"/>
        <v>-</v>
      </c>
      <c r="G460" s="106" t="s">
        <v>53</v>
      </c>
      <c r="H460" s="105"/>
      <c r="I460" s="106" t="s">
        <v>970</v>
      </c>
      <c r="J460" s="107" t="s">
        <v>54</v>
      </c>
      <c r="K460" s="108"/>
      <c r="L460" s="106"/>
      <c r="M460" s="110"/>
      <c r="N460" s="105" t="s">
        <v>78</v>
      </c>
      <c r="O460" s="105" t="str">
        <f t="shared" si="16"/>
        <v/>
      </c>
      <c r="P460" s="105"/>
      <c r="Q460" s="105" t="s">
        <v>77</v>
      </c>
      <c r="R460" s="105" t="s">
        <v>77</v>
      </c>
      <c r="S460" s="105"/>
      <c r="T460" s="105"/>
      <c r="U460" s="105"/>
      <c r="V460" s="105"/>
      <c r="W460" s="105" t="s">
        <v>80</v>
      </c>
      <c r="X460" s="105"/>
      <c r="Y460" s="105"/>
    </row>
    <row r="461" spans="1:25" s="99" customFormat="1" ht="26.25" customHeight="1">
      <c r="A461" s="100">
        <v>4202</v>
      </c>
      <c r="B461" s="101" t="s">
        <v>11</v>
      </c>
      <c r="C461" s="105" t="s">
        <v>52</v>
      </c>
      <c r="D461" s="105" t="s">
        <v>971</v>
      </c>
      <c r="E461" s="105" t="s">
        <v>44</v>
      </c>
      <c r="F461" s="101" t="str">
        <f t="shared" si="15"/>
        <v>-</v>
      </c>
      <c r="G461" s="106" t="s">
        <v>53</v>
      </c>
      <c r="H461" s="105"/>
      <c r="I461" s="106" t="s">
        <v>972</v>
      </c>
      <c r="J461" s="107" t="s">
        <v>54</v>
      </c>
      <c r="K461" s="108"/>
      <c r="L461" s="106"/>
      <c r="M461" s="110"/>
      <c r="N461" s="105" t="s">
        <v>78</v>
      </c>
      <c r="O461" s="105" t="str">
        <f t="shared" si="16"/>
        <v/>
      </c>
      <c r="P461" s="105"/>
      <c r="Q461" s="105" t="s">
        <v>77</v>
      </c>
      <c r="R461" s="105" t="s">
        <v>77</v>
      </c>
      <c r="S461" s="105"/>
      <c r="T461" s="105"/>
      <c r="U461" s="105"/>
      <c r="V461" s="105"/>
      <c r="W461" s="105" t="s">
        <v>80</v>
      </c>
      <c r="X461" s="105"/>
      <c r="Y461" s="105"/>
    </row>
    <row r="462" spans="1:25" s="99" customFormat="1" ht="26.25" customHeight="1">
      <c r="A462" s="100">
        <v>4203</v>
      </c>
      <c r="B462" s="101" t="s">
        <v>11</v>
      </c>
      <c r="C462" s="105" t="s">
        <v>52</v>
      </c>
      <c r="D462" s="105" t="s">
        <v>973</v>
      </c>
      <c r="E462" s="105" t="s">
        <v>44</v>
      </c>
      <c r="F462" s="101" t="str">
        <f t="shared" si="15"/>
        <v>-</v>
      </c>
      <c r="G462" s="106" t="s">
        <v>53</v>
      </c>
      <c r="H462" s="105"/>
      <c r="I462" s="106" t="s">
        <v>974</v>
      </c>
      <c r="J462" s="107" t="s">
        <v>54</v>
      </c>
      <c r="K462" s="108"/>
      <c r="L462" s="106"/>
      <c r="M462" s="110"/>
      <c r="N462" s="105" t="s">
        <v>78</v>
      </c>
      <c r="O462" s="105" t="str">
        <f t="shared" si="16"/>
        <v/>
      </c>
      <c r="P462" s="105"/>
      <c r="Q462" s="105" t="s">
        <v>77</v>
      </c>
      <c r="R462" s="105" t="s">
        <v>77</v>
      </c>
      <c r="S462" s="105"/>
      <c r="T462" s="105"/>
      <c r="U462" s="105"/>
      <c r="V462" s="105"/>
      <c r="W462" s="105" t="s">
        <v>80</v>
      </c>
      <c r="X462" s="105"/>
      <c r="Y462" s="105"/>
    </row>
    <row r="463" spans="1:25" s="99" customFormat="1" ht="26.25" customHeight="1">
      <c r="A463" s="100">
        <v>4204</v>
      </c>
      <c r="B463" s="101" t="s">
        <v>11</v>
      </c>
      <c r="C463" s="105" t="s">
        <v>52</v>
      </c>
      <c r="D463" s="105" t="s">
        <v>975</v>
      </c>
      <c r="E463" s="105" t="s">
        <v>44</v>
      </c>
      <c r="F463" s="101" t="str">
        <f t="shared" si="15"/>
        <v>-</v>
      </c>
      <c r="G463" s="106" t="s">
        <v>53</v>
      </c>
      <c r="H463" s="105"/>
      <c r="I463" s="106" t="s">
        <v>976</v>
      </c>
      <c r="J463" s="107" t="s">
        <v>54</v>
      </c>
      <c r="K463" s="108"/>
      <c r="L463" s="106"/>
      <c r="M463" s="110"/>
      <c r="N463" s="105" t="s">
        <v>78</v>
      </c>
      <c r="O463" s="105" t="str">
        <f t="shared" si="16"/>
        <v/>
      </c>
      <c r="P463" s="105"/>
      <c r="Q463" s="105" t="s">
        <v>77</v>
      </c>
      <c r="R463" s="105" t="s">
        <v>77</v>
      </c>
      <c r="S463" s="105"/>
      <c r="T463" s="105"/>
      <c r="U463" s="105"/>
      <c r="V463" s="105"/>
      <c r="W463" s="105" t="s">
        <v>80</v>
      </c>
      <c r="X463" s="105"/>
      <c r="Y463" s="105"/>
    </row>
    <row r="464" spans="1:25" s="99" customFormat="1" ht="26.25" customHeight="1">
      <c r="A464" s="100">
        <v>4205</v>
      </c>
      <c r="B464" s="101" t="s">
        <v>11</v>
      </c>
      <c r="C464" s="105" t="s">
        <v>52</v>
      </c>
      <c r="D464" s="105" t="s">
        <v>977</v>
      </c>
      <c r="E464" s="105" t="s">
        <v>44</v>
      </c>
      <c r="F464" s="101" t="str">
        <f t="shared" si="15"/>
        <v>-</v>
      </c>
      <c r="G464" s="106" t="s">
        <v>53</v>
      </c>
      <c r="H464" s="105"/>
      <c r="I464" s="106" t="s">
        <v>978</v>
      </c>
      <c r="J464" s="107" t="s">
        <v>54</v>
      </c>
      <c r="K464" s="108"/>
      <c r="L464" s="106"/>
      <c r="M464" s="110"/>
      <c r="N464" s="105" t="s">
        <v>78</v>
      </c>
      <c r="O464" s="105" t="str">
        <f t="shared" si="16"/>
        <v/>
      </c>
      <c r="P464" s="105"/>
      <c r="Q464" s="105" t="s">
        <v>77</v>
      </c>
      <c r="R464" s="105" t="s">
        <v>77</v>
      </c>
      <c r="S464" s="105"/>
      <c r="T464" s="105"/>
      <c r="U464" s="105"/>
      <c r="V464" s="105"/>
      <c r="W464" s="105" t="s">
        <v>80</v>
      </c>
      <c r="X464" s="105"/>
      <c r="Y464" s="105"/>
    </row>
    <row r="465" spans="1:25" s="99" customFormat="1" ht="26.25" customHeight="1">
      <c r="A465" s="100">
        <v>4206</v>
      </c>
      <c r="B465" s="101" t="s">
        <v>11</v>
      </c>
      <c r="C465" s="105" t="s">
        <v>52</v>
      </c>
      <c r="D465" s="105" t="s">
        <v>979</v>
      </c>
      <c r="E465" s="105" t="s">
        <v>44</v>
      </c>
      <c r="F465" s="101" t="str">
        <f t="shared" si="15"/>
        <v>-</v>
      </c>
      <c r="G465" s="106" t="s">
        <v>53</v>
      </c>
      <c r="H465" s="105"/>
      <c r="I465" s="106" t="s">
        <v>980</v>
      </c>
      <c r="J465" s="107" t="s">
        <v>54</v>
      </c>
      <c r="K465" s="108"/>
      <c r="L465" s="106"/>
      <c r="M465" s="110"/>
      <c r="N465" s="105" t="s">
        <v>78</v>
      </c>
      <c r="O465" s="105" t="str">
        <f t="shared" si="16"/>
        <v/>
      </c>
      <c r="P465" s="105"/>
      <c r="Q465" s="105" t="s">
        <v>77</v>
      </c>
      <c r="R465" s="105" t="s">
        <v>77</v>
      </c>
      <c r="S465" s="105"/>
      <c r="T465" s="105"/>
      <c r="U465" s="105"/>
      <c r="V465" s="105"/>
      <c r="W465" s="105" t="s">
        <v>80</v>
      </c>
      <c r="X465" s="105"/>
      <c r="Y465" s="105"/>
    </row>
    <row r="466" spans="1:25" s="99" customFormat="1" ht="26.25" customHeight="1">
      <c r="A466" s="100">
        <v>4207</v>
      </c>
      <c r="B466" s="101" t="s">
        <v>11</v>
      </c>
      <c r="C466" s="105" t="s">
        <v>52</v>
      </c>
      <c r="D466" s="105" t="s">
        <v>981</v>
      </c>
      <c r="E466" s="105" t="s">
        <v>44</v>
      </c>
      <c r="F466" s="101" t="str">
        <f t="shared" si="15"/>
        <v>-</v>
      </c>
      <c r="G466" s="106" t="s">
        <v>53</v>
      </c>
      <c r="H466" s="105"/>
      <c r="I466" s="106" t="s">
        <v>982</v>
      </c>
      <c r="J466" s="107" t="s">
        <v>54</v>
      </c>
      <c r="K466" s="108"/>
      <c r="L466" s="106"/>
      <c r="M466" s="110"/>
      <c r="N466" s="105" t="s">
        <v>78</v>
      </c>
      <c r="O466" s="105" t="str">
        <f t="shared" si="16"/>
        <v/>
      </c>
      <c r="P466" s="105"/>
      <c r="Q466" s="105" t="s">
        <v>77</v>
      </c>
      <c r="R466" s="105" t="s">
        <v>77</v>
      </c>
      <c r="S466" s="105"/>
      <c r="T466" s="105"/>
      <c r="U466" s="105"/>
      <c r="V466" s="105"/>
      <c r="W466" s="105" t="s">
        <v>80</v>
      </c>
      <c r="X466" s="105"/>
      <c r="Y466" s="105"/>
    </row>
    <row r="467" spans="1:25" s="99" customFormat="1" ht="26.25" customHeight="1">
      <c r="A467" s="100">
        <v>4208</v>
      </c>
      <c r="B467" s="101" t="s">
        <v>11</v>
      </c>
      <c r="C467" s="105" t="s">
        <v>52</v>
      </c>
      <c r="D467" s="105" t="s">
        <v>983</v>
      </c>
      <c r="E467" s="105" t="s">
        <v>44</v>
      </c>
      <c r="F467" s="101" t="str">
        <f t="shared" si="15"/>
        <v>-</v>
      </c>
      <c r="G467" s="106" t="s">
        <v>53</v>
      </c>
      <c r="H467" s="105"/>
      <c r="I467" s="106" t="s">
        <v>984</v>
      </c>
      <c r="J467" s="107" t="s">
        <v>54</v>
      </c>
      <c r="K467" s="108"/>
      <c r="L467" s="106"/>
      <c r="M467" s="110"/>
      <c r="N467" s="105" t="s">
        <v>78</v>
      </c>
      <c r="O467" s="105" t="str">
        <f t="shared" si="16"/>
        <v/>
      </c>
      <c r="P467" s="105"/>
      <c r="Q467" s="105" t="s">
        <v>77</v>
      </c>
      <c r="R467" s="105" t="s">
        <v>77</v>
      </c>
      <c r="S467" s="105"/>
      <c r="T467" s="105"/>
      <c r="U467" s="105"/>
      <c r="V467" s="105"/>
      <c r="W467" s="105" t="s">
        <v>80</v>
      </c>
      <c r="X467" s="105"/>
      <c r="Y467" s="105"/>
    </row>
    <row r="468" spans="1:25" s="99" customFormat="1" ht="26.25" customHeight="1">
      <c r="A468" s="100">
        <v>4209</v>
      </c>
      <c r="B468" s="101" t="s">
        <v>11</v>
      </c>
      <c r="C468" s="105" t="s">
        <v>52</v>
      </c>
      <c r="D468" s="105" t="s">
        <v>985</v>
      </c>
      <c r="E468" s="105" t="s">
        <v>44</v>
      </c>
      <c r="F468" s="101" t="str">
        <f t="shared" si="15"/>
        <v>-</v>
      </c>
      <c r="G468" s="106" t="s">
        <v>53</v>
      </c>
      <c r="H468" s="105"/>
      <c r="I468" s="106" t="s">
        <v>986</v>
      </c>
      <c r="J468" s="107" t="s">
        <v>54</v>
      </c>
      <c r="K468" s="108"/>
      <c r="L468" s="106"/>
      <c r="M468" s="110"/>
      <c r="N468" s="105" t="s">
        <v>78</v>
      </c>
      <c r="O468" s="105" t="str">
        <f t="shared" si="16"/>
        <v/>
      </c>
      <c r="P468" s="105"/>
      <c r="Q468" s="105" t="s">
        <v>77</v>
      </c>
      <c r="R468" s="105" t="s">
        <v>77</v>
      </c>
      <c r="S468" s="105"/>
      <c r="T468" s="105"/>
      <c r="U468" s="105"/>
      <c r="V468" s="105"/>
      <c r="W468" s="105" t="s">
        <v>80</v>
      </c>
      <c r="X468" s="105"/>
      <c r="Y468" s="105"/>
    </row>
    <row r="469" spans="1:25" s="99" customFormat="1" ht="26.25" customHeight="1">
      <c r="A469" s="100">
        <v>4210</v>
      </c>
      <c r="B469" s="101" t="s">
        <v>11</v>
      </c>
      <c r="C469" s="105" t="s">
        <v>52</v>
      </c>
      <c r="D469" s="105" t="s">
        <v>987</v>
      </c>
      <c r="E469" s="105" t="s">
        <v>44</v>
      </c>
      <c r="F469" s="101" t="str">
        <f t="shared" si="15"/>
        <v>-</v>
      </c>
      <c r="G469" s="106" t="s">
        <v>53</v>
      </c>
      <c r="H469" s="105"/>
      <c r="I469" s="106" t="s">
        <v>988</v>
      </c>
      <c r="J469" s="107" t="s">
        <v>54</v>
      </c>
      <c r="K469" s="108"/>
      <c r="L469" s="106"/>
      <c r="M469" s="110"/>
      <c r="N469" s="105" t="s">
        <v>78</v>
      </c>
      <c r="O469" s="105" t="str">
        <f t="shared" si="16"/>
        <v/>
      </c>
      <c r="P469" s="105"/>
      <c r="Q469" s="105" t="s">
        <v>77</v>
      </c>
      <c r="R469" s="105" t="s">
        <v>77</v>
      </c>
      <c r="S469" s="105"/>
      <c r="T469" s="105"/>
      <c r="U469" s="105"/>
      <c r="V469" s="105"/>
      <c r="W469" s="105" t="s">
        <v>80</v>
      </c>
      <c r="X469" s="105"/>
      <c r="Y469" s="105"/>
    </row>
    <row r="470" spans="1:25" s="99" customFormat="1" ht="26.25" customHeight="1">
      <c r="A470" s="100">
        <v>4211</v>
      </c>
      <c r="B470" s="101" t="s">
        <v>11</v>
      </c>
      <c r="C470" s="105" t="s">
        <v>52</v>
      </c>
      <c r="D470" s="105" t="s">
        <v>989</v>
      </c>
      <c r="E470" s="105" t="s">
        <v>44</v>
      </c>
      <c r="F470" s="101" t="str">
        <f t="shared" ref="F470:F533" si="17">IF(B470&lt;&gt;"","-","")</f>
        <v>-</v>
      </c>
      <c r="G470" s="106" t="s">
        <v>53</v>
      </c>
      <c r="H470" s="105"/>
      <c r="I470" s="106" t="s">
        <v>990</v>
      </c>
      <c r="J470" s="107" t="s">
        <v>54</v>
      </c>
      <c r="K470" s="108"/>
      <c r="L470" s="106"/>
      <c r="M470" s="110"/>
      <c r="N470" s="105" t="s">
        <v>78</v>
      </c>
      <c r="O470" s="105" t="str">
        <f t="shared" ref="O470:O533" si="18">IF(OR(R470&lt;&gt;"",Q470&lt;&gt;""),"X","")</f>
        <v/>
      </c>
      <c r="P470" s="105"/>
      <c r="Q470" s="105" t="s">
        <v>77</v>
      </c>
      <c r="R470" s="105" t="s">
        <v>77</v>
      </c>
      <c r="S470" s="105"/>
      <c r="T470" s="105"/>
      <c r="U470" s="105"/>
      <c r="V470" s="105"/>
      <c r="W470" s="105" t="s">
        <v>80</v>
      </c>
      <c r="X470" s="105"/>
      <c r="Y470" s="105"/>
    </row>
    <row r="471" spans="1:25" s="99" customFormat="1" ht="26.25" customHeight="1">
      <c r="A471" s="100">
        <v>4212</v>
      </c>
      <c r="B471" s="101" t="s">
        <v>11</v>
      </c>
      <c r="C471" s="105" t="s">
        <v>52</v>
      </c>
      <c r="D471" s="105" t="s">
        <v>991</v>
      </c>
      <c r="E471" s="105" t="s">
        <v>44</v>
      </c>
      <c r="F471" s="101" t="str">
        <f t="shared" si="17"/>
        <v>-</v>
      </c>
      <c r="G471" s="106" t="s">
        <v>53</v>
      </c>
      <c r="H471" s="105"/>
      <c r="I471" s="106" t="s">
        <v>992</v>
      </c>
      <c r="J471" s="107" t="s">
        <v>54</v>
      </c>
      <c r="K471" s="108"/>
      <c r="L471" s="106"/>
      <c r="M471" s="110"/>
      <c r="N471" s="105" t="s">
        <v>78</v>
      </c>
      <c r="O471" s="105" t="str">
        <f t="shared" si="18"/>
        <v/>
      </c>
      <c r="P471" s="105"/>
      <c r="Q471" s="105" t="s">
        <v>77</v>
      </c>
      <c r="R471" s="105" t="s">
        <v>77</v>
      </c>
      <c r="S471" s="105"/>
      <c r="T471" s="105"/>
      <c r="U471" s="105"/>
      <c r="V471" s="105"/>
      <c r="W471" s="105" t="s">
        <v>80</v>
      </c>
      <c r="X471" s="105"/>
      <c r="Y471" s="105"/>
    </row>
    <row r="472" spans="1:25" s="99" customFormat="1" ht="26.25" customHeight="1">
      <c r="A472" s="100">
        <v>4213</v>
      </c>
      <c r="B472" s="101" t="s">
        <v>11</v>
      </c>
      <c r="C472" s="105" t="s">
        <v>52</v>
      </c>
      <c r="D472" s="105" t="s">
        <v>993</v>
      </c>
      <c r="E472" s="105" t="s">
        <v>44</v>
      </c>
      <c r="F472" s="101" t="str">
        <f t="shared" si="17"/>
        <v>-</v>
      </c>
      <c r="G472" s="106" t="s">
        <v>53</v>
      </c>
      <c r="H472" s="105"/>
      <c r="I472" s="106" t="s">
        <v>994</v>
      </c>
      <c r="J472" s="107" t="s">
        <v>54</v>
      </c>
      <c r="K472" s="108"/>
      <c r="L472" s="106"/>
      <c r="M472" s="110"/>
      <c r="N472" s="105" t="s">
        <v>78</v>
      </c>
      <c r="O472" s="105" t="str">
        <f t="shared" si="18"/>
        <v/>
      </c>
      <c r="P472" s="105"/>
      <c r="Q472" s="105" t="s">
        <v>77</v>
      </c>
      <c r="R472" s="105" t="s">
        <v>77</v>
      </c>
      <c r="S472" s="105"/>
      <c r="T472" s="105"/>
      <c r="U472" s="105"/>
      <c r="V472" s="105"/>
      <c r="W472" s="105" t="s">
        <v>80</v>
      </c>
      <c r="X472" s="105"/>
      <c r="Y472" s="105"/>
    </row>
    <row r="473" spans="1:25" s="99" customFormat="1" ht="26.25" customHeight="1">
      <c r="A473" s="100">
        <v>4214</v>
      </c>
      <c r="B473" s="101" t="s">
        <v>11</v>
      </c>
      <c r="C473" s="105" t="s">
        <v>52</v>
      </c>
      <c r="D473" s="105" t="s">
        <v>995</v>
      </c>
      <c r="E473" s="105" t="s">
        <v>44</v>
      </c>
      <c r="F473" s="101" t="str">
        <f t="shared" si="17"/>
        <v>-</v>
      </c>
      <c r="G473" s="106" t="s">
        <v>53</v>
      </c>
      <c r="H473" s="105"/>
      <c r="I473" s="106" t="s">
        <v>996</v>
      </c>
      <c r="J473" s="107" t="s">
        <v>54</v>
      </c>
      <c r="K473" s="108"/>
      <c r="L473" s="106"/>
      <c r="M473" s="110"/>
      <c r="N473" s="105" t="s">
        <v>78</v>
      </c>
      <c r="O473" s="105" t="str">
        <f t="shared" si="18"/>
        <v/>
      </c>
      <c r="P473" s="105"/>
      <c r="Q473" s="105" t="s">
        <v>77</v>
      </c>
      <c r="R473" s="105" t="s">
        <v>77</v>
      </c>
      <c r="S473" s="105"/>
      <c r="T473" s="105"/>
      <c r="U473" s="105"/>
      <c r="V473" s="105"/>
      <c r="W473" s="105" t="s">
        <v>80</v>
      </c>
      <c r="X473" s="105"/>
      <c r="Y473" s="105"/>
    </row>
    <row r="474" spans="1:25" s="99" customFormat="1" ht="26.25" customHeight="1">
      <c r="A474" s="100">
        <v>4215</v>
      </c>
      <c r="B474" s="101" t="s">
        <v>11</v>
      </c>
      <c r="C474" s="105" t="s">
        <v>52</v>
      </c>
      <c r="D474" s="105" t="s">
        <v>997</v>
      </c>
      <c r="E474" s="105" t="s">
        <v>44</v>
      </c>
      <c r="F474" s="101" t="str">
        <f t="shared" si="17"/>
        <v>-</v>
      </c>
      <c r="G474" s="106" t="s">
        <v>53</v>
      </c>
      <c r="H474" s="105"/>
      <c r="I474" s="106" t="s">
        <v>998</v>
      </c>
      <c r="J474" s="107" t="s">
        <v>54</v>
      </c>
      <c r="K474" s="108"/>
      <c r="L474" s="106"/>
      <c r="M474" s="110"/>
      <c r="N474" s="105" t="s">
        <v>78</v>
      </c>
      <c r="O474" s="105" t="str">
        <f t="shared" si="18"/>
        <v/>
      </c>
      <c r="P474" s="105"/>
      <c r="Q474" s="105" t="s">
        <v>77</v>
      </c>
      <c r="R474" s="105" t="s">
        <v>77</v>
      </c>
      <c r="S474" s="105"/>
      <c r="T474" s="105"/>
      <c r="U474" s="105"/>
      <c r="V474" s="105"/>
      <c r="W474" s="105" t="s">
        <v>80</v>
      </c>
      <c r="X474" s="105"/>
      <c r="Y474" s="105"/>
    </row>
    <row r="475" spans="1:25" s="99" customFormat="1" ht="26.25" customHeight="1">
      <c r="A475" s="100">
        <v>4216</v>
      </c>
      <c r="B475" s="101" t="s">
        <v>11</v>
      </c>
      <c r="C475" s="105" t="s">
        <v>52</v>
      </c>
      <c r="D475" s="105" t="s">
        <v>999</v>
      </c>
      <c r="E475" s="105" t="s">
        <v>44</v>
      </c>
      <c r="F475" s="101" t="str">
        <f t="shared" si="17"/>
        <v>-</v>
      </c>
      <c r="G475" s="106" t="s">
        <v>53</v>
      </c>
      <c r="H475" s="105"/>
      <c r="I475" s="106" t="s">
        <v>1000</v>
      </c>
      <c r="J475" s="107" t="s">
        <v>54</v>
      </c>
      <c r="K475" s="108"/>
      <c r="L475" s="106"/>
      <c r="M475" s="110"/>
      <c r="N475" s="105" t="s">
        <v>78</v>
      </c>
      <c r="O475" s="105" t="str">
        <f t="shared" si="18"/>
        <v/>
      </c>
      <c r="P475" s="105"/>
      <c r="Q475" s="105" t="s">
        <v>77</v>
      </c>
      <c r="R475" s="105" t="s">
        <v>77</v>
      </c>
      <c r="S475" s="105"/>
      <c r="T475" s="105"/>
      <c r="U475" s="105"/>
      <c r="V475" s="105"/>
      <c r="W475" s="105" t="s">
        <v>80</v>
      </c>
      <c r="X475" s="105"/>
      <c r="Y475" s="105"/>
    </row>
    <row r="476" spans="1:25" s="99" customFormat="1" ht="26.25" customHeight="1">
      <c r="A476" s="100">
        <v>4217</v>
      </c>
      <c r="B476" s="101" t="s">
        <v>11</v>
      </c>
      <c r="C476" s="105" t="s">
        <v>52</v>
      </c>
      <c r="D476" s="105" t="s">
        <v>1001</v>
      </c>
      <c r="E476" s="105" t="s">
        <v>44</v>
      </c>
      <c r="F476" s="101" t="str">
        <f t="shared" si="17"/>
        <v>-</v>
      </c>
      <c r="G476" s="106" t="s">
        <v>53</v>
      </c>
      <c r="H476" s="105"/>
      <c r="I476" s="106" t="s">
        <v>1002</v>
      </c>
      <c r="J476" s="107" t="s">
        <v>54</v>
      </c>
      <c r="K476" s="108"/>
      <c r="L476" s="106"/>
      <c r="M476" s="110"/>
      <c r="N476" s="105" t="s">
        <v>78</v>
      </c>
      <c r="O476" s="105" t="str">
        <f t="shared" si="18"/>
        <v/>
      </c>
      <c r="P476" s="105"/>
      <c r="Q476" s="105" t="s">
        <v>77</v>
      </c>
      <c r="R476" s="105" t="s">
        <v>77</v>
      </c>
      <c r="S476" s="105"/>
      <c r="T476" s="105"/>
      <c r="U476" s="105"/>
      <c r="V476" s="105"/>
      <c r="W476" s="105" t="s">
        <v>80</v>
      </c>
      <c r="X476" s="105"/>
      <c r="Y476" s="105"/>
    </row>
    <row r="477" spans="1:25" s="99" customFormat="1" ht="26.25" customHeight="1">
      <c r="A477" s="100">
        <v>4218</v>
      </c>
      <c r="B477" s="101" t="s">
        <v>11</v>
      </c>
      <c r="C477" s="105" t="s">
        <v>52</v>
      </c>
      <c r="D477" s="105" t="s">
        <v>1003</v>
      </c>
      <c r="E477" s="105" t="s">
        <v>44</v>
      </c>
      <c r="F477" s="101" t="str">
        <f t="shared" si="17"/>
        <v>-</v>
      </c>
      <c r="G477" s="106" t="s">
        <v>53</v>
      </c>
      <c r="H477" s="105"/>
      <c r="I477" s="106" t="s">
        <v>1004</v>
      </c>
      <c r="J477" s="107" t="s">
        <v>54</v>
      </c>
      <c r="K477" s="108"/>
      <c r="L477" s="106"/>
      <c r="M477" s="110"/>
      <c r="N477" s="105" t="s">
        <v>78</v>
      </c>
      <c r="O477" s="105" t="str">
        <f t="shared" si="18"/>
        <v/>
      </c>
      <c r="P477" s="105"/>
      <c r="Q477" s="105" t="s">
        <v>77</v>
      </c>
      <c r="R477" s="105" t="s">
        <v>77</v>
      </c>
      <c r="S477" s="105"/>
      <c r="T477" s="105"/>
      <c r="U477" s="105"/>
      <c r="V477" s="105"/>
      <c r="W477" s="105" t="s">
        <v>80</v>
      </c>
      <c r="X477" s="105"/>
      <c r="Y477" s="105"/>
    </row>
    <row r="478" spans="1:25" s="99" customFormat="1" ht="26.25" customHeight="1">
      <c r="A478" s="100">
        <v>4219</v>
      </c>
      <c r="B478" s="101" t="s">
        <v>11</v>
      </c>
      <c r="C478" s="105" t="s">
        <v>52</v>
      </c>
      <c r="D478" s="105" t="s">
        <v>1005</v>
      </c>
      <c r="E478" s="105" t="s">
        <v>44</v>
      </c>
      <c r="F478" s="101" t="str">
        <f t="shared" si="17"/>
        <v>-</v>
      </c>
      <c r="G478" s="106" t="s">
        <v>53</v>
      </c>
      <c r="H478" s="105"/>
      <c r="I478" s="106" t="s">
        <v>1006</v>
      </c>
      <c r="J478" s="107" t="s">
        <v>54</v>
      </c>
      <c r="K478" s="108"/>
      <c r="L478" s="106"/>
      <c r="M478" s="110"/>
      <c r="N478" s="105" t="s">
        <v>78</v>
      </c>
      <c r="O478" s="105" t="str">
        <f t="shared" si="18"/>
        <v/>
      </c>
      <c r="P478" s="105"/>
      <c r="Q478" s="105" t="s">
        <v>77</v>
      </c>
      <c r="R478" s="105" t="s">
        <v>77</v>
      </c>
      <c r="S478" s="105"/>
      <c r="T478" s="105"/>
      <c r="U478" s="105"/>
      <c r="V478" s="105"/>
      <c r="W478" s="105" t="s">
        <v>80</v>
      </c>
      <c r="X478" s="105"/>
      <c r="Y478" s="105"/>
    </row>
    <row r="479" spans="1:25" s="99" customFormat="1" ht="26.25" customHeight="1">
      <c r="A479" s="100">
        <v>4220</v>
      </c>
      <c r="B479" s="101" t="s">
        <v>11</v>
      </c>
      <c r="C479" s="105" t="s">
        <v>52</v>
      </c>
      <c r="D479" s="105" t="s">
        <v>1007</v>
      </c>
      <c r="E479" s="105" t="s">
        <v>44</v>
      </c>
      <c r="F479" s="101" t="str">
        <f t="shared" si="17"/>
        <v>-</v>
      </c>
      <c r="G479" s="106" t="s">
        <v>53</v>
      </c>
      <c r="H479" s="105"/>
      <c r="I479" s="106" t="s">
        <v>1008</v>
      </c>
      <c r="J479" s="107" t="s">
        <v>54</v>
      </c>
      <c r="K479" s="108"/>
      <c r="L479" s="106"/>
      <c r="M479" s="110"/>
      <c r="N479" s="105" t="s">
        <v>78</v>
      </c>
      <c r="O479" s="105" t="str">
        <f t="shared" si="18"/>
        <v/>
      </c>
      <c r="P479" s="105"/>
      <c r="Q479" s="105" t="s">
        <v>77</v>
      </c>
      <c r="R479" s="105" t="s">
        <v>77</v>
      </c>
      <c r="S479" s="105"/>
      <c r="T479" s="105"/>
      <c r="U479" s="105"/>
      <c r="V479" s="105"/>
      <c r="W479" s="105" t="s">
        <v>80</v>
      </c>
      <c r="X479" s="105"/>
      <c r="Y479" s="105"/>
    </row>
    <row r="480" spans="1:25" s="99" customFormat="1" ht="26.25" customHeight="1">
      <c r="A480" s="100">
        <v>4221</v>
      </c>
      <c r="B480" s="101" t="s">
        <v>11</v>
      </c>
      <c r="C480" s="105" t="s">
        <v>52</v>
      </c>
      <c r="D480" s="105" t="s">
        <v>1009</v>
      </c>
      <c r="E480" s="105" t="s">
        <v>44</v>
      </c>
      <c r="F480" s="101" t="str">
        <f t="shared" si="17"/>
        <v>-</v>
      </c>
      <c r="G480" s="106" t="s">
        <v>53</v>
      </c>
      <c r="H480" s="105"/>
      <c r="I480" s="106" t="s">
        <v>1010</v>
      </c>
      <c r="J480" s="107" t="s">
        <v>54</v>
      </c>
      <c r="K480" s="108"/>
      <c r="L480" s="106"/>
      <c r="M480" s="110"/>
      <c r="N480" s="105" t="s">
        <v>78</v>
      </c>
      <c r="O480" s="105" t="str">
        <f t="shared" si="18"/>
        <v/>
      </c>
      <c r="P480" s="105"/>
      <c r="Q480" s="105" t="s">
        <v>77</v>
      </c>
      <c r="R480" s="105" t="s">
        <v>77</v>
      </c>
      <c r="S480" s="105"/>
      <c r="T480" s="105"/>
      <c r="U480" s="105"/>
      <c r="V480" s="105"/>
      <c r="W480" s="105" t="s">
        <v>80</v>
      </c>
      <c r="X480" s="105"/>
      <c r="Y480" s="105"/>
    </row>
    <row r="481" spans="1:25" s="99" customFormat="1" ht="26.25" customHeight="1">
      <c r="A481" s="100">
        <v>4222</v>
      </c>
      <c r="B481" s="101" t="s">
        <v>11</v>
      </c>
      <c r="C481" s="105" t="s">
        <v>52</v>
      </c>
      <c r="D481" s="105" t="s">
        <v>1011</v>
      </c>
      <c r="E481" s="105" t="s">
        <v>44</v>
      </c>
      <c r="F481" s="101" t="str">
        <f t="shared" si="17"/>
        <v>-</v>
      </c>
      <c r="G481" s="106" t="s">
        <v>53</v>
      </c>
      <c r="H481" s="105"/>
      <c r="I481" s="106" t="s">
        <v>1012</v>
      </c>
      <c r="J481" s="107" t="s">
        <v>54</v>
      </c>
      <c r="K481" s="108"/>
      <c r="L481" s="106"/>
      <c r="M481" s="110"/>
      <c r="N481" s="105" t="s">
        <v>78</v>
      </c>
      <c r="O481" s="105" t="str">
        <f t="shared" si="18"/>
        <v/>
      </c>
      <c r="P481" s="105"/>
      <c r="Q481" s="105" t="s">
        <v>77</v>
      </c>
      <c r="R481" s="105" t="s">
        <v>77</v>
      </c>
      <c r="S481" s="105"/>
      <c r="T481" s="105"/>
      <c r="U481" s="105"/>
      <c r="V481" s="105"/>
      <c r="W481" s="105" t="s">
        <v>80</v>
      </c>
      <c r="X481" s="105"/>
      <c r="Y481" s="105"/>
    </row>
    <row r="482" spans="1:25" s="99" customFormat="1" ht="26.25" customHeight="1">
      <c r="A482" s="100">
        <v>4223</v>
      </c>
      <c r="B482" s="101" t="s">
        <v>11</v>
      </c>
      <c r="C482" s="105" t="s">
        <v>52</v>
      </c>
      <c r="D482" s="105" t="s">
        <v>1013</v>
      </c>
      <c r="E482" s="105" t="s">
        <v>44</v>
      </c>
      <c r="F482" s="101" t="str">
        <f t="shared" si="17"/>
        <v>-</v>
      </c>
      <c r="G482" s="106" t="s">
        <v>53</v>
      </c>
      <c r="H482" s="105"/>
      <c r="I482" s="106" t="s">
        <v>1014</v>
      </c>
      <c r="J482" s="107" t="s">
        <v>54</v>
      </c>
      <c r="K482" s="108"/>
      <c r="L482" s="106"/>
      <c r="M482" s="110"/>
      <c r="N482" s="105" t="s">
        <v>78</v>
      </c>
      <c r="O482" s="105" t="str">
        <f t="shared" si="18"/>
        <v/>
      </c>
      <c r="P482" s="105"/>
      <c r="Q482" s="105" t="s">
        <v>77</v>
      </c>
      <c r="R482" s="105" t="s">
        <v>77</v>
      </c>
      <c r="S482" s="105"/>
      <c r="T482" s="105"/>
      <c r="U482" s="105"/>
      <c r="V482" s="105"/>
      <c r="W482" s="105" t="s">
        <v>80</v>
      </c>
      <c r="X482" s="105"/>
      <c r="Y482" s="105"/>
    </row>
    <row r="483" spans="1:25" s="99" customFormat="1" ht="26.25" customHeight="1">
      <c r="A483" s="100">
        <v>4224</v>
      </c>
      <c r="B483" s="101" t="s">
        <v>11</v>
      </c>
      <c r="C483" s="105" t="s">
        <v>52</v>
      </c>
      <c r="D483" s="105" t="s">
        <v>1015</v>
      </c>
      <c r="E483" s="105" t="s">
        <v>44</v>
      </c>
      <c r="F483" s="101" t="str">
        <f t="shared" si="17"/>
        <v>-</v>
      </c>
      <c r="G483" s="106" t="s">
        <v>53</v>
      </c>
      <c r="H483" s="105"/>
      <c r="I483" s="106" t="s">
        <v>1016</v>
      </c>
      <c r="J483" s="107" t="s">
        <v>54</v>
      </c>
      <c r="K483" s="108"/>
      <c r="L483" s="106"/>
      <c r="M483" s="110"/>
      <c r="N483" s="105" t="s">
        <v>78</v>
      </c>
      <c r="O483" s="105" t="str">
        <f t="shared" si="18"/>
        <v/>
      </c>
      <c r="P483" s="105"/>
      <c r="Q483" s="105" t="s">
        <v>77</v>
      </c>
      <c r="R483" s="105" t="s">
        <v>77</v>
      </c>
      <c r="S483" s="105"/>
      <c r="T483" s="105"/>
      <c r="U483" s="105"/>
      <c r="V483" s="105"/>
      <c r="W483" s="105" t="s">
        <v>80</v>
      </c>
      <c r="X483" s="105"/>
      <c r="Y483" s="105"/>
    </row>
    <row r="484" spans="1:25" s="99" customFormat="1" ht="26.25" customHeight="1">
      <c r="A484" s="100">
        <v>4225</v>
      </c>
      <c r="B484" s="101" t="s">
        <v>11</v>
      </c>
      <c r="C484" s="105" t="s">
        <v>52</v>
      </c>
      <c r="D484" s="105" t="s">
        <v>1017</v>
      </c>
      <c r="E484" s="105" t="s">
        <v>44</v>
      </c>
      <c r="F484" s="101" t="str">
        <f t="shared" si="17"/>
        <v>-</v>
      </c>
      <c r="G484" s="106" t="s">
        <v>53</v>
      </c>
      <c r="H484" s="105"/>
      <c r="I484" s="106" t="s">
        <v>1018</v>
      </c>
      <c r="J484" s="107" t="s">
        <v>54</v>
      </c>
      <c r="K484" s="108"/>
      <c r="L484" s="106"/>
      <c r="M484" s="110"/>
      <c r="N484" s="105" t="s">
        <v>78</v>
      </c>
      <c r="O484" s="105" t="str">
        <f t="shared" si="18"/>
        <v/>
      </c>
      <c r="P484" s="105"/>
      <c r="Q484" s="105" t="s">
        <v>77</v>
      </c>
      <c r="R484" s="105" t="s">
        <v>77</v>
      </c>
      <c r="S484" s="105"/>
      <c r="T484" s="105"/>
      <c r="U484" s="105"/>
      <c r="V484" s="105"/>
      <c r="W484" s="105" t="s">
        <v>80</v>
      </c>
      <c r="X484" s="105"/>
      <c r="Y484" s="105"/>
    </row>
    <row r="485" spans="1:25" s="99" customFormat="1" ht="26.25" customHeight="1">
      <c r="A485" s="100">
        <v>4226</v>
      </c>
      <c r="B485" s="101" t="s">
        <v>11</v>
      </c>
      <c r="C485" s="105" t="s">
        <v>52</v>
      </c>
      <c r="D485" s="105" t="s">
        <v>1019</v>
      </c>
      <c r="E485" s="105" t="s">
        <v>44</v>
      </c>
      <c r="F485" s="101" t="str">
        <f t="shared" si="17"/>
        <v>-</v>
      </c>
      <c r="G485" s="106" t="s">
        <v>53</v>
      </c>
      <c r="H485" s="105"/>
      <c r="I485" s="106" t="s">
        <v>1020</v>
      </c>
      <c r="J485" s="107" t="s">
        <v>54</v>
      </c>
      <c r="K485" s="108"/>
      <c r="L485" s="106"/>
      <c r="M485" s="110"/>
      <c r="N485" s="105" t="s">
        <v>78</v>
      </c>
      <c r="O485" s="105" t="str">
        <f t="shared" si="18"/>
        <v/>
      </c>
      <c r="P485" s="105"/>
      <c r="Q485" s="105" t="s">
        <v>77</v>
      </c>
      <c r="R485" s="105" t="s">
        <v>77</v>
      </c>
      <c r="S485" s="105"/>
      <c r="T485" s="105"/>
      <c r="U485" s="105"/>
      <c r="V485" s="105"/>
      <c r="W485" s="105" t="s">
        <v>80</v>
      </c>
      <c r="X485" s="105"/>
      <c r="Y485" s="105"/>
    </row>
    <row r="486" spans="1:25" s="99" customFormat="1" ht="26.25" customHeight="1">
      <c r="A486" s="100">
        <v>4227</v>
      </c>
      <c r="B486" s="101" t="s">
        <v>11</v>
      </c>
      <c r="C486" s="105" t="s">
        <v>52</v>
      </c>
      <c r="D486" s="105" t="s">
        <v>1021</v>
      </c>
      <c r="E486" s="105" t="s">
        <v>44</v>
      </c>
      <c r="F486" s="101" t="str">
        <f t="shared" si="17"/>
        <v>-</v>
      </c>
      <c r="G486" s="106" t="s">
        <v>53</v>
      </c>
      <c r="H486" s="105"/>
      <c r="I486" s="106" t="s">
        <v>1022</v>
      </c>
      <c r="J486" s="107" t="s">
        <v>54</v>
      </c>
      <c r="K486" s="108"/>
      <c r="L486" s="106"/>
      <c r="M486" s="110"/>
      <c r="N486" s="105" t="s">
        <v>78</v>
      </c>
      <c r="O486" s="105" t="str">
        <f t="shared" si="18"/>
        <v/>
      </c>
      <c r="P486" s="105"/>
      <c r="Q486" s="105" t="s">
        <v>77</v>
      </c>
      <c r="R486" s="105" t="s">
        <v>77</v>
      </c>
      <c r="S486" s="105"/>
      <c r="T486" s="105"/>
      <c r="U486" s="105"/>
      <c r="V486" s="105"/>
      <c r="W486" s="105" t="s">
        <v>80</v>
      </c>
      <c r="X486" s="105"/>
      <c r="Y486" s="105"/>
    </row>
    <row r="487" spans="1:25" s="99" customFormat="1" ht="26.25" customHeight="1">
      <c r="A487" s="100">
        <v>4228</v>
      </c>
      <c r="B487" s="101" t="s">
        <v>11</v>
      </c>
      <c r="C487" s="105" t="s">
        <v>52</v>
      </c>
      <c r="D487" s="105" t="s">
        <v>1023</v>
      </c>
      <c r="E487" s="105" t="s">
        <v>44</v>
      </c>
      <c r="F487" s="101" t="str">
        <f t="shared" si="17"/>
        <v>-</v>
      </c>
      <c r="G487" s="106" t="s">
        <v>53</v>
      </c>
      <c r="H487" s="105"/>
      <c r="I487" s="106" t="s">
        <v>1024</v>
      </c>
      <c r="J487" s="107" t="s">
        <v>54</v>
      </c>
      <c r="K487" s="108"/>
      <c r="L487" s="106"/>
      <c r="M487" s="110"/>
      <c r="N487" s="105" t="s">
        <v>78</v>
      </c>
      <c r="O487" s="105" t="str">
        <f t="shared" si="18"/>
        <v/>
      </c>
      <c r="P487" s="105"/>
      <c r="Q487" s="105" t="s">
        <v>77</v>
      </c>
      <c r="R487" s="105" t="s">
        <v>77</v>
      </c>
      <c r="S487" s="105"/>
      <c r="T487" s="105"/>
      <c r="U487" s="105"/>
      <c r="V487" s="105"/>
      <c r="W487" s="105" t="s">
        <v>80</v>
      </c>
      <c r="X487" s="105"/>
      <c r="Y487" s="105"/>
    </row>
    <row r="488" spans="1:25" s="99" customFormat="1" ht="26.25" customHeight="1">
      <c r="A488" s="100">
        <v>4229</v>
      </c>
      <c r="B488" s="101" t="s">
        <v>11</v>
      </c>
      <c r="C488" s="105" t="s">
        <v>52</v>
      </c>
      <c r="D488" s="105" t="s">
        <v>1025</v>
      </c>
      <c r="E488" s="105" t="s">
        <v>44</v>
      </c>
      <c r="F488" s="101" t="str">
        <f t="shared" si="17"/>
        <v>-</v>
      </c>
      <c r="G488" s="106" t="s">
        <v>53</v>
      </c>
      <c r="H488" s="105"/>
      <c r="I488" s="106" t="s">
        <v>1026</v>
      </c>
      <c r="J488" s="107" t="s">
        <v>54</v>
      </c>
      <c r="K488" s="108"/>
      <c r="L488" s="106"/>
      <c r="M488" s="110"/>
      <c r="N488" s="105" t="s">
        <v>78</v>
      </c>
      <c r="O488" s="105" t="str">
        <f t="shared" si="18"/>
        <v/>
      </c>
      <c r="P488" s="105"/>
      <c r="Q488" s="105" t="s">
        <v>77</v>
      </c>
      <c r="R488" s="105" t="s">
        <v>77</v>
      </c>
      <c r="S488" s="105"/>
      <c r="T488" s="105"/>
      <c r="U488" s="105"/>
      <c r="V488" s="105"/>
      <c r="W488" s="105" t="s">
        <v>80</v>
      </c>
      <c r="X488" s="105"/>
      <c r="Y488" s="105"/>
    </row>
    <row r="489" spans="1:25" s="99" customFormat="1" ht="26.25" customHeight="1">
      <c r="A489" s="100">
        <v>4230</v>
      </c>
      <c r="B489" s="101" t="s">
        <v>11</v>
      </c>
      <c r="C489" s="105" t="s">
        <v>52</v>
      </c>
      <c r="D489" s="105" t="s">
        <v>1027</v>
      </c>
      <c r="E489" s="105" t="s">
        <v>44</v>
      </c>
      <c r="F489" s="101" t="str">
        <f t="shared" si="17"/>
        <v>-</v>
      </c>
      <c r="G489" s="106" t="s">
        <v>53</v>
      </c>
      <c r="H489" s="105"/>
      <c r="I489" s="106" t="s">
        <v>1028</v>
      </c>
      <c r="J489" s="107" t="s">
        <v>54</v>
      </c>
      <c r="K489" s="108"/>
      <c r="L489" s="106"/>
      <c r="M489" s="110"/>
      <c r="N489" s="105" t="s">
        <v>78</v>
      </c>
      <c r="O489" s="105" t="str">
        <f t="shared" si="18"/>
        <v/>
      </c>
      <c r="P489" s="105"/>
      <c r="Q489" s="105" t="s">
        <v>77</v>
      </c>
      <c r="R489" s="105" t="s">
        <v>77</v>
      </c>
      <c r="S489" s="105"/>
      <c r="T489" s="105"/>
      <c r="U489" s="105"/>
      <c r="V489" s="105"/>
      <c r="W489" s="105" t="s">
        <v>80</v>
      </c>
      <c r="X489" s="105"/>
      <c r="Y489" s="105"/>
    </row>
    <row r="490" spans="1:25" s="99" customFormat="1" ht="26.25" customHeight="1">
      <c r="A490" s="100">
        <v>4231</v>
      </c>
      <c r="B490" s="101" t="s">
        <v>11</v>
      </c>
      <c r="C490" s="105" t="s">
        <v>52</v>
      </c>
      <c r="D490" s="105" t="s">
        <v>1029</v>
      </c>
      <c r="E490" s="105" t="s">
        <v>44</v>
      </c>
      <c r="F490" s="101" t="str">
        <f t="shared" si="17"/>
        <v>-</v>
      </c>
      <c r="G490" s="106" t="s">
        <v>53</v>
      </c>
      <c r="H490" s="105"/>
      <c r="I490" s="106" t="s">
        <v>1030</v>
      </c>
      <c r="J490" s="107" t="s">
        <v>54</v>
      </c>
      <c r="K490" s="108"/>
      <c r="L490" s="106"/>
      <c r="M490" s="110"/>
      <c r="N490" s="105" t="s">
        <v>78</v>
      </c>
      <c r="O490" s="105" t="str">
        <f t="shared" si="18"/>
        <v/>
      </c>
      <c r="P490" s="105"/>
      <c r="Q490" s="105" t="s">
        <v>77</v>
      </c>
      <c r="R490" s="105" t="s">
        <v>77</v>
      </c>
      <c r="S490" s="105"/>
      <c r="T490" s="105"/>
      <c r="U490" s="105"/>
      <c r="V490" s="105"/>
      <c r="W490" s="105" t="s">
        <v>80</v>
      </c>
      <c r="X490" s="105"/>
      <c r="Y490" s="105"/>
    </row>
    <row r="491" spans="1:25" s="99" customFormat="1" ht="26.25" customHeight="1">
      <c r="A491" s="100">
        <v>4232</v>
      </c>
      <c r="B491" s="101" t="s">
        <v>11</v>
      </c>
      <c r="C491" s="105" t="s">
        <v>52</v>
      </c>
      <c r="D491" s="105" t="s">
        <v>1031</v>
      </c>
      <c r="E491" s="105" t="s">
        <v>44</v>
      </c>
      <c r="F491" s="101" t="str">
        <f t="shared" si="17"/>
        <v>-</v>
      </c>
      <c r="G491" s="106" t="s">
        <v>53</v>
      </c>
      <c r="H491" s="105"/>
      <c r="I491" s="106" t="s">
        <v>1032</v>
      </c>
      <c r="J491" s="107" t="s">
        <v>54</v>
      </c>
      <c r="K491" s="108"/>
      <c r="L491" s="106"/>
      <c r="M491" s="110"/>
      <c r="N491" s="105" t="s">
        <v>78</v>
      </c>
      <c r="O491" s="105" t="str">
        <f t="shared" si="18"/>
        <v/>
      </c>
      <c r="P491" s="105"/>
      <c r="Q491" s="105" t="s">
        <v>77</v>
      </c>
      <c r="R491" s="105" t="s">
        <v>77</v>
      </c>
      <c r="S491" s="105"/>
      <c r="T491" s="105"/>
      <c r="U491" s="105"/>
      <c r="V491" s="105"/>
      <c r="W491" s="105" t="s">
        <v>80</v>
      </c>
      <c r="X491" s="105"/>
      <c r="Y491" s="105"/>
    </row>
    <row r="492" spans="1:25" s="99" customFormat="1" ht="26.25" customHeight="1">
      <c r="A492" s="100">
        <v>4233</v>
      </c>
      <c r="B492" s="101" t="s">
        <v>11</v>
      </c>
      <c r="C492" s="105" t="s">
        <v>52</v>
      </c>
      <c r="D492" s="105" t="s">
        <v>1033</v>
      </c>
      <c r="E492" s="105" t="s">
        <v>44</v>
      </c>
      <c r="F492" s="101" t="str">
        <f t="shared" si="17"/>
        <v>-</v>
      </c>
      <c r="G492" s="106" t="s">
        <v>53</v>
      </c>
      <c r="H492" s="105"/>
      <c r="I492" s="106" t="s">
        <v>1034</v>
      </c>
      <c r="J492" s="107" t="s">
        <v>54</v>
      </c>
      <c r="K492" s="108"/>
      <c r="L492" s="106"/>
      <c r="M492" s="110"/>
      <c r="N492" s="105" t="s">
        <v>78</v>
      </c>
      <c r="O492" s="105" t="str">
        <f t="shared" si="18"/>
        <v/>
      </c>
      <c r="P492" s="105"/>
      <c r="Q492" s="105" t="s">
        <v>77</v>
      </c>
      <c r="R492" s="105" t="s">
        <v>77</v>
      </c>
      <c r="S492" s="105"/>
      <c r="T492" s="105"/>
      <c r="U492" s="105"/>
      <c r="V492" s="105"/>
      <c r="W492" s="105" t="s">
        <v>80</v>
      </c>
      <c r="X492" s="105"/>
      <c r="Y492" s="105"/>
    </row>
    <row r="493" spans="1:25" s="99" customFormat="1" ht="26.25" customHeight="1">
      <c r="A493" s="100">
        <v>4234</v>
      </c>
      <c r="B493" s="101" t="s">
        <v>11</v>
      </c>
      <c r="C493" s="105" t="s">
        <v>52</v>
      </c>
      <c r="D493" s="105" t="s">
        <v>1035</v>
      </c>
      <c r="E493" s="105" t="s">
        <v>44</v>
      </c>
      <c r="F493" s="101" t="str">
        <f t="shared" si="17"/>
        <v>-</v>
      </c>
      <c r="G493" s="106" t="s">
        <v>53</v>
      </c>
      <c r="H493" s="105"/>
      <c r="I493" s="106" t="s">
        <v>1036</v>
      </c>
      <c r="J493" s="107" t="s">
        <v>54</v>
      </c>
      <c r="K493" s="108"/>
      <c r="L493" s="106"/>
      <c r="M493" s="110"/>
      <c r="N493" s="105" t="s">
        <v>78</v>
      </c>
      <c r="O493" s="105" t="str">
        <f t="shared" si="18"/>
        <v/>
      </c>
      <c r="P493" s="105"/>
      <c r="Q493" s="105" t="s">
        <v>77</v>
      </c>
      <c r="R493" s="105" t="s">
        <v>77</v>
      </c>
      <c r="S493" s="105"/>
      <c r="T493" s="105"/>
      <c r="U493" s="105"/>
      <c r="V493" s="105"/>
      <c r="W493" s="105" t="s">
        <v>80</v>
      </c>
      <c r="X493" s="105"/>
      <c r="Y493" s="105"/>
    </row>
    <row r="494" spans="1:25" s="99" customFormat="1" ht="26.25" customHeight="1">
      <c r="A494" s="100">
        <v>4235</v>
      </c>
      <c r="B494" s="101" t="s">
        <v>11</v>
      </c>
      <c r="C494" s="105" t="s">
        <v>52</v>
      </c>
      <c r="D494" s="105" t="s">
        <v>1037</v>
      </c>
      <c r="E494" s="105" t="s">
        <v>44</v>
      </c>
      <c r="F494" s="101" t="str">
        <f t="shared" si="17"/>
        <v>-</v>
      </c>
      <c r="G494" s="106" t="s">
        <v>53</v>
      </c>
      <c r="H494" s="105"/>
      <c r="I494" s="106" t="s">
        <v>1038</v>
      </c>
      <c r="J494" s="107" t="s">
        <v>54</v>
      </c>
      <c r="K494" s="108"/>
      <c r="L494" s="106"/>
      <c r="M494" s="110"/>
      <c r="N494" s="105" t="s">
        <v>78</v>
      </c>
      <c r="O494" s="105" t="str">
        <f t="shared" si="18"/>
        <v/>
      </c>
      <c r="P494" s="105"/>
      <c r="Q494" s="105" t="s">
        <v>77</v>
      </c>
      <c r="R494" s="105" t="s">
        <v>77</v>
      </c>
      <c r="S494" s="105"/>
      <c r="T494" s="105"/>
      <c r="U494" s="105"/>
      <c r="V494" s="105"/>
      <c r="W494" s="105" t="s">
        <v>80</v>
      </c>
      <c r="X494" s="105"/>
      <c r="Y494" s="105"/>
    </row>
    <row r="495" spans="1:25" s="99" customFormat="1" ht="26.25" customHeight="1">
      <c r="A495" s="100">
        <v>4236</v>
      </c>
      <c r="B495" s="101" t="s">
        <v>11</v>
      </c>
      <c r="C495" s="105" t="s">
        <v>52</v>
      </c>
      <c r="D495" s="105" t="s">
        <v>1039</v>
      </c>
      <c r="E495" s="105" t="s">
        <v>44</v>
      </c>
      <c r="F495" s="101" t="str">
        <f t="shared" si="17"/>
        <v>-</v>
      </c>
      <c r="G495" s="106" t="s">
        <v>53</v>
      </c>
      <c r="H495" s="105"/>
      <c r="I495" s="106" t="s">
        <v>1040</v>
      </c>
      <c r="J495" s="107" t="s">
        <v>54</v>
      </c>
      <c r="K495" s="108"/>
      <c r="L495" s="106"/>
      <c r="M495" s="110"/>
      <c r="N495" s="105" t="s">
        <v>78</v>
      </c>
      <c r="O495" s="105" t="str">
        <f t="shared" si="18"/>
        <v/>
      </c>
      <c r="P495" s="105"/>
      <c r="Q495" s="105" t="s">
        <v>77</v>
      </c>
      <c r="R495" s="105" t="s">
        <v>77</v>
      </c>
      <c r="S495" s="105"/>
      <c r="T495" s="105"/>
      <c r="U495" s="105"/>
      <c r="V495" s="105"/>
      <c r="W495" s="105" t="s">
        <v>80</v>
      </c>
      <c r="X495" s="105"/>
      <c r="Y495" s="105"/>
    </row>
    <row r="496" spans="1:25" s="99" customFormat="1" ht="26.25" customHeight="1">
      <c r="A496" s="100">
        <v>4237</v>
      </c>
      <c r="B496" s="101" t="s">
        <v>11</v>
      </c>
      <c r="C496" s="105" t="s">
        <v>52</v>
      </c>
      <c r="D496" s="105" t="s">
        <v>1041</v>
      </c>
      <c r="E496" s="105" t="s">
        <v>44</v>
      </c>
      <c r="F496" s="101" t="str">
        <f t="shared" si="17"/>
        <v>-</v>
      </c>
      <c r="G496" s="106" t="s">
        <v>53</v>
      </c>
      <c r="H496" s="105"/>
      <c r="I496" s="106" t="s">
        <v>1042</v>
      </c>
      <c r="J496" s="107" t="s">
        <v>54</v>
      </c>
      <c r="K496" s="108"/>
      <c r="L496" s="106"/>
      <c r="M496" s="110"/>
      <c r="N496" s="105" t="s">
        <v>78</v>
      </c>
      <c r="O496" s="105" t="str">
        <f t="shared" si="18"/>
        <v/>
      </c>
      <c r="P496" s="105"/>
      <c r="Q496" s="105" t="s">
        <v>77</v>
      </c>
      <c r="R496" s="105" t="s">
        <v>77</v>
      </c>
      <c r="S496" s="105"/>
      <c r="T496" s="105"/>
      <c r="U496" s="105"/>
      <c r="V496" s="105"/>
      <c r="W496" s="105" t="s">
        <v>80</v>
      </c>
      <c r="X496" s="105"/>
      <c r="Y496" s="105"/>
    </row>
    <row r="497" spans="1:25" s="99" customFormat="1" ht="26.25" customHeight="1">
      <c r="A497" s="100">
        <v>4238</v>
      </c>
      <c r="B497" s="101" t="s">
        <v>11</v>
      </c>
      <c r="C497" s="105" t="s">
        <v>52</v>
      </c>
      <c r="D497" s="105" t="s">
        <v>1043</v>
      </c>
      <c r="E497" s="105" t="s">
        <v>44</v>
      </c>
      <c r="F497" s="101" t="str">
        <f t="shared" si="17"/>
        <v>-</v>
      </c>
      <c r="G497" s="106" t="s">
        <v>53</v>
      </c>
      <c r="H497" s="105"/>
      <c r="I497" s="106" t="s">
        <v>1044</v>
      </c>
      <c r="J497" s="107" t="s">
        <v>54</v>
      </c>
      <c r="K497" s="108"/>
      <c r="L497" s="106"/>
      <c r="M497" s="110"/>
      <c r="N497" s="105" t="s">
        <v>78</v>
      </c>
      <c r="O497" s="105" t="str">
        <f t="shared" si="18"/>
        <v/>
      </c>
      <c r="P497" s="105"/>
      <c r="Q497" s="105" t="s">
        <v>77</v>
      </c>
      <c r="R497" s="105" t="s">
        <v>77</v>
      </c>
      <c r="S497" s="105"/>
      <c r="T497" s="105"/>
      <c r="U497" s="105"/>
      <c r="V497" s="105"/>
      <c r="W497" s="105" t="s">
        <v>80</v>
      </c>
      <c r="X497" s="105"/>
      <c r="Y497" s="105"/>
    </row>
    <row r="498" spans="1:25" s="99" customFormat="1" ht="26.25" customHeight="1">
      <c r="A498" s="100">
        <v>4239</v>
      </c>
      <c r="B498" s="101" t="s">
        <v>11</v>
      </c>
      <c r="C498" s="105" t="s">
        <v>52</v>
      </c>
      <c r="D498" s="105" t="s">
        <v>1045</v>
      </c>
      <c r="E498" s="105" t="s">
        <v>44</v>
      </c>
      <c r="F498" s="101" t="str">
        <f t="shared" si="17"/>
        <v>-</v>
      </c>
      <c r="G498" s="106" t="s">
        <v>53</v>
      </c>
      <c r="H498" s="105"/>
      <c r="I498" s="106" t="s">
        <v>1046</v>
      </c>
      <c r="J498" s="107" t="s">
        <v>54</v>
      </c>
      <c r="K498" s="108"/>
      <c r="L498" s="106"/>
      <c r="M498" s="110"/>
      <c r="N498" s="105" t="s">
        <v>78</v>
      </c>
      <c r="O498" s="105" t="str">
        <f t="shared" si="18"/>
        <v/>
      </c>
      <c r="P498" s="105"/>
      <c r="Q498" s="105" t="s">
        <v>77</v>
      </c>
      <c r="R498" s="105" t="s">
        <v>77</v>
      </c>
      <c r="S498" s="105"/>
      <c r="T498" s="105"/>
      <c r="U498" s="105"/>
      <c r="V498" s="105"/>
      <c r="W498" s="105" t="s">
        <v>80</v>
      </c>
      <c r="X498" s="105"/>
      <c r="Y498" s="105"/>
    </row>
    <row r="499" spans="1:25" s="99" customFormat="1" ht="26.25" customHeight="1">
      <c r="A499" s="100">
        <v>4240</v>
      </c>
      <c r="B499" s="101" t="s">
        <v>11</v>
      </c>
      <c r="C499" s="105" t="s">
        <v>52</v>
      </c>
      <c r="D499" s="105" t="s">
        <v>1047</v>
      </c>
      <c r="E499" s="105" t="s">
        <v>44</v>
      </c>
      <c r="F499" s="101" t="str">
        <f t="shared" si="17"/>
        <v>-</v>
      </c>
      <c r="G499" s="106" t="s">
        <v>53</v>
      </c>
      <c r="H499" s="105"/>
      <c r="I499" s="106" t="s">
        <v>1048</v>
      </c>
      <c r="J499" s="107" t="s">
        <v>54</v>
      </c>
      <c r="K499" s="108"/>
      <c r="L499" s="106"/>
      <c r="M499" s="110"/>
      <c r="N499" s="105" t="s">
        <v>78</v>
      </c>
      <c r="O499" s="105" t="str">
        <f t="shared" si="18"/>
        <v/>
      </c>
      <c r="P499" s="105"/>
      <c r="Q499" s="105" t="s">
        <v>77</v>
      </c>
      <c r="R499" s="105" t="s">
        <v>77</v>
      </c>
      <c r="S499" s="105"/>
      <c r="T499" s="105"/>
      <c r="U499" s="105"/>
      <c r="V499" s="105"/>
      <c r="W499" s="105" t="s">
        <v>80</v>
      </c>
      <c r="X499" s="105"/>
      <c r="Y499" s="105"/>
    </row>
    <row r="500" spans="1:25" s="99" customFormat="1" ht="26.25" customHeight="1">
      <c r="A500" s="100">
        <v>4241</v>
      </c>
      <c r="B500" s="101" t="s">
        <v>11</v>
      </c>
      <c r="C500" s="105" t="s">
        <v>52</v>
      </c>
      <c r="D500" s="105" t="s">
        <v>1049</v>
      </c>
      <c r="E500" s="105" t="s">
        <v>44</v>
      </c>
      <c r="F500" s="101" t="str">
        <f t="shared" si="17"/>
        <v>-</v>
      </c>
      <c r="G500" s="106" t="s">
        <v>53</v>
      </c>
      <c r="H500" s="105"/>
      <c r="I500" s="106" t="s">
        <v>1050</v>
      </c>
      <c r="J500" s="107" t="s">
        <v>54</v>
      </c>
      <c r="K500" s="108"/>
      <c r="L500" s="106"/>
      <c r="M500" s="110"/>
      <c r="N500" s="105" t="s">
        <v>78</v>
      </c>
      <c r="O500" s="105" t="str">
        <f t="shared" si="18"/>
        <v/>
      </c>
      <c r="P500" s="105"/>
      <c r="Q500" s="105" t="s">
        <v>77</v>
      </c>
      <c r="R500" s="105" t="s">
        <v>77</v>
      </c>
      <c r="S500" s="105"/>
      <c r="T500" s="105"/>
      <c r="U500" s="105"/>
      <c r="V500" s="105"/>
      <c r="W500" s="105" t="s">
        <v>80</v>
      </c>
      <c r="X500" s="105"/>
      <c r="Y500" s="105"/>
    </row>
    <row r="501" spans="1:25" s="99" customFormat="1" ht="26.25" customHeight="1">
      <c r="A501" s="100">
        <v>4242</v>
      </c>
      <c r="B501" s="101" t="s">
        <v>11</v>
      </c>
      <c r="C501" s="105" t="s">
        <v>52</v>
      </c>
      <c r="D501" s="105" t="s">
        <v>1051</v>
      </c>
      <c r="E501" s="105" t="s">
        <v>44</v>
      </c>
      <c r="F501" s="101" t="str">
        <f t="shared" si="17"/>
        <v>-</v>
      </c>
      <c r="G501" s="106" t="s">
        <v>53</v>
      </c>
      <c r="H501" s="105"/>
      <c r="I501" s="106" t="s">
        <v>1052</v>
      </c>
      <c r="J501" s="107" t="s">
        <v>54</v>
      </c>
      <c r="K501" s="108"/>
      <c r="L501" s="106"/>
      <c r="M501" s="110"/>
      <c r="N501" s="105" t="s">
        <v>78</v>
      </c>
      <c r="O501" s="105" t="str">
        <f t="shared" si="18"/>
        <v/>
      </c>
      <c r="P501" s="105"/>
      <c r="Q501" s="105" t="s">
        <v>77</v>
      </c>
      <c r="R501" s="105" t="s">
        <v>77</v>
      </c>
      <c r="S501" s="105"/>
      <c r="T501" s="105"/>
      <c r="U501" s="105"/>
      <c r="V501" s="105"/>
      <c r="W501" s="105" t="s">
        <v>80</v>
      </c>
      <c r="X501" s="105"/>
      <c r="Y501" s="105"/>
    </row>
    <row r="502" spans="1:25" s="99" customFormat="1" ht="26.25" customHeight="1">
      <c r="A502" s="100">
        <v>4243</v>
      </c>
      <c r="B502" s="101" t="s">
        <v>11</v>
      </c>
      <c r="C502" s="105" t="s">
        <v>52</v>
      </c>
      <c r="D502" s="105" t="s">
        <v>1053</v>
      </c>
      <c r="E502" s="105" t="s">
        <v>44</v>
      </c>
      <c r="F502" s="101" t="str">
        <f t="shared" si="17"/>
        <v>-</v>
      </c>
      <c r="G502" s="106" t="s">
        <v>53</v>
      </c>
      <c r="H502" s="105"/>
      <c r="I502" s="106" t="s">
        <v>1054</v>
      </c>
      <c r="J502" s="107" t="s">
        <v>54</v>
      </c>
      <c r="K502" s="108"/>
      <c r="L502" s="106"/>
      <c r="M502" s="110"/>
      <c r="N502" s="105" t="s">
        <v>78</v>
      </c>
      <c r="O502" s="105" t="str">
        <f t="shared" si="18"/>
        <v/>
      </c>
      <c r="P502" s="105"/>
      <c r="Q502" s="105" t="s">
        <v>77</v>
      </c>
      <c r="R502" s="105" t="s">
        <v>77</v>
      </c>
      <c r="S502" s="105"/>
      <c r="T502" s="105"/>
      <c r="U502" s="105"/>
      <c r="V502" s="105"/>
      <c r="W502" s="105" t="s">
        <v>80</v>
      </c>
      <c r="X502" s="105"/>
      <c r="Y502" s="105"/>
    </row>
    <row r="503" spans="1:25" s="99" customFormat="1" ht="26.25" customHeight="1">
      <c r="A503" s="100">
        <v>4244</v>
      </c>
      <c r="B503" s="101" t="s">
        <v>11</v>
      </c>
      <c r="C503" s="105" t="s">
        <v>52</v>
      </c>
      <c r="D503" s="105" t="s">
        <v>1055</v>
      </c>
      <c r="E503" s="105" t="s">
        <v>44</v>
      </c>
      <c r="F503" s="101" t="str">
        <f t="shared" si="17"/>
        <v>-</v>
      </c>
      <c r="G503" s="106" t="s">
        <v>53</v>
      </c>
      <c r="H503" s="105"/>
      <c r="I503" s="106" t="s">
        <v>1056</v>
      </c>
      <c r="J503" s="107" t="s">
        <v>54</v>
      </c>
      <c r="K503" s="108"/>
      <c r="L503" s="106"/>
      <c r="M503" s="110"/>
      <c r="N503" s="105" t="s">
        <v>78</v>
      </c>
      <c r="O503" s="105" t="str">
        <f t="shared" si="18"/>
        <v/>
      </c>
      <c r="P503" s="105"/>
      <c r="Q503" s="105" t="s">
        <v>77</v>
      </c>
      <c r="R503" s="105" t="s">
        <v>77</v>
      </c>
      <c r="S503" s="105"/>
      <c r="T503" s="105"/>
      <c r="U503" s="105"/>
      <c r="V503" s="105"/>
      <c r="W503" s="105" t="s">
        <v>80</v>
      </c>
      <c r="X503" s="105"/>
      <c r="Y503" s="105"/>
    </row>
    <row r="504" spans="1:25" s="99" customFormat="1" ht="26.25" customHeight="1">
      <c r="A504" s="100">
        <v>4245</v>
      </c>
      <c r="B504" s="101" t="s">
        <v>11</v>
      </c>
      <c r="C504" s="105" t="s">
        <v>52</v>
      </c>
      <c r="D504" s="105" t="s">
        <v>1057</v>
      </c>
      <c r="E504" s="105" t="s">
        <v>44</v>
      </c>
      <c r="F504" s="101" t="str">
        <f t="shared" si="17"/>
        <v>-</v>
      </c>
      <c r="G504" s="106" t="s">
        <v>53</v>
      </c>
      <c r="H504" s="105"/>
      <c r="I504" s="106" t="s">
        <v>1058</v>
      </c>
      <c r="J504" s="107" t="s">
        <v>54</v>
      </c>
      <c r="K504" s="108"/>
      <c r="L504" s="106"/>
      <c r="M504" s="110"/>
      <c r="N504" s="105" t="s">
        <v>78</v>
      </c>
      <c r="O504" s="105" t="str">
        <f t="shared" si="18"/>
        <v/>
      </c>
      <c r="P504" s="105"/>
      <c r="Q504" s="105" t="s">
        <v>77</v>
      </c>
      <c r="R504" s="105" t="s">
        <v>77</v>
      </c>
      <c r="S504" s="105"/>
      <c r="T504" s="105"/>
      <c r="U504" s="105"/>
      <c r="V504" s="105"/>
      <c r="W504" s="105" t="s">
        <v>80</v>
      </c>
      <c r="X504" s="105"/>
      <c r="Y504" s="105"/>
    </row>
    <row r="505" spans="1:25" s="99" customFormat="1" ht="26.25" customHeight="1">
      <c r="A505" s="100">
        <v>4246</v>
      </c>
      <c r="B505" s="101" t="s">
        <v>11</v>
      </c>
      <c r="C505" s="105" t="s">
        <v>52</v>
      </c>
      <c r="D505" s="105" t="s">
        <v>1059</v>
      </c>
      <c r="E505" s="105" t="s">
        <v>44</v>
      </c>
      <c r="F505" s="101" t="str">
        <f t="shared" si="17"/>
        <v>-</v>
      </c>
      <c r="G505" s="106" t="s">
        <v>53</v>
      </c>
      <c r="H505" s="105"/>
      <c r="I505" s="106" t="s">
        <v>1060</v>
      </c>
      <c r="J505" s="107" t="s">
        <v>54</v>
      </c>
      <c r="K505" s="108"/>
      <c r="L505" s="106"/>
      <c r="M505" s="110"/>
      <c r="N505" s="105" t="s">
        <v>78</v>
      </c>
      <c r="O505" s="105" t="str">
        <f t="shared" si="18"/>
        <v/>
      </c>
      <c r="P505" s="105"/>
      <c r="Q505" s="105" t="s">
        <v>77</v>
      </c>
      <c r="R505" s="105" t="s">
        <v>77</v>
      </c>
      <c r="S505" s="105"/>
      <c r="T505" s="105"/>
      <c r="U505" s="105"/>
      <c r="V505" s="105"/>
      <c r="W505" s="105" t="s">
        <v>80</v>
      </c>
      <c r="X505" s="105"/>
      <c r="Y505" s="105"/>
    </row>
    <row r="506" spans="1:25" s="99" customFormat="1" ht="26.25" customHeight="1">
      <c r="A506" s="100">
        <v>4247</v>
      </c>
      <c r="B506" s="101" t="s">
        <v>11</v>
      </c>
      <c r="C506" s="105" t="s">
        <v>52</v>
      </c>
      <c r="D506" s="105" t="s">
        <v>1061</v>
      </c>
      <c r="E506" s="105" t="s">
        <v>44</v>
      </c>
      <c r="F506" s="101" t="str">
        <f t="shared" si="17"/>
        <v>-</v>
      </c>
      <c r="G506" s="106" t="s">
        <v>53</v>
      </c>
      <c r="H506" s="105"/>
      <c r="I506" s="106" t="s">
        <v>1062</v>
      </c>
      <c r="J506" s="107" t="s">
        <v>54</v>
      </c>
      <c r="K506" s="108"/>
      <c r="L506" s="106"/>
      <c r="M506" s="110"/>
      <c r="N506" s="105" t="s">
        <v>78</v>
      </c>
      <c r="O506" s="105" t="str">
        <f t="shared" si="18"/>
        <v/>
      </c>
      <c r="P506" s="105"/>
      <c r="Q506" s="105" t="s">
        <v>77</v>
      </c>
      <c r="R506" s="105" t="s">
        <v>77</v>
      </c>
      <c r="S506" s="105"/>
      <c r="T506" s="105"/>
      <c r="U506" s="105"/>
      <c r="V506" s="105"/>
      <c r="W506" s="105" t="s">
        <v>80</v>
      </c>
      <c r="X506" s="105"/>
      <c r="Y506" s="105"/>
    </row>
    <row r="507" spans="1:25" s="99" customFormat="1" ht="26.25" customHeight="1">
      <c r="A507" s="100">
        <v>4248</v>
      </c>
      <c r="B507" s="101" t="s">
        <v>11</v>
      </c>
      <c r="C507" s="105" t="s">
        <v>52</v>
      </c>
      <c r="D507" s="105" t="s">
        <v>1063</v>
      </c>
      <c r="E507" s="105" t="s">
        <v>44</v>
      </c>
      <c r="F507" s="101" t="str">
        <f t="shared" si="17"/>
        <v>-</v>
      </c>
      <c r="G507" s="106" t="s">
        <v>53</v>
      </c>
      <c r="H507" s="105"/>
      <c r="I507" s="106" t="s">
        <v>1064</v>
      </c>
      <c r="J507" s="107" t="s">
        <v>54</v>
      </c>
      <c r="K507" s="108"/>
      <c r="L507" s="106"/>
      <c r="M507" s="110"/>
      <c r="N507" s="105" t="s">
        <v>78</v>
      </c>
      <c r="O507" s="105" t="str">
        <f t="shared" si="18"/>
        <v/>
      </c>
      <c r="P507" s="105"/>
      <c r="Q507" s="105" t="s">
        <v>77</v>
      </c>
      <c r="R507" s="105" t="s">
        <v>77</v>
      </c>
      <c r="S507" s="105"/>
      <c r="T507" s="105"/>
      <c r="U507" s="105"/>
      <c r="V507" s="105"/>
      <c r="W507" s="105" t="s">
        <v>80</v>
      </c>
      <c r="X507" s="105"/>
      <c r="Y507" s="105"/>
    </row>
    <row r="508" spans="1:25" s="99" customFormat="1" ht="26.25" customHeight="1">
      <c r="A508" s="100">
        <v>4249</v>
      </c>
      <c r="B508" s="101" t="s">
        <v>11</v>
      </c>
      <c r="C508" s="105" t="s">
        <v>52</v>
      </c>
      <c r="D508" s="105" t="s">
        <v>1065</v>
      </c>
      <c r="E508" s="105" t="s">
        <v>44</v>
      </c>
      <c r="F508" s="101" t="str">
        <f t="shared" si="17"/>
        <v>-</v>
      </c>
      <c r="G508" s="106" t="s">
        <v>53</v>
      </c>
      <c r="H508" s="105"/>
      <c r="I508" s="106" t="s">
        <v>1066</v>
      </c>
      <c r="J508" s="107" t="s">
        <v>54</v>
      </c>
      <c r="K508" s="108"/>
      <c r="L508" s="106"/>
      <c r="M508" s="110"/>
      <c r="N508" s="105" t="s">
        <v>78</v>
      </c>
      <c r="O508" s="105" t="str">
        <f t="shared" si="18"/>
        <v/>
      </c>
      <c r="P508" s="105"/>
      <c r="Q508" s="105" t="s">
        <v>77</v>
      </c>
      <c r="R508" s="105" t="s">
        <v>77</v>
      </c>
      <c r="S508" s="105"/>
      <c r="T508" s="105"/>
      <c r="U508" s="105"/>
      <c r="V508" s="105"/>
      <c r="W508" s="105" t="s">
        <v>80</v>
      </c>
      <c r="X508" s="105"/>
      <c r="Y508" s="105"/>
    </row>
    <row r="509" spans="1:25" s="99" customFormat="1" ht="26.25" customHeight="1">
      <c r="A509" s="100">
        <v>4250</v>
      </c>
      <c r="B509" s="101" t="s">
        <v>11</v>
      </c>
      <c r="C509" s="105" t="s">
        <v>52</v>
      </c>
      <c r="D509" s="105" t="s">
        <v>1067</v>
      </c>
      <c r="E509" s="105" t="s">
        <v>44</v>
      </c>
      <c r="F509" s="101" t="str">
        <f t="shared" si="17"/>
        <v>-</v>
      </c>
      <c r="G509" s="106" t="s">
        <v>53</v>
      </c>
      <c r="H509" s="105"/>
      <c r="I509" s="106" t="s">
        <v>1068</v>
      </c>
      <c r="J509" s="107" t="s">
        <v>54</v>
      </c>
      <c r="K509" s="108"/>
      <c r="L509" s="106"/>
      <c r="M509" s="110"/>
      <c r="N509" s="105" t="s">
        <v>78</v>
      </c>
      <c r="O509" s="105" t="str">
        <f t="shared" si="18"/>
        <v/>
      </c>
      <c r="P509" s="105"/>
      <c r="Q509" s="105" t="s">
        <v>77</v>
      </c>
      <c r="R509" s="105" t="s">
        <v>77</v>
      </c>
      <c r="S509" s="105"/>
      <c r="T509" s="105"/>
      <c r="U509" s="105"/>
      <c r="V509" s="105"/>
      <c r="W509" s="105" t="s">
        <v>80</v>
      </c>
      <c r="X509" s="105"/>
      <c r="Y509" s="105"/>
    </row>
    <row r="510" spans="1:25" s="99" customFormat="1" ht="26.25" customHeight="1">
      <c r="A510" s="100">
        <v>4251</v>
      </c>
      <c r="B510" s="101" t="s">
        <v>11</v>
      </c>
      <c r="C510" s="105" t="s">
        <v>52</v>
      </c>
      <c r="D510" s="105" t="s">
        <v>1069</v>
      </c>
      <c r="E510" s="105" t="s">
        <v>44</v>
      </c>
      <c r="F510" s="101" t="str">
        <f t="shared" si="17"/>
        <v>-</v>
      </c>
      <c r="G510" s="106" t="s">
        <v>53</v>
      </c>
      <c r="H510" s="105"/>
      <c r="I510" s="106" t="s">
        <v>1070</v>
      </c>
      <c r="J510" s="107" t="s">
        <v>54</v>
      </c>
      <c r="K510" s="108"/>
      <c r="L510" s="106"/>
      <c r="M510" s="110"/>
      <c r="N510" s="105" t="s">
        <v>78</v>
      </c>
      <c r="O510" s="105" t="str">
        <f t="shared" si="18"/>
        <v/>
      </c>
      <c r="P510" s="105"/>
      <c r="Q510" s="105" t="s">
        <v>77</v>
      </c>
      <c r="R510" s="105" t="s">
        <v>77</v>
      </c>
      <c r="S510" s="105"/>
      <c r="T510" s="105"/>
      <c r="U510" s="105"/>
      <c r="V510" s="105"/>
      <c r="W510" s="105" t="s">
        <v>80</v>
      </c>
      <c r="X510" s="105"/>
      <c r="Y510" s="105"/>
    </row>
    <row r="511" spans="1:25" s="99" customFormat="1" ht="26.25" customHeight="1">
      <c r="A511" s="100">
        <v>4252</v>
      </c>
      <c r="B511" s="101" t="s">
        <v>11</v>
      </c>
      <c r="C511" s="105" t="s">
        <v>52</v>
      </c>
      <c r="D511" s="105" t="s">
        <v>1071</v>
      </c>
      <c r="E511" s="105" t="s">
        <v>44</v>
      </c>
      <c r="F511" s="101" t="str">
        <f t="shared" si="17"/>
        <v>-</v>
      </c>
      <c r="G511" s="106" t="s">
        <v>53</v>
      </c>
      <c r="H511" s="105"/>
      <c r="I511" s="106" t="s">
        <v>1072</v>
      </c>
      <c r="J511" s="107" t="s">
        <v>54</v>
      </c>
      <c r="K511" s="108"/>
      <c r="L511" s="106"/>
      <c r="M511" s="110"/>
      <c r="N511" s="105" t="s">
        <v>78</v>
      </c>
      <c r="O511" s="105" t="str">
        <f t="shared" si="18"/>
        <v/>
      </c>
      <c r="P511" s="105"/>
      <c r="Q511" s="105" t="s">
        <v>77</v>
      </c>
      <c r="R511" s="105" t="s">
        <v>77</v>
      </c>
      <c r="S511" s="105"/>
      <c r="T511" s="105"/>
      <c r="U511" s="105"/>
      <c r="V511" s="105"/>
      <c r="W511" s="105" t="s">
        <v>80</v>
      </c>
      <c r="X511" s="105"/>
      <c r="Y511" s="105"/>
    </row>
    <row r="512" spans="1:25" s="99" customFormat="1" ht="26.25" customHeight="1">
      <c r="A512" s="100">
        <v>4253</v>
      </c>
      <c r="B512" s="101" t="s">
        <v>11</v>
      </c>
      <c r="C512" s="105" t="s">
        <v>52</v>
      </c>
      <c r="D512" s="105" t="s">
        <v>1073</v>
      </c>
      <c r="E512" s="105" t="s">
        <v>44</v>
      </c>
      <c r="F512" s="101" t="str">
        <f t="shared" si="17"/>
        <v>-</v>
      </c>
      <c r="G512" s="106" t="s">
        <v>53</v>
      </c>
      <c r="H512" s="105"/>
      <c r="I512" s="106" t="s">
        <v>1074</v>
      </c>
      <c r="J512" s="107" t="s">
        <v>54</v>
      </c>
      <c r="K512" s="108"/>
      <c r="L512" s="106"/>
      <c r="M512" s="110"/>
      <c r="N512" s="105" t="s">
        <v>78</v>
      </c>
      <c r="O512" s="105" t="str">
        <f t="shared" si="18"/>
        <v/>
      </c>
      <c r="P512" s="105"/>
      <c r="Q512" s="105" t="s">
        <v>77</v>
      </c>
      <c r="R512" s="105" t="s">
        <v>77</v>
      </c>
      <c r="S512" s="105"/>
      <c r="T512" s="105"/>
      <c r="U512" s="105"/>
      <c r="V512" s="105"/>
      <c r="W512" s="105" t="s">
        <v>80</v>
      </c>
      <c r="X512" s="105"/>
      <c r="Y512" s="105"/>
    </row>
    <row r="513" spans="1:25" s="99" customFormat="1" ht="26.25" customHeight="1">
      <c r="A513" s="100">
        <v>4254</v>
      </c>
      <c r="B513" s="101" t="s">
        <v>11</v>
      </c>
      <c r="C513" s="105" t="s">
        <v>52</v>
      </c>
      <c r="D513" s="105" t="s">
        <v>1075</v>
      </c>
      <c r="E513" s="105" t="s">
        <v>44</v>
      </c>
      <c r="F513" s="101" t="str">
        <f t="shared" si="17"/>
        <v>-</v>
      </c>
      <c r="G513" s="106" t="s">
        <v>53</v>
      </c>
      <c r="H513" s="105"/>
      <c r="I513" s="106" t="s">
        <v>1076</v>
      </c>
      <c r="J513" s="107" t="s">
        <v>54</v>
      </c>
      <c r="K513" s="108"/>
      <c r="L513" s="106"/>
      <c r="M513" s="110"/>
      <c r="N513" s="105" t="s">
        <v>78</v>
      </c>
      <c r="O513" s="105" t="str">
        <f t="shared" si="18"/>
        <v/>
      </c>
      <c r="P513" s="105"/>
      <c r="Q513" s="105" t="s">
        <v>77</v>
      </c>
      <c r="R513" s="105" t="s">
        <v>77</v>
      </c>
      <c r="S513" s="105"/>
      <c r="T513" s="105"/>
      <c r="U513" s="105"/>
      <c r="V513" s="105"/>
      <c r="W513" s="105" t="s">
        <v>80</v>
      </c>
      <c r="X513" s="105"/>
      <c r="Y513" s="105"/>
    </row>
    <row r="514" spans="1:25" s="99" customFormat="1" ht="26.25" customHeight="1">
      <c r="A514" s="100">
        <v>4255</v>
      </c>
      <c r="B514" s="101" t="s">
        <v>11</v>
      </c>
      <c r="C514" s="105" t="s">
        <v>52</v>
      </c>
      <c r="D514" s="105" t="s">
        <v>1077</v>
      </c>
      <c r="E514" s="105" t="s">
        <v>44</v>
      </c>
      <c r="F514" s="101" t="str">
        <f t="shared" si="17"/>
        <v>-</v>
      </c>
      <c r="G514" s="106" t="s">
        <v>53</v>
      </c>
      <c r="H514" s="105"/>
      <c r="I514" s="106" t="s">
        <v>1078</v>
      </c>
      <c r="J514" s="107" t="s">
        <v>54</v>
      </c>
      <c r="K514" s="108"/>
      <c r="L514" s="106"/>
      <c r="M514" s="110"/>
      <c r="N514" s="105" t="s">
        <v>78</v>
      </c>
      <c r="O514" s="105" t="str">
        <f t="shared" si="18"/>
        <v/>
      </c>
      <c r="P514" s="105"/>
      <c r="Q514" s="105" t="s">
        <v>77</v>
      </c>
      <c r="R514" s="105" t="s">
        <v>77</v>
      </c>
      <c r="S514" s="105"/>
      <c r="T514" s="105"/>
      <c r="U514" s="105"/>
      <c r="V514" s="105"/>
      <c r="W514" s="105" t="s">
        <v>80</v>
      </c>
      <c r="X514" s="105"/>
      <c r="Y514" s="105"/>
    </row>
    <row r="515" spans="1:25" s="99" customFormat="1" ht="26.25" customHeight="1">
      <c r="A515" s="100">
        <v>4256</v>
      </c>
      <c r="B515" s="101" t="s">
        <v>11</v>
      </c>
      <c r="C515" s="105" t="s">
        <v>52</v>
      </c>
      <c r="D515" s="105" t="s">
        <v>1079</v>
      </c>
      <c r="E515" s="105" t="s">
        <v>44</v>
      </c>
      <c r="F515" s="101" t="str">
        <f t="shared" si="17"/>
        <v>-</v>
      </c>
      <c r="G515" s="106" t="s">
        <v>53</v>
      </c>
      <c r="H515" s="105"/>
      <c r="I515" s="106" t="s">
        <v>1080</v>
      </c>
      <c r="J515" s="107" t="s">
        <v>54</v>
      </c>
      <c r="K515" s="108"/>
      <c r="L515" s="106"/>
      <c r="M515" s="110"/>
      <c r="N515" s="105" t="s">
        <v>78</v>
      </c>
      <c r="O515" s="105" t="str">
        <f t="shared" si="18"/>
        <v/>
      </c>
      <c r="P515" s="105"/>
      <c r="Q515" s="105" t="s">
        <v>77</v>
      </c>
      <c r="R515" s="105" t="s">
        <v>77</v>
      </c>
      <c r="S515" s="105"/>
      <c r="T515" s="105"/>
      <c r="U515" s="105"/>
      <c r="V515" s="105"/>
      <c r="W515" s="105" t="s">
        <v>80</v>
      </c>
      <c r="X515" s="105"/>
      <c r="Y515" s="105"/>
    </row>
    <row r="516" spans="1:25" s="99" customFormat="1" ht="26.25" customHeight="1">
      <c r="A516" s="100">
        <v>4257</v>
      </c>
      <c r="B516" s="101" t="s">
        <v>11</v>
      </c>
      <c r="C516" s="105" t="s">
        <v>52</v>
      </c>
      <c r="D516" s="105" t="s">
        <v>1081</v>
      </c>
      <c r="E516" s="105" t="s">
        <v>44</v>
      </c>
      <c r="F516" s="101" t="str">
        <f t="shared" si="17"/>
        <v>-</v>
      </c>
      <c r="G516" s="106" t="s">
        <v>53</v>
      </c>
      <c r="H516" s="105"/>
      <c r="I516" s="106" t="s">
        <v>1082</v>
      </c>
      <c r="J516" s="107" t="s">
        <v>54</v>
      </c>
      <c r="K516" s="108"/>
      <c r="L516" s="106"/>
      <c r="M516" s="110"/>
      <c r="N516" s="105" t="s">
        <v>78</v>
      </c>
      <c r="O516" s="105" t="str">
        <f t="shared" si="18"/>
        <v/>
      </c>
      <c r="P516" s="105"/>
      <c r="Q516" s="105" t="s">
        <v>77</v>
      </c>
      <c r="R516" s="105" t="s">
        <v>77</v>
      </c>
      <c r="S516" s="105"/>
      <c r="T516" s="105"/>
      <c r="U516" s="105"/>
      <c r="V516" s="105"/>
      <c r="W516" s="105" t="s">
        <v>80</v>
      </c>
      <c r="X516" s="105"/>
      <c r="Y516" s="105"/>
    </row>
    <row r="517" spans="1:25" s="99" customFormat="1" ht="26.25" customHeight="1">
      <c r="A517" s="100">
        <v>4258</v>
      </c>
      <c r="B517" s="101" t="s">
        <v>11</v>
      </c>
      <c r="C517" s="105" t="s">
        <v>52</v>
      </c>
      <c r="D517" s="105" t="s">
        <v>1083</v>
      </c>
      <c r="E517" s="105" t="s">
        <v>44</v>
      </c>
      <c r="F517" s="101" t="str">
        <f t="shared" si="17"/>
        <v>-</v>
      </c>
      <c r="G517" s="106" t="s">
        <v>53</v>
      </c>
      <c r="H517" s="105"/>
      <c r="I517" s="106" t="s">
        <v>1084</v>
      </c>
      <c r="J517" s="107" t="s">
        <v>54</v>
      </c>
      <c r="K517" s="108"/>
      <c r="L517" s="106"/>
      <c r="M517" s="110"/>
      <c r="N517" s="105" t="s">
        <v>78</v>
      </c>
      <c r="O517" s="105" t="str">
        <f t="shared" si="18"/>
        <v/>
      </c>
      <c r="P517" s="105"/>
      <c r="Q517" s="105" t="s">
        <v>77</v>
      </c>
      <c r="R517" s="105" t="s">
        <v>77</v>
      </c>
      <c r="S517" s="105"/>
      <c r="T517" s="105"/>
      <c r="U517" s="105"/>
      <c r="V517" s="105"/>
      <c r="W517" s="105" t="s">
        <v>80</v>
      </c>
      <c r="X517" s="105"/>
      <c r="Y517" s="105"/>
    </row>
    <row r="518" spans="1:25" s="99" customFormat="1" ht="26.25" customHeight="1">
      <c r="A518" s="100">
        <v>4259</v>
      </c>
      <c r="B518" s="101" t="s">
        <v>11</v>
      </c>
      <c r="C518" s="105" t="s">
        <v>52</v>
      </c>
      <c r="D518" s="105" t="s">
        <v>1085</v>
      </c>
      <c r="E518" s="105" t="s">
        <v>44</v>
      </c>
      <c r="F518" s="101" t="str">
        <f t="shared" si="17"/>
        <v>-</v>
      </c>
      <c r="G518" s="106" t="s">
        <v>53</v>
      </c>
      <c r="H518" s="105"/>
      <c r="I518" s="106" t="s">
        <v>1086</v>
      </c>
      <c r="J518" s="107" t="s">
        <v>54</v>
      </c>
      <c r="K518" s="108"/>
      <c r="L518" s="106"/>
      <c r="M518" s="110"/>
      <c r="N518" s="105" t="s">
        <v>78</v>
      </c>
      <c r="O518" s="105" t="str">
        <f t="shared" si="18"/>
        <v/>
      </c>
      <c r="P518" s="105"/>
      <c r="Q518" s="105" t="s">
        <v>77</v>
      </c>
      <c r="R518" s="105" t="s">
        <v>77</v>
      </c>
      <c r="S518" s="105"/>
      <c r="T518" s="105"/>
      <c r="U518" s="105"/>
      <c r="V518" s="105"/>
      <c r="W518" s="105" t="s">
        <v>80</v>
      </c>
      <c r="X518" s="105"/>
      <c r="Y518" s="105"/>
    </row>
    <row r="519" spans="1:25" s="99" customFormat="1" ht="26.25" customHeight="1">
      <c r="A519" s="100">
        <v>4260</v>
      </c>
      <c r="B519" s="101" t="s">
        <v>11</v>
      </c>
      <c r="C519" s="105" t="s">
        <v>52</v>
      </c>
      <c r="D519" s="105" t="s">
        <v>1087</v>
      </c>
      <c r="E519" s="105" t="s">
        <v>44</v>
      </c>
      <c r="F519" s="101" t="str">
        <f t="shared" si="17"/>
        <v>-</v>
      </c>
      <c r="G519" s="106" t="s">
        <v>53</v>
      </c>
      <c r="H519" s="105"/>
      <c r="I519" s="106" t="s">
        <v>1088</v>
      </c>
      <c r="J519" s="107" t="s">
        <v>54</v>
      </c>
      <c r="K519" s="108"/>
      <c r="L519" s="106"/>
      <c r="M519" s="110"/>
      <c r="N519" s="105" t="s">
        <v>78</v>
      </c>
      <c r="O519" s="105" t="str">
        <f t="shared" si="18"/>
        <v/>
      </c>
      <c r="P519" s="105"/>
      <c r="Q519" s="105" t="s">
        <v>77</v>
      </c>
      <c r="R519" s="105" t="s">
        <v>77</v>
      </c>
      <c r="S519" s="105"/>
      <c r="T519" s="105"/>
      <c r="U519" s="105"/>
      <c r="V519" s="105"/>
      <c r="W519" s="105" t="s">
        <v>80</v>
      </c>
      <c r="X519" s="105"/>
      <c r="Y519" s="105"/>
    </row>
    <row r="520" spans="1:25" s="99" customFormat="1" ht="26.25" customHeight="1">
      <c r="A520" s="100">
        <v>4261</v>
      </c>
      <c r="B520" s="101" t="s">
        <v>11</v>
      </c>
      <c r="C520" s="105" t="s">
        <v>52</v>
      </c>
      <c r="D520" s="105" t="s">
        <v>1089</v>
      </c>
      <c r="E520" s="105" t="s">
        <v>44</v>
      </c>
      <c r="F520" s="101" t="str">
        <f t="shared" si="17"/>
        <v>-</v>
      </c>
      <c r="G520" s="106" t="s">
        <v>53</v>
      </c>
      <c r="H520" s="105"/>
      <c r="I520" s="106" t="s">
        <v>1090</v>
      </c>
      <c r="J520" s="107" t="s">
        <v>54</v>
      </c>
      <c r="K520" s="108"/>
      <c r="L520" s="106"/>
      <c r="M520" s="110"/>
      <c r="N520" s="105" t="s">
        <v>78</v>
      </c>
      <c r="O520" s="105" t="str">
        <f t="shared" si="18"/>
        <v/>
      </c>
      <c r="P520" s="105"/>
      <c r="Q520" s="105" t="s">
        <v>77</v>
      </c>
      <c r="R520" s="105" t="s">
        <v>77</v>
      </c>
      <c r="S520" s="105"/>
      <c r="T520" s="105"/>
      <c r="U520" s="105"/>
      <c r="V520" s="105"/>
      <c r="W520" s="105" t="s">
        <v>80</v>
      </c>
      <c r="X520" s="105"/>
      <c r="Y520" s="105"/>
    </row>
    <row r="521" spans="1:25" s="99" customFormat="1" ht="26.25" customHeight="1">
      <c r="A521" s="100">
        <v>4262</v>
      </c>
      <c r="B521" s="101" t="s">
        <v>11</v>
      </c>
      <c r="C521" s="105" t="s">
        <v>52</v>
      </c>
      <c r="D521" s="105" t="s">
        <v>1091</v>
      </c>
      <c r="E521" s="105" t="s">
        <v>44</v>
      </c>
      <c r="F521" s="101" t="str">
        <f t="shared" si="17"/>
        <v>-</v>
      </c>
      <c r="G521" s="106" t="s">
        <v>53</v>
      </c>
      <c r="H521" s="105"/>
      <c r="I521" s="106" t="s">
        <v>1092</v>
      </c>
      <c r="J521" s="107" t="s">
        <v>54</v>
      </c>
      <c r="K521" s="108"/>
      <c r="L521" s="106"/>
      <c r="M521" s="110"/>
      <c r="N521" s="105" t="s">
        <v>78</v>
      </c>
      <c r="O521" s="105" t="str">
        <f t="shared" si="18"/>
        <v/>
      </c>
      <c r="P521" s="105"/>
      <c r="Q521" s="105" t="s">
        <v>77</v>
      </c>
      <c r="R521" s="105" t="s">
        <v>77</v>
      </c>
      <c r="S521" s="105"/>
      <c r="T521" s="105"/>
      <c r="U521" s="105"/>
      <c r="V521" s="105"/>
      <c r="W521" s="105" t="s">
        <v>80</v>
      </c>
      <c r="X521" s="105"/>
      <c r="Y521" s="105"/>
    </row>
    <row r="522" spans="1:25" s="99" customFormat="1" ht="26.25" customHeight="1">
      <c r="A522" s="100">
        <v>4263</v>
      </c>
      <c r="B522" s="101" t="s">
        <v>11</v>
      </c>
      <c r="C522" s="105" t="s">
        <v>52</v>
      </c>
      <c r="D522" s="105" t="s">
        <v>1093</v>
      </c>
      <c r="E522" s="105" t="s">
        <v>44</v>
      </c>
      <c r="F522" s="101" t="str">
        <f t="shared" si="17"/>
        <v>-</v>
      </c>
      <c r="G522" s="106" t="s">
        <v>53</v>
      </c>
      <c r="H522" s="105"/>
      <c r="I522" s="106" t="s">
        <v>1094</v>
      </c>
      <c r="J522" s="107" t="s">
        <v>54</v>
      </c>
      <c r="K522" s="108"/>
      <c r="L522" s="106"/>
      <c r="M522" s="110"/>
      <c r="N522" s="105" t="s">
        <v>78</v>
      </c>
      <c r="O522" s="105" t="str">
        <f t="shared" si="18"/>
        <v/>
      </c>
      <c r="P522" s="105"/>
      <c r="Q522" s="105" t="s">
        <v>77</v>
      </c>
      <c r="R522" s="105" t="s">
        <v>77</v>
      </c>
      <c r="S522" s="105"/>
      <c r="T522" s="105"/>
      <c r="U522" s="105"/>
      <c r="V522" s="105"/>
      <c r="W522" s="105" t="s">
        <v>80</v>
      </c>
      <c r="X522" s="105"/>
      <c r="Y522" s="105"/>
    </row>
    <row r="523" spans="1:25" s="99" customFormat="1" ht="26.25" customHeight="1">
      <c r="A523" s="100">
        <v>4264</v>
      </c>
      <c r="B523" s="101" t="s">
        <v>11</v>
      </c>
      <c r="C523" s="105" t="s">
        <v>52</v>
      </c>
      <c r="D523" s="105" t="s">
        <v>1095</v>
      </c>
      <c r="E523" s="105" t="s">
        <v>44</v>
      </c>
      <c r="F523" s="101" t="str">
        <f t="shared" si="17"/>
        <v>-</v>
      </c>
      <c r="G523" s="106" t="s">
        <v>53</v>
      </c>
      <c r="H523" s="105"/>
      <c r="I523" s="106" t="s">
        <v>1096</v>
      </c>
      <c r="J523" s="107" t="s">
        <v>54</v>
      </c>
      <c r="K523" s="108"/>
      <c r="L523" s="106"/>
      <c r="M523" s="110"/>
      <c r="N523" s="105" t="s">
        <v>78</v>
      </c>
      <c r="O523" s="105" t="str">
        <f t="shared" si="18"/>
        <v/>
      </c>
      <c r="P523" s="105"/>
      <c r="Q523" s="105" t="s">
        <v>77</v>
      </c>
      <c r="R523" s="105" t="s">
        <v>77</v>
      </c>
      <c r="S523" s="105"/>
      <c r="T523" s="105"/>
      <c r="U523" s="105"/>
      <c r="V523" s="105"/>
      <c r="W523" s="105" t="s">
        <v>80</v>
      </c>
      <c r="X523" s="105"/>
      <c r="Y523" s="105"/>
    </row>
    <row r="524" spans="1:25" s="99" customFormat="1" ht="26.25" customHeight="1">
      <c r="A524" s="100">
        <v>4265</v>
      </c>
      <c r="B524" s="101" t="s">
        <v>11</v>
      </c>
      <c r="C524" s="105" t="s">
        <v>52</v>
      </c>
      <c r="D524" s="105" t="s">
        <v>1097</v>
      </c>
      <c r="E524" s="105" t="s">
        <v>44</v>
      </c>
      <c r="F524" s="101" t="str">
        <f t="shared" si="17"/>
        <v>-</v>
      </c>
      <c r="G524" s="106" t="s">
        <v>53</v>
      </c>
      <c r="H524" s="105"/>
      <c r="I524" s="106" t="s">
        <v>1098</v>
      </c>
      <c r="J524" s="107" t="s">
        <v>54</v>
      </c>
      <c r="K524" s="108"/>
      <c r="L524" s="106"/>
      <c r="M524" s="110"/>
      <c r="N524" s="105" t="s">
        <v>78</v>
      </c>
      <c r="O524" s="105" t="str">
        <f t="shared" si="18"/>
        <v/>
      </c>
      <c r="P524" s="105"/>
      <c r="Q524" s="105" t="s">
        <v>77</v>
      </c>
      <c r="R524" s="105" t="s">
        <v>77</v>
      </c>
      <c r="S524" s="105"/>
      <c r="T524" s="105"/>
      <c r="U524" s="105"/>
      <c r="V524" s="105"/>
      <c r="W524" s="105" t="s">
        <v>80</v>
      </c>
      <c r="X524" s="105"/>
      <c r="Y524" s="105"/>
    </row>
    <row r="525" spans="1:25" s="99" customFormat="1" ht="26.25" customHeight="1">
      <c r="A525" s="100">
        <v>4266</v>
      </c>
      <c r="B525" s="101" t="s">
        <v>11</v>
      </c>
      <c r="C525" s="105" t="s">
        <v>52</v>
      </c>
      <c r="D525" s="105" t="s">
        <v>1099</v>
      </c>
      <c r="E525" s="105" t="s">
        <v>44</v>
      </c>
      <c r="F525" s="101" t="str">
        <f t="shared" si="17"/>
        <v>-</v>
      </c>
      <c r="G525" s="106" t="s">
        <v>53</v>
      </c>
      <c r="H525" s="105"/>
      <c r="I525" s="106" t="s">
        <v>1100</v>
      </c>
      <c r="J525" s="107" t="s">
        <v>54</v>
      </c>
      <c r="K525" s="108"/>
      <c r="L525" s="106"/>
      <c r="M525" s="110"/>
      <c r="N525" s="105" t="s">
        <v>78</v>
      </c>
      <c r="O525" s="105" t="str">
        <f t="shared" si="18"/>
        <v/>
      </c>
      <c r="P525" s="105"/>
      <c r="Q525" s="105" t="s">
        <v>77</v>
      </c>
      <c r="R525" s="105" t="s">
        <v>77</v>
      </c>
      <c r="S525" s="105"/>
      <c r="T525" s="105"/>
      <c r="U525" s="105"/>
      <c r="V525" s="105"/>
      <c r="W525" s="105" t="s">
        <v>80</v>
      </c>
      <c r="X525" s="105"/>
      <c r="Y525" s="105"/>
    </row>
    <row r="526" spans="1:25" s="99" customFormat="1" ht="26.25" customHeight="1">
      <c r="A526" s="100">
        <v>4267</v>
      </c>
      <c r="B526" s="101" t="s">
        <v>11</v>
      </c>
      <c r="C526" s="105" t="s">
        <v>52</v>
      </c>
      <c r="D526" s="105" t="s">
        <v>1101</v>
      </c>
      <c r="E526" s="105" t="s">
        <v>44</v>
      </c>
      <c r="F526" s="101" t="str">
        <f t="shared" si="17"/>
        <v>-</v>
      </c>
      <c r="G526" s="106" t="s">
        <v>53</v>
      </c>
      <c r="H526" s="105"/>
      <c r="I526" s="106" t="s">
        <v>1102</v>
      </c>
      <c r="J526" s="107" t="s">
        <v>54</v>
      </c>
      <c r="K526" s="108"/>
      <c r="L526" s="106"/>
      <c r="M526" s="110"/>
      <c r="N526" s="105" t="s">
        <v>78</v>
      </c>
      <c r="O526" s="105" t="str">
        <f t="shared" si="18"/>
        <v/>
      </c>
      <c r="P526" s="105"/>
      <c r="Q526" s="105" t="s">
        <v>77</v>
      </c>
      <c r="R526" s="105" t="s">
        <v>77</v>
      </c>
      <c r="S526" s="105"/>
      <c r="T526" s="105"/>
      <c r="U526" s="105"/>
      <c r="V526" s="105"/>
      <c r="W526" s="105" t="s">
        <v>80</v>
      </c>
      <c r="X526" s="105"/>
      <c r="Y526" s="105"/>
    </row>
    <row r="527" spans="1:25" s="99" customFormat="1" ht="26.25" customHeight="1">
      <c r="A527" s="100">
        <v>4268</v>
      </c>
      <c r="B527" s="101" t="s">
        <v>11</v>
      </c>
      <c r="C527" s="105" t="s">
        <v>52</v>
      </c>
      <c r="D527" s="105" t="s">
        <v>1103</v>
      </c>
      <c r="E527" s="105" t="s">
        <v>44</v>
      </c>
      <c r="F527" s="101" t="str">
        <f t="shared" si="17"/>
        <v>-</v>
      </c>
      <c r="G527" s="106" t="s">
        <v>53</v>
      </c>
      <c r="H527" s="105"/>
      <c r="I527" s="106" t="s">
        <v>1104</v>
      </c>
      <c r="J527" s="107" t="s">
        <v>54</v>
      </c>
      <c r="K527" s="108"/>
      <c r="L527" s="106"/>
      <c r="M527" s="110"/>
      <c r="N527" s="105" t="s">
        <v>78</v>
      </c>
      <c r="O527" s="105" t="str">
        <f t="shared" si="18"/>
        <v/>
      </c>
      <c r="P527" s="105"/>
      <c r="Q527" s="105" t="s">
        <v>77</v>
      </c>
      <c r="R527" s="105" t="s">
        <v>77</v>
      </c>
      <c r="S527" s="105"/>
      <c r="T527" s="105"/>
      <c r="U527" s="105"/>
      <c r="V527" s="105"/>
      <c r="W527" s="105" t="s">
        <v>80</v>
      </c>
      <c r="X527" s="105"/>
      <c r="Y527" s="105"/>
    </row>
    <row r="528" spans="1:25" s="99" customFormat="1" ht="26.25" customHeight="1">
      <c r="A528" s="100">
        <v>4269</v>
      </c>
      <c r="B528" s="101" t="s">
        <v>11</v>
      </c>
      <c r="C528" s="105" t="s">
        <v>52</v>
      </c>
      <c r="D528" s="105" t="s">
        <v>1105</v>
      </c>
      <c r="E528" s="105" t="s">
        <v>44</v>
      </c>
      <c r="F528" s="101" t="str">
        <f t="shared" si="17"/>
        <v>-</v>
      </c>
      <c r="G528" s="106" t="s">
        <v>53</v>
      </c>
      <c r="H528" s="105"/>
      <c r="I528" s="106" t="s">
        <v>1106</v>
      </c>
      <c r="J528" s="107" t="s">
        <v>54</v>
      </c>
      <c r="K528" s="108"/>
      <c r="L528" s="106"/>
      <c r="M528" s="110"/>
      <c r="N528" s="105" t="s">
        <v>78</v>
      </c>
      <c r="O528" s="105" t="str">
        <f t="shared" si="18"/>
        <v/>
      </c>
      <c r="P528" s="105"/>
      <c r="Q528" s="105" t="s">
        <v>77</v>
      </c>
      <c r="R528" s="105" t="s">
        <v>77</v>
      </c>
      <c r="S528" s="105"/>
      <c r="T528" s="105"/>
      <c r="U528" s="105"/>
      <c r="V528" s="105"/>
      <c r="W528" s="105" t="s">
        <v>80</v>
      </c>
      <c r="X528" s="105"/>
      <c r="Y528" s="105"/>
    </row>
    <row r="529" spans="1:25" s="99" customFormat="1" ht="26.25" customHeight="1">
      <c r="A529" s="100">
        <v>4270</v>
      </c>
      <c r="B529" s="101" t="s">
        <v>11</v>
      </c>
      <c r="C529" s="105" t="s">
        <v>52</v>
      </c>
      <c r="D529" s="105" t="s">
        <v>1107</v>
      </c>
      <c r="E529" s="105" t="s">
        <v>44</v>
      </c>
      <c r="F529" s="101" t="str">
        <f t="shared" si="17"/>
        <v>-</v>
      </c>
      <c r="G529" s="106" t="s">
        <v>53</v>
      </c>
      <c r="H529" s="105"/>
      <c r="I529" s="106" t="s">
        <v>1108</v>
      </c>
      <c r="J529" s="107" t="s">
        <v>54</v>
      </c>
      <c r="K529" s="108"/>
      <c r="L529" s="106"/>
      <c r="M529" s="110"/>
      <c r="N529" s="105" t="s">
        <v>78</v>
      </c>
      <c r="O529" s="105" t="str">
        <f t="shared" si="18"/>
        <v/>
      </c>
      <c r="P529" s="105"/>
      <c r="Q529" s="105" t="s">
        <v>77</v>
      </c>
      <c r="R529" s="105" t="s">
        <v>77</v>
      </c>
      <c r="S529" s="105"/>
      <c r="T529" s="105"/>
      <c r="U529" s="105"/>
      <c r="V529" s="105"/>
      <c r="W529" s="105" t="s">
        <v>80</v>
      </c>
      <c r="X529" s="105"/>
      <c r="Y529" s="105"/>
    </row>
    <row r="530" spans="1:25" s="99" customFormat="1" ht="26.25" customHeight="1">
      <c r="A530" s="100">
        <v>4271</v>
      </c>
      <c r="B530" s="101" t="s">
        <v>11</v>
      </c>
      <c r="C530" s="105" t="s">
        <v>52</v>
      </c>
      <c r="D530" s="105" t="s">
        <v>1109</v>
      </c>
      <c r="E530" s="105" t="s">
        <v>44</v>
      </c>
      <c r="F530" s="101" t="str">
        <f t="shared" si="17"/>
        <v>-</v>
      </c>
      <c r="G530" s="106" t="s">
        <v>53</v>
      </c>
      <c r="H530" s="105"/>
      <c r="I530" s="106" t="s">
        <v>1110</v>
      </c>
      <c r="J530" s="107" t="s">
        <v>54</v>
      </c>
      <c r="K530" s="108"/>
      <c r="L530" s="106"/>
      <c r="M530" s="110"/>
      <c r="N530" s="105" t="s">
        <v>78</v>
      </c>
      <c r="O530" s="105" t="str">
        <f t="shared" si="18"/>
        <v/>
      </c>
      <c r="P530" s="105"/>
      <c r="Q530" s="105" t="s">
        <v>77</v>
      </c>
      <c r="R530" s="105" t="s">
        <v>77</v>
      </c>
      <c r="S530" s="105"/>
      <c r="T530" s="105"/>
      <c r="U530" s="105"/>
      <c r="V530" s="105"/>
      <c r="W530" s="105" t="s">
        <v>80</v>
      </c>
      <c r="X530" s="105"/>
      <c r="Y530" s="105"/>
    </row>
    <row r="531" spans="1:25" s="99" customFormat="1" ht="26.25" customHeight="1">
      <c r="A531" s="100">
        <v>4272</v>
      </c>
      <c r="B531" s="101" t="s">
        <v>11</v>
      </c>
      <c r="C531" s="105" t="s">
        <v>52</v>
      </c>
      <c r="D531" s="105" t="s">
        <v>1111</v>
      </c>
      <c r="E531" s="105" t="s">
        <v>44</v>
      </c>
      <c r="F531" s="101" t="str">
        <f t="shared" si="17"/>
        <v>-</v>
      </c>
      <c r="G531" s="106" t="s">
        <v>53</v>
      </c>
      <c r="H531" s="105"/>
      <c r="I531" s="106" t="s">
        <v>1112</v>
      </c>
      <c r="J531" s="107" t="s">
        <v>54</v>
      </c>
      <c r="K531" s="108"/>
      <c r="L531" s="106"/>
      <c r="M531" s="110"/>
      <c r="N531" s="105" t="s">
        <v>78</v>
      </c>
      <c r="O531" s="105" t="str">
        <f t="shared" si="18"/>
        <v/>
      </c>
      <c r="P531" s="105"/>
      <c r="Q531" s="105" t="s">
        <v>77</v>
      </c>
      <c r="R531" s="105" t="s">
        <v>77</v>
      </c>
      <c r="S531" s="105"/>
      <c r="T531" s="105"/>
      <c r="U531" s="105"/>
      <c r="V531" s="105"/>
      <c r="W531" s="105" t="s">
        <v>80</v>
      </c>
      <c r="X531" s="105"/>
      <c r="Y531" s="105"/>
    </row>
    <row r="532" spans="1:25" s="99" customFormat="1" ht="26.25" customHeight="1">
      <c r="A532" s="100">
        <v>4273</v>
      </c>
      <c r="B532" s="101" t="s">
        <v>11</v>
      </c>
      <c r="C532" s="105" t="s">
        <v>52</v>
      </c>
      <c r="D532" s="105" t="s">
        <v>1113</v>
      </c>
      <c r="E532" s="105" t="s">
        <v>44</v>
      </c>
      <c r="F532" s="101" t="str">
        <f t="shared" si="17"/>
        <v>-</v>
      </c>
      <c r="G532" s="106" t="s">
        <v>53</v>
      </c>
      <c r="H532" s="105"/>
      <c r="I532" s="106" t="s">
        <v>1114</v>
      </c>
      <c r="J532" s="107" t="s">
        <v>54</v>
      </c>
      <c r="K532" s="108"/>
      <c r="L532" s="106"/>
      <c r="M532" s="110"/>
      <c r="N532" s="105" t="s">
        <v>78</v>
      </c>
      <c r="O532" s="105" t="str">
        <f t="shared" si="18"/>
        <v/>
      </c>
      <c r="P532" s="105"/>
      <c r="Q532" s="105" t="s">
        <v>77</v>
      </c>
      <c r="R532" s="105" t="s">
        <v>77</v>
      </c>
      <c r="S532" s="105"/>
      <c r="T532" s="105"/>
      <c r="U532" s="105"/>
      <c r="V532" s="105"/>
      <c r="W532" s="105" t="s">
        <v>80</v>
      </c>
      <c r="X532" s="105"/>
      <c r="Y532" s="105"/>
    </row>
    <row r="533" spans="1:25" s="99" customFormat="1" ht="26.25" customHeight="1">
      <c r="A533" s="100">
        <v>4274</v>
      </c>
      <c r="B533" s="101" t="s">
        <v>11</v>
      </c>
      <c r="C533" s="105" t="s">
        <v>52</v>
      </c>
      <c r="D533" s="105" t="s">
        <v>1115</v>
      </c>
      <c r="E533" s="105" t="s">
        <v>44</v>
      </c>
      <c r="F533" s="101" t="str">
        <f t="shared" si="17"/>
        <v>-</v>
      </c>
      <c r="G533" s="106" t="s">
        <v>53</v>
      </c>
      <c r="H533" s="105"/>
      <c r="I533" s="106" t="s">
        <v>1116</v>
      </c>
      <c r="J533" s="107" t="s">
        <v>54</v>
      </c>
      <c r="K533" s="108"/>
      <c r="L533" s="106"/>
      <c r="M533" s="110"/>
      <c r="N533" s="105" t="s">
        <v>78</v>
      </c>
      <c r="O533" s="105" t="str">
        <f t="shared" si="18"/>
        <v/>
      </c>
      <c r="P533" s="105"/>
      <c r="Q533" s="105" t="s">
        <v>77</v>
      </c>
      <c r="R533" s="105" t="s">
        <v>77</v>
      </c>
      <c r="S533" s="105"/>
      <c r="T533" s="105"/>
      <c r="U533" s="105"/>
      <c r="V533" s="105"/>
      <c r="W533" s="105" t="s">
        <v>80</v>
      </c>
      <c r="X533" s="105"/>
      <c r="Y533" s="105"/>
    </row>
    <row r="534" spans="1:25" s="99" customFormat="1" ht="26.25" customHeight="1">
      <c r="A534" s="100">
        <v>4275</v>
      </c>
      <c r="B534" s="101" t="s">
        <v>11</v>
      </c>
      <c r="C534" s="105" t="s">
        <v>52</v>
      </c>
      <c r="D534" s="105" t="s">
        <v>1117</v>
      </c>
      <c r="E534" s="105" t="s">
        <v>44</v>
      </c>
      <c r="F534" s="101" t="str">
        <f t="shared" ref="F534:F597" si="19">IF(B534&lt;&gt;"","-","")</f>
        <v>-</v>
      </c>
      <c r="G534" s="106" t="s">
        <v>53</v>
      </c>
      <c r="H534" s="105"/>
      <c r="I534" s="106" t="s">
        <v>1118</v>
      </c>
      <c r="J534" s="107" t="s">
        <v>54</v>
      </c>
      <c r="K534" s="108"/>
      <c r="L534" s="106"/>
      <c r="M534" s="110"/>
      <c r="N534" s="105" t="s">
        <v>78</v>
      </c>
      <c r="O534" s="105" t="str">
        <f t="shared" ref="O534:O597" si="20">IF(OR(R534&lt;&gt;"",Q534&lt;&gt;""),"X","")</f>
        <v/>
      </c>
      <c r="P534" s="105"/>
      <c r="Q534" s="105" t="s">
        <v>77</v>
      </c>
      <c r="R534" s="105" t="s">
        <v>77</v>
      </c>
      <c r="S534" s="105"/>
      <c r="T534" s="105"/>
      <c r="U534" s="105"/>
      <c r="V534" s="105"/>
      <c r="W534" s="105" t="s">
        <v>80</v>
      </c>
      <c r="X534" s="105"/>
      <c r="Y534" s="105"/>
    </row>
    <row r="535" spans="1:25" s="99" customFormat="1" ht="26.25" customHeight="1">
      <c r="A535" s="100">
        <v>4276</v>
      </c>
      <c r="B535" s="101" t="s">
        <v>11</v>
      </c>
      <c r="C535" s="105" t="s">
        <v>52</v>
      </c>
      <c r="D535" s="105" t="s">
        <v>1119</v>
      </c>
      <c r="E535" s="105" t="s">
        <v>44</v>
      </c>
      <c r="F535" s="101" t="str">
        <f t="shared" si="19"/>
        <v>-</v>
      </c>
      <c r="G535" s="106" t="s">
        <v>53</v>
      </c>
      <c r="H535" s="105"/>
      <c r="I535" s="106" t="s">
        <v>1120</v>
      </c>
      <c r="J535" s="107" t="s">
        <v>54</v>
      </c>
      <c r="K535" s="108"/>
      <c r="L535" s="106"/>
      <c r="M535" s="110"/>
      <c r="N535" s="105" t="s">
        <v>78</v>
      </c>
      <c r="O535" s="105" t="str">
        <f t="shared" si="20"/>
        <v/>
      </c>
      <c r="P535" s="105"/>
      <c r="Q535" s="105" t="s">
        <v>77</v>
      </c>
      <c r="R535" s="105" t="s">
        <v>77</v>
      </c>
      <c r="S535" s="105"/>
      <c r="T535" s="105"/>
      <c r="U535" s="105"/>
      <c r="V535" s="105"/>
      <c r="W535" s="105" t="s">
        <v>80</v>
      </c>
      <c r="X535" s="105"/>
      <c r="Y535" s="105"/>
    </row>
    <row r="536" spans="1:25" s="99" customFormat="1" ht="26.25" customHeight="1">
      <c r="A536" s="100">
        <v>4277</v>
      </c>
      <c r="B536" s="101" t="s">
        <v>11</v>
      </c>
      <c r="C536" s="105" t="s">
        <v>52</v>
      </c>
      <c r="D536" s="105" t="s">
        <v>1121</v>
      </c>
      <c r="E536" s="105" t="s">
        <v>44</v>
      </c>
      <c r="F536" s="101" t="str">
        <f t="shared" si="19"/>
        <v>-</v>
      </c>
      <c r="G536" s="106" t="s">
        <v>53</v>
      </c>
      <c r="H536" s="105"/>
      <c r="I536" s="106" t="s">
        <v>1122</v>
      </c>
      <c r="J536" s="107" t="s">
        <v>54</v>
      </c>
      <c r="K536" s="108"/>
      <c r="L536" s="106"/>
      <c r="M536" s="110"/>
      <c r="N536" s="105" t="s">
        <v>78</v>
      </c>
      <c r="O536" s="105" t="str">
        <f t="shared" si="20"/>
        <v/>
      </c>
      <c r="P536" s="105"/>
      <c r="Q536" s="105" t="s">
        <v>77</v>
      </c>
      <c r="R536" s="105" t="s">
        <v>77</v>
      </c>
      <c r="S536" s="105"/>
      <c r="T536" s="105"/>
      <c r="U536" s="105"/>
      <c r="V536" s="105"/>
      <c r="W536" s="105" t="s">
        <v>80</v>
      </c>
      <c r="X536" s="105"/>
      <c r="Y536" s="105"/>
    </row>
    <row r="537" spans="1:25" s="99" customFormat="1" ht="26.25" customHeight="1">
      <c r="A537" s="100">
        <v>4278</v>
      </c>
      <c r="B537" s="101" t="s">
        <v>11</v>
      </c>
      <c r="C537" s="105" t="s">
        <v>52</v>
      </c>
      <c r="D537" s="105" t="s">
        <v>1123</v>
      </c>
      <c r="E537" s="105" t="s">
        <v>44</v>
      </c>
      <c r="F537" s="101" t="str">
        <f t="shared" si="19"/>
        <v>-</v>
      </c>
      <c r="G537" s="106" t="s">
        <v>53</v>
      </c>
      <c r="H537" s="105"/>
      <c r="I537" s="106" t="s">
        <v>1124</v>
      </c>
      <c r="J537" s="107" t="s">
        <v>54</v>
      </c>
      <c r="K537" s="108"/>
      <c r="L537" s="106"/>
      <c r="M537" s="110"/>
      <c r="N537" s="105" t="s">
        <v>78</v>
      </c>
      <c r="O537" s="105" t="str">
        <f t="shared" si="20"/>
        <v/>
      </c>
      <c r="P537" s="105"/>
      <c r="Q537" s="105" t="s">
        <v>77</v>
      </c>
      <c r="R537" s="105" t="s">
        <v>77</v>
      </c>
      <c r="S537" s="105"/>
      <c r="T537" s="105"/>
      <c r="U537" s="105"/>
      <c r="V537" s="105"/>
      <c r="W537" s="105" t="s">
        <v>80</v>
      </c>
      <c r="X537" s="105"/>
      <c r="Y537" s="105"/>
    </row>
    <row r="538" spans="1:25" s="99" customFormat="1" ht="26.25" customHeight="1">
      <c r="A538" s="100">
        <v>4279</v>
      </c>
      <c r="B538" s="101" t="s">
        <v>11</v>
      </c>
      <c r="C538" s="105" t="s">
        <v>52</v>
      </c>
      <c r="D538" s="105" t="s">
        <v>1125</v>
      </c>
      <c r="E538" s="105" t="s">
        <v>44</v>
      </c>
      <c r="F538" s="101" t="str">
        <f t="shared" si="19"/>
        <v>-</v>
      </c>
      <c r="G538" s="106" t="s">
        <v>53</v>
      </c>
      <c r="H538" s="105"/>
      <c r="I538" s="106" t="s">
        <v>1126</v>
      </c>
      <c r="J538" s="107" t="s">
        <v>54</v>
      </c>
      <c r="K538" s="108"/>
      <c r="L538" s="106"/>
      <c r="M538" s="110"/>
      <c r="N538" s="105" t="s">
        <v>78</v>
      </c>
      <c r="O538" s="105" t="str">
        <f t="shared" si="20"/>
        <v/>
      </c>
      <c r="P538" s="105"/>
      <c r="Q538" s="105" t="s">
        <v>77</v>
      </c>
      <c r="R538" s="105" t="s">
        <v>77</v>
      </c>
      <c r="S538" s="105"/>
      <c r="T538" s="105"/>
      <c r="U538" s="105"/>
      <c r="V538" s="105"/>
      <c r="W538" s="105" t="s">
        <v>80</v>
      </c>
      <c r="X538" s="105"/>
      <c r="Y538" s="105"/>
    </row>
    <row r="539" spans="1:25" s="99" customFormat="1" ht="26.25" customHeight="1">
      <c r="A539" s="100">
        <v>4280</v>
      </c>
      <c r="B539" s="101" t="s">
        <v>11</v>
      </c>
      <c r="C539" s="105" t="s">
        <v>52</v>
      </c>
      <c r="D539" s="105" t="s">
        <v>1127</v>
      </c>
      <c r="E539" s="105" t="s">
        <v>44</v>
      </c>
      <c r="F539" s="101" t="str">
        <f t="shared" si="19"/>
        <v>-</v>
      </c>
      <c r="G539" s="106" t="s">
        <v>53</v>
      </c>
      <c r="H539" s="105"/>
      <c r="I539" s="106" t="s">
        <v>1128</v>
      </c>
      <c r="J539" s="107" t="s">
        <v>54</v>
      </c>
      <c r="K539" s="108"/>
      <c r="L539" s="106"/>
      <c r="M539" s="110"/>
      <c r="N539" s="105" t="s">
        <v>78</v>
      </c>
      <c r="O539" s="105" t="str">
        <f t="shared" si="20"/>
        <v/>
      </c>
      <c r="P539" s="105"/>
      <c r="Q539" s="105" t="s">
        <v>77</v>
      </c>
      <c r="R539" s="105" t="s">
        <v>77</v>
      </c>
      <c r="S539" s="105"/>
      <c r="T539" s="105"/>
      <c r="U539" s="105"/>
      <c r="V539" s="105"/>
      <c r="W539" s="105" t="s">
        <v>80</v>
      </c>
      <c r="X539" s="105"/>
      <c r="Y539" s="105"/>
    </row>
    <row r="540" spans="1:25" s="99" customFormat="1" ht="26.25" customHeight="1">
      <c r="A540" s="100">
        <v>4281</v>
      </c>
      <c r="B540" s="101" t="s">
        <v>11</v>
      </c>
      <c r="C540" s="105" t="s">
        <v>52</v>
      </c>
      <c r="D540" s="105" t="s">
        <v>1129</v>
      </c>
      <c r="E540" s="105" t="s">
        <v>44</v>
      </c>
      <c r="F540" s="101" t="str">
        <f t="shared" si="19"/>
        <v>-</v>
      </c>
      <c r="G540" s="106" t="s">
        <v>53</v>
      </c>
      <c r="H540" s="105"/>
      <c r="I540" s="106" t="s">
        <v>1130</v>
      </c>
      <c r="J540" s="107" t="s">
        <v>54</v>
      </c>
      <c r="K540" s="108"/>
      <c r="L540" s="106"/>
      <c r="M540" s="110"/>
      <c r="N540" s="105" t="s">
        <v>78</v>
      </c>
      <c r="O540" s="105" t="str">
        <f t="shared" si="20"/>
        <v/>
      </c>
      <c r="P540" s="105"/>
      <c r="Q540" s="105" t="s">
        <v>77</v>
      </c>
      <c r="R540" s="105" t="s">
        <v>77</v>
      </c>
      <c r="S540" s="105"/>
      <c r="T540" s="105"/>
      <c r="U540" s="105"/>
      <c r="V540" s="105"/>
      <c r="W540" s="105" t="s">
        <v>80</v>
      </c>
      <c r="X540" s="105"/>
      <c r="Y540" s="105"/>
    </row>
    <row r="541" spans="1:25" s="99" customFormat="1" ht="26.25" customHeight="1">
      <c r="A541" s="100">
        <v>4282</v>
      </c>
      <c r="B541" s="101" t="s">
        <v>11</v>
      </c>
      <c r="C541" s="105" t="s">
        <v>52</v>
      </c>
      <c r="D541" s="105" t="s">
        <v>1131</v>
      </c>
      <c r="E541" s="105" t="s">
        <v>44</v>
      </c>
      <c r="F541" s="101" t="str">
        <f t="shared" si="19"/>
        <v>-</v>
      </c>
      <c r="G541" s="106" t="s">
        <v>53</v>
      </c>
      <c r="H541" s="105"/>
      <c r="I541" s="106" t="s">
        <v>1132</v>
      </c>
      <c r="J541" s="107" t="s">
        <v>54</v>
      </c>
      <c r="K541" s="108"/>
      <c r="L541" s="106"/>
      <c r="M541" s="110"/>
      <c r="N541" s="105" t="s">
        <v>78</v>
      </c>
      <c r="O541" s="105" t="str">
        <f t="shared" si="20"/>
        <v/>
      </c>
      <c r="P541" s="105"/>
      <c r="Q541" s="105" t="s">
        <v>77</v>
      </c>
      <c r="R541" s="105" t="s">
        <v>77</v>
      </c>
      <c r="S541" s="105"/>
      <c r="T541" s="105"/>
      <c r="U541" s="105"/>
      <c r="V541" s="105"/>
      <c r="W541" s="105" t="s">
        <v>80</v>
      </c>
      <c r="X541" s="105"/>
      <c r="Y541" s="105"/>
    </row>
    <row r="542" spans="1:25" s="99" customFormat="1" ht="26.25" customHeight="1">
      <c r="A542" s="100">
        <v>4283</v>
      </c>
      <c r="B542" s="101" t="s">
        <v>11</v>
      </c>
      <c r="C542" s="105" t="s">
        <v>52</v>
      </c>
      <c r="D542" s="105" t="s">
        <v>1133</v>
      </c>
      <c r="E542" s="105" t="s">
        <v>44</v>
      </c>
      <c r="F542" s="101" t="str">
        <f t="shared" si="19"/>
        <v>-</v>
      </c>
      <c r="G542" s="106" t="s">
        <v>53</v>
      </c>
      <c r="H542" s="105"/>
      <c r="I542" s="106" t="s">
        <v>1134</v>
      </c>
      <c r="J542" s="107" t="s">
        <v>54</v>
      </c>
      <c r="K542" s="108"/>
      <c r="L542" s="106"/>
      <c r="M542" s="110"/>
      <c r="N542" s="105" t="s">
        <v>78</v>
      </c>
      <c r="O542" s="105" t="str">
        <f t="shared" si="20"/>
        <v/>
      </c>
      <c r="P542" s="105"/>
      <c r="Q542" s="105" t="s">
        <v>77</v>
      </c>
      <c r="R542" s="105" t="s">
        <v>77</v>
      </c>
      <c r="S542" s="105"/>
      <c r="T542" s="105"/>
      <c r="U542" s="105"/>
      <c r="V542" s="105"/>
      <c r="W542" s="105" t="s">
        <v>80</v>
      </c>
      <c r="X542" s="105"/>
      <c r="Y542" s="105"/>
    </row>
    <row r="543" spans="1:25" s="99" customFormat="1" ht="26.25" customHeight="1">
      <c r="A543" s="100">
        <v>4284</v>
      </c>
      <c r="B543" s="101" t="s">
        <v>11</v>
      </c>
      <c r="C543" s="105" t="s">
        <v>52</v>
      </c>
      <c r="D543" s="105" t="s">
        <v>1135</v>
      </c>
      <c r="E543" s="105" t="s">
        <v>44</v>
      </c>
      <c r="F543" s="101" t="str">
        <f t="shared" si="19"/>
        <v>-</v>
      </c>
      <c r="G543" s="106" t="s">
        <v>53</v>
      </c>
      <c r="H543" s="105"/>
      <c r="I543" s="106" t="s">
        <v>1136</v>
      </c>
      <c r="J543" s="107" t="s">
        <v>54</v>
      </c>
      <c r="K543" s="108"/>
      <c r="L543" s="106"/>
      <c r="M543" s="110"/>
      <c r="N543" s="105" t="s">
        <v>78</v>
      </c>
      <c r="O543" s="105" t="str">
        <f t="shared" si="20"/>
        <v/>
      </c>
      <c r="P543" s="105"/>
      <c r="Q543" s="105" t="s">
        <v>77</v>
      </c>
      <c r="R543" s="105" t="s">
        <v>77</v>
      </c>
      <c r="S543" s="105"/>
      <c r="T543" s="105"/>
      <c r="U543" s="105"/>
      <c r="V543" s="105"/>
      <c r="W543" s="105" t="s">
        <v>80</v>
      </c>
      <c r="X543" s="105"/>
      <c r="Y543" s="105"/>
    </row>
    <row r="544" spans="1:25" s="99" customFormat="1" ht="26.25" customHeight="1">
      <c r="A544" s="100">
        <v>4285</v>
      </c>
      <c r="B544" s="101" t="s">
        <v>11</v>
      </c>
      <c r="C544" s="105" t="s">
        <v>52</v>
      </c>
      <c r="D544" s="105" t="s">
        <v>1137</v>
      </c>
      <c r="E544" s="105" t="s">
        <v>44</v>
      </c>
      <c r="F544" s="101" t="str">
        <f t="shared" si="19"/>
        <v>-</v>
      </c>
      <c r="G544" s="106" t="s">
        <v>53</v>
      </c>
      <c r="H544" s="105"/>
      <c r="I544" s="106" t="s">
        <v>1138</v>
      </c>
      <c r="J544" s="107" t="s">
        <v>54</v>
      </c>
      <c r="K544" s="108"/>
      <c r="L544" s="106"/>
      <c r="M544" s="110"/>
      <c r="N544" s="105" t="s">
        <v>78</v>
      </c>
      <c r="O544" s="105" t="str">
        <f t="shared" si="20"/>
        <v/>
      </c>
      <c r="P544" s="105"/>
      <c r="Q544" s="105" t="s">
        <v>77</v>
      </c>
      <c r="R544" s="105" t="s">
        <v>77</v>
      </c>
      <c r="S544" s="105"/>
      <c r="T544" s="105"/>
      <c r="U544" s="105"/>
      <c r="V544" s="105"/>
      <c r="W544" s="105" t="s">
        <v>80</v>
      </c>
      <c r="X544" s="105"/>
      <c r="Y544" s="105"/>
    </row>
    <row r="545" spans="1:25" s="99" customFormat="1" ht="26.25" customHeight="1">
      <c r="A545" s="100">
        <v>4286</v>
      </c>
      <c r="B545" s="101" t="s">
        <v>11</v>
      </c>
      <c r="C545" s="105" t="s">
        <v>52</v>
      </c>
      <c r="D545" s="105" t="s">
        <v>1139</v>
      </c>
      <c r="E545" s="105" t="s">
        <v>44</v>
      </c>
      <c r="F545" s="101" t="str">
        <f t="shared" si="19"/>
        <v>-</v>
      </c>
      <c r="G545" s="106" t="s">
        <v>53</v>
      </c>
      <c r="H545" s="105"/>
      <c r="I545" s="106" t="s">
        <v>1140</v>
      </c>
      <c r="J545" s="107" t="s">
        <v>54</v>
      </c>
      <c r="K545" s="108"/>
      <c r="L545" s="106"/>
      <c r="M545" s="110"/>
      <c r="N545" s="105" t="s">
        <v>78</v>
      </c>
      <c r="O545" s="105" t="str">
        <f t="shared" si="20"/>
        <v/>
      </c>
      <c r="P545" s="105"/>
      <c r="Q545" s="105" t="s">
        <v>77</v>
      </c>
      <c r="R545" s="105" t="s">
        <v>77</v>
      </c>
      <c r="S545" s="105"/>
      <c r="T545" s="105"/>
      <c r="U545" s="105"/>
      <c r="V545" s="105"/>
      <c r="W545" s="105" t="s">
        <v>80</v>
      </c>
      <c r="X545" s="105"/>
      <c r="Y545" s="105"/>
    </row>
    <row r="546" spans="1:25" s="99" customFormat="1" ht="26.25" customHeight="1">
      <c r="A546" s="100">
        <v>4287</v>
      </c>
      <c r="B546" s="101" t="s">
        <v>11</v>
      </c>
      <c r="C546" s="105" t="s">
        <v>52</v>
      </c>
      <c r="D546" s="105" t="s">
        <v>1141</v>
      </c>
      <c r="E546" s="105" t="s">
        <v>44</v>
      </c>
      <c r="F546" s="101" t="str">
        <f t="shared" si="19"/>
        <v>-</v>
      </c>
      <c r="G546" s="106" t="s">
        <v>53</v>
      </c>
      <c r="H546" s="105"/>
      <c r="I546" s="106" t="s">
        <v>1142</v>
      </c>
      <c r="J546" s="107" t="s">
        <v>54</v>
      </c>
      <c r="K546" s="108"/>
      <c r="L546" s="106"/>
      <c r="M546" s="110"/>
      <c r="N546" s="105" t="s">
        <v>78</v>
      </c>
      <c r="O546" s="105" t="str">
        <f t="shared" si="20"/>
        <v/>
      </c>
      <c r="P546" s="105"/>
      <c r="Q546" s="105" t="s">
        <v>77</v>
      </c>
      <c r="R546" s="105" t="s">
        <v>77</v>
      </c>
      <c r="S546" s="105"/>
      <c r="T546" s="105"/>
      <c r="U546" s="105"/>
      <c r="V546" s="105"/>
      <c r="W546" s="105" t="s">
        <v>80</v>
      </c>
      <c r="X546" s="105"/>
      <c r="Y546" s="105"/>
    </row>
    <row r="547" spans="1:25" s="99" customFormat="1" ht="26.25" customHeight="1">
      <c r="A547" s="100">
        <v>4288</v>
      </c>
      <c r="B547" s="101" t="s">
        <v>11</v>
      </c>
      <c r="C547" s="105" t="s">
        <v>52</v>
      </c>
      <c r="D547" s="105" t="s">
        <v>1143</v>
      </c>
      <c r="E547" s="105" t="s">
        <v>44</v>
      </c>
      <c r="F547" s="101" t="str">
        <f t="shared" si="19"/>
        <v>-</v>
      </c>
      <c r="G547" s="106" t="s">
        <v>53</v>
      </c>
      <c r="H547" s="105"/>
      <c r="I547" s="106" t="s">
        <v>1144</v>
      </c>
      <c r="J547" s="107" t="s">
        <v>54</v>
      </c>
      <c r="K547" s="108"/>
      <c r="L547" s="106"/>
      <c r="M547" s="110"/>
      <c r="N547" s="105" t="s">
        <v>78</v>
      </c>
      <c r="O547" s="105" t="str">
        <f t="shared" si="20"/>
        <v/>
      </c>
      <c r="P547" s="105"/>
      <c r="Q547" s="105" t="s">
        <v>77</v>
      </c>
      <c r="R547" s="105" t="s">
        <v>77</v>
      </c>
      <c r="S547" s="105"/>
      <c r="T547" s="105"/>
      <c r="U547" s="105"/>
      <c r="V547" s="105"/>
      <c r="W547" s="105" t="s">
        <v>80</v>
      </c>
      <c r="X547" s="105"/>
      <c r="Y547" s="105"/>
    </row>
    <row r="548" spans="1:25" s="99" customFormat="1" ht="26.25" customHeight="1">
      <c r="A548" s="100">
        <v>4289</v>
      </c>
      <c r="B548" s="101" t="s">
        <v>11</v>
      </c>
      <c r="C548" s="105" t="s">
        <v>52</v>
      </c>
      <c r="D548" s="105" t="s">
        <v>1145</v>
      </c>
      <c r="E548" s="105" t="s">
        <v>44</v>
      </c>
      <c r="F548" s="101" t="str">
        <f t="shared" si="19"/>
        <v>-</v>
      </c>
      <c r="G548" s="106" t="s">
        <v>53</v>
      </c>
      <c r="H548" s="105"/>
      <c r="I548" s="106" t="s">
        <v>1146</v>
      </c>
      <c r="J548" s="107" t="s">
        <v>54</v>
      </c>
      <c r="K548" s="108"/>
      <c r="L548" s="106"/>
      <c r="M548" s="110"/>
      <c r="N548" s="105" t="s">
        <v>78</v>
      </c>
      <c r="O548" s="105" t="str">
        <f t="shared" si="20"/>
        <v/>
      </c>
      <c r="P548" s="105"/>
      <c r="Q548" s="105" t="s">
        <v>77</v>
      </c>
      <c r="R548" s="105" t="s">
        <v>77</v>
      </c>
      <c r="S548" s="105"/>
      <c r="T548" s="105"/>
      <c r="U548" s="105"/>
      <c r="V548" s="105"/>
      <c r="W548" s="105" t="s">
        <v>80</v>
      </c>
      <c r="X548" s="105"/>
      <c r="Y548" s="105"/>
    </row>
    <row r="549" spans="1:25" s="99" customFormat="1" ht="26.25" customHeight="1">
      <c r="A549" s="100">
        <v>4290</v>
      </c>
      <c r="B549" s="101" t="s">
        <v>11</v>
      </c>
      <c r="C549" s="105" t="s">
        <v>52</v>
      </c>
      <c r="D549" s="105" t="s">
        <v>1147</v>
      </c>
      <c r="E549" s="105" t="s">
        <v>44</v>
      </c>
      <c r="F549" s="101" t="str">
        <f t="shared" si="19"/>
        <v>-</v>
      </c>
      <c r="G549" s="106" t="s">
        <v>53</v>
      </c>
      <c r="H549" s="105"/>
      <c r="I549" s="106" t="s">
        <v>1148</v>
      </c>
      <c r="J549" s="107" t="s">
        <v>54</v>
      </c>
      <c r="K549" s="108"/>
      <c r="L549" s="106"/>
      <c r="M549" s="110"/>
      <c r="N549" s="105" t="s">
        <v>78</v>
      </c>
      <c r="O549" s="105" t="str">
        <f t="shared" si="20"/>
        <v/>
      </c>
      <c r="P549" s="105"/>
      <c r="Q549" s="105" t="s">
        <v>77</v>
      </c>
      <c r="R549" s="105" t="s">
        <v>77</v>
      </c>
      <c r="S549" s="105"/>
      <c r="T549" s="105"/>
      <c r="U549" s="105"/>
      <c r="V549" s="105"/>
      <c r="W549" s="105" t="s">
        <v>80</v>
      </c>
      <c r="X549" s="105"/>
      <c r="Y549" s="105"/>
    </row>
    <row r="550" spans="1:25" s="99" customFormat="1" ht="26.25" customHeight="1">
      <c r="A550" s="100">
        <v>4291</v>
      </c>
      <c r="B550" s="101" t="s">
        <v>11</v>
      </c>
      <c r="C550" s="105" t="s">
        <v>52</v>
      </c>
      <c r="D550" s="105" t="s">
        <v>1149</v>
      </c>
      <c r="E550" s="105" t="s">
        <v>44</v>
      </c>
      <c r="F550" s="101" t="str">
        <f t="shared" si="19"/>
        <v>-</v>
      </c>
      <c r="G550" s="106" t="s">
        <v>53</v>
      </c>
      <c r="H550" s="105"/>
      <c r="I550" s="106" t="s">
        <v>1150</v>
      </c>
      <c r="J550" s="107" t="s">
        <v>54</v>
      </c>
      <c r="K550" s="108"/>
      <c r="L550" s="106"/>
      <c r="M550" s="110"/>
      <c r="N550" s="105" t="s">
        <v>78</v>
      </c>
      <c r="O550" s="105" t="str">
        <f t="shared" si="20"/>
        <v/>
      </c>
      <c r="P550" s="105"/>
      <c r="Q550" s="105" t="s">
        <v>77</v>
      </c>
      <c r="R550" s="105" t="s">
        <v>77</v>
      </c>
      <c r="S550" s="105"/>
      <c r="T550" s="105"/>
      <c r="U550" s="105"/>
      <c r="V550" s="105"/>
      <c r="W550" s="105" t="s">
        <v>80</v>
      </c>
      <c r="X550" s="105"/>
      <c r="Y550" s="105"/>
    </row>
    <row r="551" spans="1:25" s="99" customFormat="1" ht="26.25" customHeight="1">
      <c r="A551" s="100">
        <v>4292</v>
      </c>
      <c r="B551" s="101" t="s">
        <v>11</v>
      </c>
      <c r="C551" s="105" t="s">
        <v>52</v>
      </c>
      <c r="D551" s="105" t="s">
        <v>1151</v>
      </c>
      <c r="E551" s="105" t="s">
        <v>44</v>
      </c>
      <c r="F551" s="101" t="str">
        <f t="shared" si="19"/>
        <v>-</v>
      </c>
      <c r="G551" s="106" t="s">
        <v>53</v>
      </c>
      <c r="H551" s="105"/>
      <c r="I551" s="106" t="s">
        <v>1152</v>
      </c>
      <c r="J551" s="107" t="s">
        <v>54</v>
      </c>
      <c r="K551" s="108"/>
      <c r="L551" s="106"/>
      <c r="M551" s="110"/>
      <c r="N551" s="105" t="s">
        <v>78</v>
      </c>
      <c r="O551" s="105" t="str">
        <f t="shared" si="20"/>
        <v/>
      </c>
      <c r="P551" s="105"/>
      <c r="Q551" s="105" t="s">
        <v>77</v>
      </c>
      <c r="R551" s="105" t="s">
        <v>77</v>
      </c>
      <c r="S551" s="105"/>
      <c r="T551" s="105"/>
      <c r="U551" s="105"/>
      <c r="V551" s="105"/>
      <c r="W551" s="105" t="s">
        <v>80</v>
      </c>
      <c r="X551" s="105"/>
      <c r="Y551" s="105"/>
    </row>
    <row r="552" spans="1:25" s="99" customFormat="1" ht="26.25" customHeight="1">
      <c r="A552" s="100">
        <v>4293</v>
      </c>
      <c r="B552" s="101" t="s">
        <v>11</v>
      </c>
      <c r="C552" s="105" t="s">
        <v>52</v>
      </c>
      <c r="D552" s="105" t="s">
        <v>1153</v>
      </c>
      <c r="E552" s="105" t="s">
        <v>44</v>
      </c>
      <c r="F552" s="101" t="str">
        <f t="shared" si="19"/>
        <v>-</v>
      </c>
      <c r="G552" s="106" t="s">
        <v>53</v>
      </c>
      <c r="H552" s="105"/>
      <c r="I552" s="106" t="s">
        <v>1154</v>
      </c>
      <c r="J552" s="107" t="s">
        <v>54</v>
      </c>
      <c r="K552" s="108"/>
      <c r="L552" s="106"/>
      <c r="M552" s="110"/>
      <c r="N552" s="105" t="s">
        <v>78</v>
      </c>
      <c r="O552" s="105" t="str">
        <f t="shared" si="20"/>
        <v/>
      </c>
      <c r="P552" s="105"/>
      <c r="Q552" s="105" t="s">
        <v>77</v>
      </c>
      <c r="R552" s="105" t="s">
        <v>77</v>
      </c>
      <c r="S552" s="105"/>
      <c r="T552" s="105"/>
      <c r="U552" s="105"/>
      <c r="V552" s="105"/>
      <c r="W552" s="105" t="s">
        <v>80</v>
      </c>
      <c r="X552" s="105"/>
      <c r="Y552" s="105"/>
    </row>
    <row r="553" spans="1:25" s="99" customFormat="1" ht="26.25" customHeight="1">
      <c r="A553" s="100">
        <v>4294</v>
      </c>
      <c r="B553" s="101" t="s">
        <v>11</v>
      </c>
      <c r="C553" s="105" t="s">
        <v>52</v>
      </c>
      <c r="D553" s="105" t="s">
        <v>1155</v>
      </c>
      <c r="E553" s="105" t="s">
        <v>44</v>
      </c>
      <c r="F553" s="101" t="str">
        <f t="shared" si="19"/>
        <v>-</v>
      </c>
      <c r="G553" s="106" t="s">
        <v>53</v>
      </c>
      <c r="H553" s="105"/>
      <c r="I553" s="106" t="s">
        <v>1156</v>
      </c>
      <c r="J553" s="107" t="s">
        <v>54</v>
      </c>
      <c r="K553" s="108"/>
      <c r="L553" s="106"/>
      <c r="M553" s="110"/>
      <c r="N553" s="105" t="s">
        <v>78</v>
      </c>
      <c r="O553" s="105" t="str">
        <f t="shared" si="20"/>
        <v/>
      </c>
      <c r="P553" s="105"/>
      <c r="Q553" s="105" t="s">
        <v>77</v>
      </c>
      <c r="R553" s="105" t="s">
        <v>77</v>
      </c>
      <c r="S553" s="105"/>
      <c r="T553" s="105"/>
      <c r="U553" s="105"/>
      <c r="V553" s="105"/>
      <c r="W553" s="105" t="s">
        <v>80</v>
      </c>
      <c r="X553" s="105"/>
      <c r="Y553" s="105"/>
    </row>
    <row r="554" spans="1:25" s="99" customFormat="1" ht="26.25" customHeight="1">
      <c r="A554" s="100">
        <v>4295</v>
      </c>
      <c r="B554" s="101" t="s">
        <v>11</v>
      </c>
      <c r="C554" s="105" t="s">
        <v>52</v>
      </c>
      <c r="D554" s="105" t="s">
        <v>1157</v>
      </c>
      <c r="E554" s="105" t="s">
        <v>44</v>
      </c>
      <c r="F554" s="101" t="str">
        <f t="shared" si="19"/>
        <v>-</v>
      </c>
      <c r="G554" s="106" t="s">
        <v>53</v>
      </c>
      <c r="H554" s="105"/>
      <c r="I554" s="106" t="s">
        <v>1158</v>
      </c>
      <c r="J554" s="107" t="s">
        <v>54</v>
      </c>
      <c r="K554" s="108"/>
      <c r="L554" s="106"/>
      <c r="M554" s="110"/>
      <c r="N554" s="105" t="s">
        <v>78</v>
      </c>
      <c r="O554" s="105" t="str">
        <f t="shared" si="20"/>
        <v/>
      </c>
      <c r="P554" s="105"/>
      <c r="Q554" s="105" t="s">
        <v>77</v>
      </c>
      <c r="R554" s="105" t="s">
        <v>77</v>
      </c>
      <c r="S554" s="105"/>
      <c r="T554" s="105"/>
      <c r="U554" s="105"/>
      <c r="V554" s="105"/>
      <c r="W554" s="105" t="s">
        <v>80</v>
      </c>
      <c r="X554" s="105"/>
      <c r="Y554" s="105"/>
    </row>
    <row r="555" spans="1:25" s="99" customFormat="1" ht="26.25" customHeight="1">
      <c r="A555" s="100">
        <v>4296</v>
      </c>
      <c r="B555" s="101" t="s">
        <v>11</v>
      </c>
      <c r="C555" s="105" t="s">
        <v>52</v>
      </c>
      <c r="D555" s="105" t="s">
        <v>1159</v>
      </c>
      <c r="E555" s="105" t="s">
        <v>44</v>
      </c>
      <c r="F555" s="101" t="str">
        <f t="shared" si="19"/>
        <v>-</v>
      </c>
      <c r="G555" s="106" t="s">
        <v>53</v>
      </c>
      <c r="H555" s="105"/>
      <c r="I555" s="106" t="s">
        <v>1160</v>
      </c>
      <c r="J555" s="107" t="s">
        <v>54</v>
      </c>
      <c r="K555" s="108"/>
      <c r="L555" s="106"/>
      <c r="M555" s="110"/>
      <c r="N555" s="105" t="s">
        <v>78</v>
      </c>
      <c r="O555" s="105" t="str">
        <f t="shared" si="20"/>
        <v/>
      </c>
      <c r="P555" s="105"/>
      <c r="Q555" s="105" t="s">
        <v>77</v>
      </c>
      <c r="R555" s="105" t="s">
        <v>77</v>
      </c>
      <c r="S555" s="105"/>
      <c r="T555" s="105"/>
      <c r="U555" s="105"/>
      <c r="V555" s="105"/>
      <c r="W555" s="105" t="s">
        <v>80</v>
      </c>
      <c r="X555" s="105"/>
      <c r="Y555" s="105"/>
    </row>
    <row r="556" spans="1:25" s="99" customFormat="1" ht="26.25" customHeight="1">
      <c r="A556" s="100">
        <v>4297</v>
      </c>
      <c r="B556" s="101" t="s">
        <v>11</v>
      </c>
      <c r="C556" s="105" t="s">
        <v>52</v>
      </c>
      <c r="D556" s="105" t="s">
        <v>1161</v>
      </c>
      <c r="E556" s="105" t="s">
        <v>44</v>
      </c>
      <c r="F556" s="101" t="str">
        <f t="shared" si="19"/>
        <v>-</v>
      </c>
      <c r="G556" s="106" t="s">
        <v>53</v>
      </c>
      <c r="H556" s="105"/>
      <c r="I556" s="106" t="s">
        <v>1162</v>
      </c>
      <c r="J556" s="107" t="s">
        <v>54</v>
      </c>
      <c r="K556" s="108"/>
      <c r="L556" s="106"/>
      <c r="M556" s="110"/>
      <c r="N556" s="105" t="s">
        <v>78</v>
      </c>
      <c r="O556" s="105" t="str">
        <f t="shared" si="20"/>
        <v/>
      </c>
      <c r="P556" s="105"/>
      <c r="Q556" s="105" t="s">
        <v>77</v>
      </c>
      <c r="R556" s="105" t="s">
        <v>77</v>
      </c>
      <c r="S556" s="105"/>
      <c r="T556" s="105"/>
      <c r="U556" s="105"/>
      <c r="V556" s="105"/>
      <c r="W556" s="105" t="s">
        <v>80</v>
      </c>
      <c r="X556" s="105"/>
      <c r="Y556" s="105"/>
    </row>
    <row r="557" spans="1:25" s="99" customFormat="1" ht="26.25" customHeight="1">
      <c r="A557" s="100">
        <v>4298</v>
      </c>
      <c r="B557" s="101" t="s">
        <v>11</v>
      </c>
      <c r="C557" s="105" t="s">
        <v>52</v>
      </c>
      <c r="D557" s="105" t="s">
        <v>1163</v>
      </c>
      <c r="E557" s="105" t="s">
        <v>44</v>
      </c>
      <c r="F557" s="101" t="str">
        <f t="shared" si="19"/>
        <v>-</v>
      </c>
      <c r="G557" s="106" t="s">
        <v>53</v>
      </c>
      <c r="H557" s="105"/>
      <c r="I557" s="106" t="s">
        <v>1164</v>
      </c>
      <c r="J557" s="107" t="s">
        <v>54</v>
      </c>
      <c r="K557" s="108"/>
      <c r="L557" s="106"/>
      <c r="M557" s="110"/>
      <c r="N557" s="105" t="s">
        <v>78</v>
      </c>
      <c r="O557" s="105" t="str">
        <f t="shared" si="20"/>
        <v/>
      </c>
      <c r="P557" s="105"/>
      <c r="Q557" s="105" t="s">
        <v>77</v>
      </c>
      <c r="R557" s="105" t="s">
        <v>77</v>
      </c>
      <c r="S557" s="105"/>
      <c r="T557" s="105"/>
      <c r="U557" s="105"/>
      <c r="V557" s="105"/>
      <c r="W557" s="105" t="s">
        <v>80</v>
      </c>
      <c r="X557" s="105"/>
      <c r="Y557" s="105"/>
    </row>
    <row r="558" spans="1:25" s="99" customFormat="1" ht="26.25" customHeight="1">
      <c r="A558" s="100">
        <v>4299</v>
      </c>
      <c r="B558" s="101" t="s">
        <v>11</v>
      </c>
      <c r="C558" s="105" t="s">
        <v>52</v>
      </c>
      <c r="D558" s="105" t="s">
        <v>1165</v>
      </c>
      <c r="E558" s="105" t="s">
        <v>44</v>
      </c>
      <c r="F558" s="101" t="str">
        <f t="shared" si="19"/>
        <v>-</v>
      </c>
      <c r="G558" s="106" t="s">
        <v>53</v>
      </c>
      <c r="H558" s="105"/>
      <c r="I558" s="106" t="s">
        <v>1166</v>
      </c>
      <c r="J558" s="107" t="s">
        <v>54</v>
      </c>
      <c r="K558" s="108"/>
      <c r="L558" s="106"/>
      <c r="M558" s="110"/>
      <c r="N558" s="105" t="s">
        <v>78</v>
      </c>
      <c r="O558" s="105" t="str">
        <f t="shared" si="20"/>
        <v/>
      </c>
      <c r="P558" s="105"/>
      <c r="Q558" s="105" t="s">
        <v>77</v>
      </c>
      <c r="R558" s="105" t="s">
        <v>77</v>
      </c>
      <c r="S558" s="105"/>
      <c r="T558" s="105"/>
      <c r="U558" s="105"/>
      <c r="V558" s="105"/>
      <c r="W558" s="105" t="s">
        <v>80</v>
      </c>
      <c r="X558" s="105"/>
      <c r="Y558" s="105"/>
    </row>
    <row r="559" spans="1:25" s="99" customFormat="1" ht="26.25" customHeight="1">
      <c r="A559" s="100">
        <v>4300</v>
      </c>
      <c r="B559" s="101" t="s">
        <v>11</v>
      </c>
      <c r="C559" s="105" t="s">
        <v>52</v>
      </c>
      <c r="D559" s="105" t="s">
        <v>1167</v>
      </c>
      <c r="E559" s="105" t="s">
        <v>44</v>
      </c>
      <c r="F559" s="101" t="str">
        <f t="shared" si="19"/>
        <v>-</v>
      </c>
      <c r="G559" s="106" t="s">
        <v>53</v>
      </c>
      <c r="H559" s="105"/>
      <c r="I559" s="106" t="s">
        <v>1168</v>
      </c>
      <c r="J559" s="107" t="s">
        <v>54</v>
      </c>
      <c r="K559" s="108"/>
      <c r="L559" s="106"/>
      <c r="M559" s="110"/>
      <c r="N559" s="105" t="s">
        <v>78</v>
      </c>
      <c r="O559" s="105" t="str">
        <f t="shared" si="20"/>
        <v/>
      </c>
      <c r="P559" s="105"/>
      <c r="Q559" s="105" t="s">
        <v>77</v>
      </c>
      <c r="R559" s="105" t="s">
        <v>77</v>
      </c>
      <c r="S559" s="105"/>
      <c r="T559" s="105"/>
      <c r="U559" s="105"/>
      <c r="V559" s="105"/>
      <c r="W559" s="105" t="s">
        <v>80</v>
      </c>
      <c r="X559" s="105"/>
      <c r="Y559" s="105"/>
    </row>
    <row r="560" spans="1:25" s="99" customFormat="1" ht="26.25" customHeight="1">
      <c r="A560" s="100">
        <v>4301</v>
      </c>
      <c r="B560" s="101" t="s">
        <v>11</v>
      </c>
      <c r="C560" s="105" t="s">
        <v>52</v>
      </c>
      <c r="D560" s="105" t="s">
        <v>1169</v>
      </c>
      <c r="E560" s="105" t="s">
        <v>44</v>
      </c>
      <c r="F560" s="101" t="str">
        <f t="shared" si="19"/>
        <v>-</v>
      </c>
      <c r="G560" s="106" t="s">
        <v>53</v>
      </c>
      <c r="H560" s="105"/>
      <c r="I560" s="106" t="s">
        <v>1170</v>
      </c>
      <c r="J560" s="107" t="s">
        <v>54</v>
      </c>
      <c r="K560" s="108"/>
      <c r="L560" s="106"/>
      <c r="M560" s="110"/>
      <c r="N560" s="105" t="s">
        <v>78</v>
      </c>
      <c r="O560" s="105" t="str">
        <f t="shared" si="20"/>
        <v/>
      </c>
      <c r="P560" s="105"/>
      <c r="Q560" s="105" t="s">
        <v>77</v>
      </c>
      <c r="R560" s="105" t="s">
        <v>77</v>
      </c>
      <c r="S560" s="105"/>
      <c r="T560" s="105"/>
      <c r="U560" s="105"/>
      <c r="V560" s="105"/>
      <c r="W560" s="105" t="s">
        <v>80</v>
      </c>
      <c r="X560" s="105"/>
      <c r="Y560" s="105"/>
    </row>
    <row r="561" spans="1:25" s="99" customFormat="1" ht="26.25" customHeight="1">
      <c r="A561" s="100">
        <v>4302</v>
      </c>
      <c r="B561" s="101" t="s">
        <v>11</v>
      </c>
      <c r="C561" s="105" t="s">
        <v>52</v>
      </c>
      <c r="D561" s="105" t="s">
        <v>1171</v>
      </c>
      <c r="E561" s="105" t="s">
        <v>44</v>
      </c>
      <c r="F561" s="101" t="str">
        <f t="shared" si="19"/>
        <v>-</v>
      </c>
      <c r="G561" s="106" t="s">
        <v>53</v>
      </c>
      <c r="H561" s="105"/>
      <c r="I561" s="106" t="s">
        <v>1172</v>
      </c>
      <c r="J561" s="107" t="s">
        <v>54</v>
      </c>
      <c r="K561" s="108"/>
      <c r="L561" s="106"/>
      <c r="M561" s="110"/>
      <c r="N561" s="105" t="s">
        <v>78</v>
      </c>
      <c r="O561" s="105" t="str">
        <f t="shared" si="20"/>
        <v/>
      </c>
      <c r="P561" s="105"/>
      <c r="Q561" s="105" t="s">
        <v>77</v>
      </c>
      <c r="R561" s="105" t="s">
        <v>77</v>
      </c>
      <c r="S561" s="105"/>
      <c r="T561" s="105"/>
      <c r="U561" s="105"/>
      <c r="V561" s="105"/>
      <c r="W561" s="105" t="s">
        <v>80</v>
      </c>
      <c r="X561" s="105"/>
      <c r="Y561" s="105"/>
    </row>
    <row r="562" spans="1:25" s="99" customFormat="1" ht="26.25" customHeight="1">
      <c r="A562" s="100">
        <v>4303</v>
      </c>
      <c r="B562" s="101" t="s">
        <v>11</v>
      </c>
      <c r="C562" s="105" t="s">
        <v>52</v>
      </c>
      <c r="D562" s="105" t="s">
        <v>1173</v>
      </c>
      <c r="E562" s="105" t="s">
        <v>44</v>
      </c>
      <c r="F562" s="101" t="str">
        <f t="shared" si="19"/>
        <v>-</v>
      </c>
      <c r="G562" s="106" t="s">
        <v>53</v>
      </c>
      <c r="H562" s="105"/>
      <c r="I562" s="106" t="s">
        <v>1174</v>
      </c>
      <c r="J562" s="107" t="s">
        <v>54</v>
      </c>
      <c r="K562" s="108"/>
      <c r="L562" s="106"/>
      <c r="M562" s="110"/>
      <c r="N562" s="105" t="s">
        <v>78</v>
      </c>
      <c r="O562" s="105" t="str">
        <f t="shared" si="20"/>
        <v/>
      </c>
      <c r="P562" s="105"/>
      <c r="Q562" s="105" t="s">
        <v>77</v>
      </c>
      <c r="R562" s="105" t="s">
        <v>77</v>
      </c>
      <c r="S562" s="105"/>
      <c r="T562" s="105"/>
      <c r="U562" s="105"/>
      <c r="V562" s="105"/>
      <c r="W562" s="105" t="s">
        <v>80</v>
      </c>
      <c r="X562" s="105"/>
      <c r="Y562" s="105"/>
    </row>
    <row r="563" spans="1:25" s="99" customFormat="1" ht="26.25" customHeight="1">
      <c r="A563" s="100">
        <v>4304</v>
      </c>
      <c r="B563" s="101" t="s">
        <v>11</v>
      </c>
      <c r="C563" s="105" t="s">
        <v>52</v>
      </c>
      <c r="D563" s="105" t="s">
        <v>1175</v>
      </c>
      <c r="E563" s="105" t="s">
        <v>44</v>
      </c>
      <c r="F563" s="101" t="str">
        <f t="shared" si="19"/>
        <v>-</v>
      </c>
      <c r="G563" s="106" t="s">
        <v>53</v>
      </c>
      <c r="H563" s="105"/>
      <c r="I563" s="106" t="s">
        <v>1176</v>
      </c>
      <c r="J563" s="107" t="s">
        <v>54</v>
      </c>
      <c r="K563" s="108"/>
      <c r="L563" s="106"/>
      <c r="M563" s="110"/>
      <c r="N563" s="105" t="s">
        <v>78</v>
      </c>
      <c r="O563" s="105" t="str">
        <f t="shared" si="20"/>
        <v/>
      </c>
      <c r="P563" s="105"/>
      <c r="Q563" s="105" t="s">
        <v>77</v>
      </c>
      <c r="R563" s="105" t="s">
        <v>77</v>
      </c>
      <c r="S563" s="105"/>
      <c r="T563" s="105"/>
      <c r="U563" s="105"/>
      <c r="V563" s="105"/>
      <c r="W563" s="105" t="s">
        <v>80</v>
      </c>
      <c r="X563" s="105"/>
      <c r="Y563" s="105"/>
    </row>
    <row r="564" spans="1:25" s="99" customFormat="1" ht="26.25" customHeight="1">
      <c r="A564" s="100">
        <v>4305</v>
      </c>
      <c r="B564" s="101" t="s">
        <v>11</v>
      </c>
      <c r="C564" s="105" t="s">
        <v>52</v>
      </c>
      <c r="D564" s="105" t="s">
        <v>1177</v>
      </c>
      <c r="E564" s="105" t="s">
        <v>44</v>
      </c>
      <c r="F564" s="101" t="str">
        <f t="shared" si="19"/>
        <v>-</v>
      </c>
      <c r="G564" s="106" t="s">
        <v>53</v>
      </c>
      <c r="H564" s="105"/>
      <c r="I564" s="106" t="s">
        <v>1178</v>
      </c>
      <c r="J564" s="107" t="s">
        <v>54</v>
      </c>
      <c r="K564" s="108"/>
      <c r="L564" s="106"/>
      <c r="M564" s="110"/>
      <c r="N564" s="105" t="s">
        <v>78</v>
      </c>
      <c r="O564" s="105" t="str">
        <f t="shared" si="20"/>
        <v/>
      </c>
      <c r="P564" s="105"/>
      <c r="Q564" s="105" t="s">
        <v>77</v>
      </c>
      <c r="R564" s="105" t="s">
        <v>77</v>
      </c>
      <c r="S564" s="105"/>
      <c r="T564" s="105"/>
      <c r="U564" s="105"/>
      <c r="V564" s="105"/>
      <c r="W564" s="105" t="s">
        <v>80</v>
      </c>
      <c r="X564" s="105"/>
      <c r="Y564" s="105"/>
    </row>
    <row r="565" spans="1:25" s="99" customFormat="1" ht="26.25" customHeight="1">
      <c r="A565" s="100">
        <v>4306</v>
      </c>
      <c r="B565" s="101" t="s">
        <v>11</v>
      </c>
      <c r="C565" s="105" t="s">
        <v>52</v>
      </c>
      <c r="D565" s="105" t="s">
        <v>1179</v>
      </c>
      <c r="E565" s="105" t="s">
        <v>44</v>
      </c>
      <c r="F565" s="101" t="str">
        <f t="shared" si="19"/>
        <v>-</v>
      </c>
      <c r="G565" s="106" t="s">
        <v>53</v>
      </c>
      <c r="H565" s="105"/>
      <c r="I565" s="106" t="s">
        <v>1180</v>
      </c>
      <c r="J565" s="107" t="s">
        <v>54</v>
      </c>
      <c r="K565" s="108"/>
      <c r="L565" s="106"/>
      <c r="M565" s="110"/>
      <c r="N565" s="105" t="s">
        <v>78</v>
      </c>
      <c r="O565" s="105" t="str">
        <f t="shared" si="20"/>
        <v/>
      </c>
      <c r="P565" s="105"/>
      <c r="Q565" s="105" t="s">
        <v>77</v>
      </c>
      <c r="R565" s="105" t="s">
        <v>77</v>
      </c>
      <c r="S565" s="105"/>
      <c r="T565" s="105"/>
      <c r="U565" s="105"/>
      <c r="V565" s="105"/>
      <c r="W565" s="105" t="s">
        <v>80</v>
      </c>
      <c r="X565" s="105"/>
      <c r="Y565" s="105"/>
    </row>
    <row r="566" spans="1:25" s="99" customFormat="1" ht="26.25" customHeight="1">
      <c r="A566" s="100">
        <v>4307</v>
      </c>
      <c r="B566" s="101" t="s">
        <v>11</v>
      </c>
      <c r="C566" s="105" t="s">
        <v>52</v>
      </c>
      <c r="D566" s="105" t="s">
        <v>1181</v>
      </c>
      <c r="E566" s="105" t="s">
        <v>44</v>
      </c>
      <c r="F566" s="101" t="str">
        <f t="shared" si="19"/>
        <v>-</v>
      </c>
      <c r="G566" s="106" t="s">
        <v>53</v>
      </c>
      <c r="H566" s="105"/>
      <c r="I566" s="106" t="s">
        <v>1182</v>
      </c>
      <c r="J566" s="107" t="s">
        <v>54</v>
      </c>
      <c r="K566" s="108"/>
      <c r="L566" s="106"/>
      <c r="M566" s="110"/>
      <c r="N566" s="105" t="s">
        <v>78</v>
      </c>
      <c r="O566" s="105" t="str">
        <f t="shared" si="20"/>
        <v/>
      </c>
      <c r="P566" s="105"/>
      <c r="Q566" s="105" t="s">
        <v>77</v>
      </c>
      <c r="R566" s="105" t="s">
        <v>77</v>
      </c>
      <c r="S566" s="105"/>
      <c r="T566" s="105"/>
      <c r="U566" s="105"/>
      <c r="V566" s="105"/>
      <c r="W566" s="105" t="s">
        <v>80</v>
      </c>
      <c r="X566" s="105"/>
      <c r="Y566" s="105"/>
    </row>
    <row r="567" spans="1:25" s="99" customFormat="1" ht="26.25" customHeight="1">
      <c r="A567" s="100">
        <v>4308</v>
      </c>
      <c r="B567" s="101" t="s">
        <v>11</v>
      </c>
      <c r="C567" s="105" t="s">
        <v>52</v>
      </c>
      <c r="D567" s="105" t="s">
        <v>1183</v>
      </c>
      <c r="E567" s="105" t="s">
        <v>44</v>
      </c>
      <c r="F567" s="101" t="str">
        <f t="shared" si="19"/>
        <v>-</v>
      </c>
      <c r="G567" s="106" t="s">
        <v>53</v>
      </c>
      <c r="H567" s="105"/>
      <c r="I567" s="106" t="s">
        <v>1184</v>
      </c>
      <c r="J567" s="107" t="s">
        <v>54</v>
      </c>
      <c r="K567" s="108"/>
      <c r="L567" s="106"/>
      <c r="M567" s="110"/>
      <c r="N567" s="105" t="s">
        <v>78</v>
      </c>
      <c r="O567" s="105" t="str">
        <f t="shared" si="20"/>
        <v/>
      </c>
      <c r="P567" s="105"/>
      <c r="Q567" s="105" t="s">
        <v>77</v>
      </c>
      <c r="R567" s="105" t="s">
        <v>77</v>
      </c>
      <c r="S567" s="105"/>
      <c r="T567" s="105"/>
      <c r="U567" s="105"/>
      <c r="V567" s="105"/>
      <c r="W567" s="105" t="s">
        <v>80</v>
      </c>
      <c r="X567" s="105"/>
      <c r="Y567" s="105"/>
    </row>
    <row r="568" spans="1:25" s="99" customFormat="1" ht="26.25" customHeight="1">
      <c r="A568" s="100">
        <v>4309</v>
      </c>
      <c r="B568" s="101" t="s">
        <v>11</v>
      </c>
      <c r="C568" s="105" t="s">
        <v>52</v>
      </c>
      <c r="D568" s="105" t="s">
        <v>1185</v>
      </c>
      <c r="E568" s="105" t="s">
        <v>44</v>
      </c>
      <c r="F568" s="101" t="str">
        <f t="shared" si="19"/>
        <v>-</v>
      </c>
      <c r="G568" s="106" t="s">
        <v>53</v>
      </c>
      <c r="H568" s="105"/>
      <c r="I568" s="106" t="s">
        <v>1186</v>
      </c>
      <c r="J568" s="107" t="s">
        <v>54</v>
      </c>
      <c r="K568" s="108"/>
      <c r="L568" s="106"/>
      <c r="M568" s="110"/>
      <c r="N568" s="105" t="s">
        <v>78</v>
      </c>
      <c r="O568" s="105" t="str">
        <f t="shared" si="20"/>
        <v/>
      </c>
      <c r="P568" s="105"/>
      <c r="Q568" s="105" t="s">
        <v>77</v>
      </c>
      <c r="R568" s="105" t="s">
        <v>77</v>
      </c>
      <c r="S568" s="105"/>
      <c r="T568" s="105"/>
      <c r="U568" s="105"/>
      <c r="V568" s="105"/>
      <c r="W568" s="105" t="s">
        <v>80</v>
      </c>
      <c r="X568" s="105"/>
      <c r="Y568" s="105"/>
    </row>
    <row r="569" spans="1:25" s="99" customFormat="1" ht="26.25" customHeight="1">
      <c r="A569" s="100">
        <v>4310</v>
      </c>
      <c r="B569" s="101" t="s">
        <v>11</v>
      </c>
      <c r="C569" s="105" t="s">
        <v>52</v>
      </c>
      <c r="D569" s="105" t="s">
        <v>1187</v>
      </c>
      <c r="E569" s="105" t="s">
        <v>44</v>
      </c>
      <c r="F569" s="101" t="str">
        <f t="shared" si="19"/>
        <v>-</v>
      </c>
      <c r="G569" s="106" t="s">
        <v>53</v>
      </c>
      <c r="H569" s="105"/>
      <c r="I569" s="106" t="s">
        <v>1188</v>
      </c>
      <c r="J569" s="107" t="s">
        <v>54</v>
      </c>
      <c r="K569" s="108"/>
      <c r="L569" s="106"/>
      <c r="M569" s="110"/>
      <c r="N569" s="105" t="s">
        <v>78</v>
      </c>
      <c r="O569" s="105" t="str">
        <f t="shared" si="20"/>
        <v/>
      </c>
      <c r="P569" s="105"/>
      <c r="Q569" s="105" t="s">
        <v>77</v>
      </c>
      <c r="R569" s="105" t="s">
        <v>77</v>
      </c>
      <c r="S569" s="105"/>
      <c r="T569" s="105"/>
      <c r="U569" s="105"/>
      <c r="V569" s="105"/>
      <c r="W569" s="105" t="s">
        <v>80</v>
      </c>
      <c r="X569" s="105"/>
      <c r="Y569" s="105"/>
    </row>
    <row r="570" spans="1:25" s="99" customFormat="1" ht="26.25" customHeight="1">
      <c r="A570" s="100">
        <v>4311</v>
      </c>
      <c r="B570" s="101" t="s">
        <v>11</v>
      </c>
      <c r="C570" s="105" t="s">
        <v>52</v>
      </c>
      <c r="D570" s="105" t="s">
        <v>1189</v>
      </c>
      <c r="E570" s="105" t="s">
        <v>44</v>
      </c>
      <c r="F570" s="101" t="str">
        <f t="shared" si="19"/>
        <v>-</v>
      </c>
      <c r="G570" s="106" t="s">
        <v>53</v>
      </c>
      <c r="H570" s="105"/>
      <c r="I570" s="106" t="s">
        <v>1190</v>
      </c>
      <c r="J570" s="107" t="s">
        <v>54</v>
      </c>
      <c r="K570" s="108"/>
      <c r="L570" s="106"/>
      <c r="M570" s="110"/>
      <c r="N570" s="105" t="s">
        <v>78</v>
      </c>
      <c r="O570" s="105" t="str">
        <f t="shared" si="20"/>
        <v/>
      </c>
      <c r="P570" s="105"/>
      <c r="Q570" s="105" t="s">
        <v>77</v>
      </c>
      <c r="R570" s="105" t="s">
        <v>77</v>
      </c>
      <c r="S570" s="105"/>
      <c r="T570" s="105"/>
      <c r="U570" s="105"/>
      <c r="V570" s="105"/>
      <c r="W570" s="105" t="s">
        <v>80</v>
      </c>
      <c r="X570" s="105"/>
      <c r="Y570" s="105"/>
    </row>
    <row r="571" spans="1:25" s="99" customFormat="1" ht="26.25" customHeight="1">
      <c r="A571" s="100">
        <v>4312</v>
      </c>
      <c r="B571" s="101" t="s">
        <v>11</v>
      </c>
      <c r="C571" s="105" t="s">
        <v>52</v>
      </c>
      <c r="D571" s="105" t="s">
        <v>1191</v>
      </c>
      <c r="E571" s="105" t="s">
        <v>44</v>
      </c>
      <c r="F571" s="101" t="str">
        <f t="shared" si="19"/>
        <v>-</v>
      </c>
      <c r="G571" s="106" t="s">
        <v>53</v>
      </c>
      <c r="H571" s="105"/>
      <c r="I571" s="106" t="s">
        <v>1192</v>
      </c>
      <c r="J571" s="107" t="s">
        <v>54</v>
      </c>
      <c r="K571" s="108"/>
      <c r="L571" s="106"/>
      <c r="M571" s="110"/>
      <c r="N571" s="105" t="s">
        <v>78</v>
      </c>
      <c r="O571" s="105" t="str">
        <f t="shared" si="20"/>
        <v/>
      </c>
      <c r="P571" s="105"/>
      <c r="Q571" s="105" t="s">
        <v>77</v>
      </c>
      <c r="R571" s="105" t="s">
        <v>77</v>
      </c>
      <c r="S571" s="105"/>
      <c r="T571" s="105"/>
      <c r="U571" s="105"/>
      <c r="V571" s="105"/>
      <c r="W571" s="105" t="s">
        <v>80</v>
      </c>
      <c r="X571" s="105"/>
      <c r="Y571" s="105"/>
    </row>
    <row r="572" spans="1:25" s="99" customFormat="1" ht="26.25" customHeight="1">
      <c r="A572" s="100">
        <v>4313</v>
      </c>
      <c r="B572" s="101" t="s">
        <v>11</v>
      </c>
      <c r="C572" s="105" t="s">
        <v>52</v>
      </c>
      <c r="D572" s="105" t="s">
        <v>1193</v>
      </c>
      <c r="E572" s="105" t="s">
        <v>44</v>
      </c>
      <c r="F572" s="101" t="str">
        <f t="shared" si="19"/>
        <v>-</v>
      </c>
      <c r="G572" s="106" t="s">
        <v>53</v>
      </c>
      <c r="H572" s="105"/>
      <c r="I572" s="106" t="s">
        <v>1194</v>
      </c>
      <c r="J572" s="107" t="s">
        <v>54</v>
      </c>
      <c r="K572" s="108"/>
      <c r="L572" s="106"/>
      <c r="M572" s="110"/>
      <c r="N572" s="105" t="s">
        <v>78</v>
      </c>
      <c r="O572" s="105" t="str">
        <f t="shared" si="20"/>
        <v/>
      </c>
      <c r="P572" s="105"/>
      <c r="Q572" s="105" t="s">
        <v>77</v>
      </c>
      <c r="R572" s="105" t="s">
        <v>77</v>
      </c>
      <c r="S572" s="105"/>
      <c r="T572" s="105"/>
      <c r="U572" s="105"/>
      <c r="V572" s="105"/>
      <c r="W572" s="105" t="s">
        <v>80</v>
      </c>
      <c r="X572" s="105"/>
      <c r="Y572" s="105"/>
    </row>
    <row r="573" spans="1:25" s="99" customFormat="1" ht="26.25" customHeight="1">
      <c r="A573" s="100">
        <v>4314</v>
      </c>
      <c r="B573" s="101" t="s">
        <v>11</v>
      </c>
      <c r="C573" s="105" t="s">
        <v>52</v>
      </c>
      <c r="D573" s="105" t="s">
        <v>1195</v>
      </c>
      <c r="E573" s="105" t="s">
        <v>44</v>
      </c>
      <c r="F573" s="101" t="str">
        <f t="shared" si="19"/>
        <v>-</v>
      </c>
      <c r="G573" s="106" t="s">
        <v>53</v>
      </c>
      <c r="H573" s="105"/>
      <c r="I573" s="106" t="s">
        <v>1196</v>
      </c>
      <c r="J573" s="107" t="s">
        <v>54</v>
      </c>
      <c r="K573" s="108"/>
      <c r="L573" s="106"/>
      <c r="M573" s="110"/>
      <c r="N573" s="105" t="s">
        <v>78</v>
      </c>
      <c r="O573" s="105" t="str">
        <f t="shared" si="20"/>
        <v/>
      </c>
      <c r="P573" s="105"/>
      <c r="Q573" s="105" t="s">
        <v>77</v>
      </c>
      <c r="R573" s="105" t="s">
        <v>77</v>
      </c>
      <c r="S573" s="105"/>
      <c r="T573" s="105"/>
      <c r="U573" s="105"/>
      <c r="V573" s="105"/>
      <c r="W573" s="105" t="s">
        <v>80</v>
      </c>
      <c r="X573" s="105"/>
      <c r="Y573" s="105"/>
    </row>
    <row r="574" spans="1:25" s="99" customFormat="1" ht="26.25" customHeight="1">
      <c r="A574" s="100">
        <v>4315</v>
      </c>
      <c r="B574" s="101" t="s">
        <v>11</v>
      </c>
      <c r="C574" s="105" t="s">
        <v>52</v>
      </c>
      <c r="D574" s="105" t="s">
        <v>1197</v>
      </c>
      <c r="E574" s="105" t="s">
        <v>44</v>
      </c>
      <c r="F574" s="101" t="str">
        <f t="shared" si="19"/>
        <v>-</v>
      </c>
      <c r="G574" s="106" t="s">
        <v>53</v>
      </c>
      <c r="H574" s="105"/>
      <c r="I574" s="106" t="s">
        <v>1198</v>
      </c>
      <c r="J574" s="107" t="s">
        <v>54</v>
      </c>
      <c r="K574" s="108"/>
      <c r="L574" s="106"/>
      <c r="M574" s="110"/>
      <c r="N574" s="105" t="s">
        <v>78</v>
      </c>
      <c r="O574" s="105" t="str">
        <f t="shared" si="20"/>
        <v/>
      </c>
      <c r="P574" s="105"/>
      <c r="Q574" s="105" t="s">
        <v>77</v>
      </c>
      <c r="R574" s="105" t="s">
        <v>77</v>
      </c>
      <c r="S574" s="105"/>
      <c r="T574" s="105"/>
      <c r="U574" s="105"/>
      <c r="V574" s="105"/>
      <c r="W574" s="105" t="s">
        <v>80</v>
      </c>
      <c r="X574" s="105"/>
      <c r="Y574" s="105"/>
    </row>
    <row r="575" spans="1:25" s="99" customFormat="1" ht="26.25" customHeight="1">
      <c r="A575" s="100">
        <v>4316</v>
      </c>
      <c r="B575" s="101" t="s">
        <v>11</v>
      </c>
      <c r="C575" s="105" t="s">
        <v>52</v>
      </c>
      <c r="D575" s="105" t="s">
        <v>1199</v>
      </c>
      <c r="E575" s="105" t="s">
        <v>44</v>
      </c>
      <c r="F575" s="101" t="str">
        <f t="shared" si="19"/>
        <v>-</v>
      </c>
      <c r="G575" s="106" t="s">
        <v>53</v>
      </c>
      <c r="H575" s="105"/>
      <c r="I575" s="106" t="s">
        <v>1200</v>
      </c>
      <c r="J575" s="107" t="s">
        <v>54</v>
      </c>
      <c r="K575" s="108"/>
      <c r="L575" s="106"/>
      <c r="M575" s="110"/>
      <c r="N575" s="105" t="s">
        <v>78</v>
      </c>
      <c r="O575" s="105" t="str">
        <f t="shared" si="20"/>
        <v/>
      </c>
      <c r="P575" s="105"/>
      <c r="Q575" s="105" t="s">
        <v>77</v>
      </c>
      <c r="R575" s="105" t="s">
        <v>77</v>
      </c>
      <c r="S575" s="105"/>
      <c r="T575" s="105"/>
      <c r="U575" s="105"/>
      <c r="V575" s="105"/>
      <c r="W575" s="105" t="s">
        <v>80</v>
      </c>
      <c r="X575" s="105"/>
      <c r="Y575" s="105"/>
    </row>
    <row r="576" spans="1:25" s="99" customFormat="1" ht="26.25" customHeight="1">
      <c r="A576" s="100">
        <v>4317</v>
      </c>
      <c r="B576" s="101" t="s">
        <v>11</v>
      </c>
      <c r="C576" s="105" t="s">
        <v>52</v>
      </c>
      <c r="D576" s="105" t="s">
        <v>1201</v>
      </c>
      <c r="E576" s="105" t="s">
        <v>44</v>
      </c>
      <c r="F576" s="101" t="str">
        <f t="shared" si="19"/>
        <v>-</v>
      </c>
      <c r="G576" s="106" t="s">
        <v>53</v>
      </c>
      <c r="H576" s="105"/>
      <c r="I576" s="106" t="s">
        <v>1202</v>
      </c>
      <c r="J576" s="107" t="s">
        <v>54</v>
      </c>
      <c r="K576" s="108"/>
      <c r="L576" s="106"/>
      <c r="M576" s="110"/>
      <c r="N576" s="105" t="s">
        <v>78</v>
      </c>
      <c r="O576" s="105" t="str">
        <f t="shared" si="20"/>
        <v/>
      </c>
      <c r="P576" s="105"/>
      <c r="Q576" s="105" t="s">
        <v>77</v>
      </c>
      <c r="R576" s="105" t="s">
        <v>77</v>
      </c>
      <c r="S576" s="105"/>
      <c r="T576" s="105"/>
      <c r="U576" s="105"/>
      <c r="V576" s="105"/>
      <c r="W576" s="105" t="s">
        <v>80</v>
      </c>
      <c r="X576" s="105"/>
      <c r="Y576" s="105"/>
    </row>
    <row r="577" spans="1:25" s="99" customFormat="1" ht="26.25" customHeight="1">
      <c r="A577" s="100">
        <v>4318</v>
      </c>
      <c r="B577" s="101" t="s">
        <v>11</v>
      </c>
      <c r="C577" s="105" t="s">
        <v>52</v>
      </c>
      <c r="D577" s="105" t="s">
        <v>1203</v>
      </c>
      <c r="E577" s="105" t="s">
        <v>44</v>
      </c>
      <c r="F577" s="101" t="str">
        <f t="shared" si="19"/>
        <v>-</v>
      </c>
      <c r="G577" s="106" t="s">
        <v>53</v>
      </c>
      <c r="H577" s="105"/>
      <c r="I577" s="106" t="s">
        <v>1204</v>
      </c>
      <c r="J577" s="107" t="s">
        <v>54</v>
      </c>
      <c r="K577" s="108"/>
      <c r="L577" s="106"/>
      <c r="M577" s="110"/>
      <c r="N577" s="105" t="s">
        <v>78</v>
      </c>
      <c r="O577" s="105" t="str">
        <f t="shared" si="20"/>
        <v/>
      </c>
      <c r="P577" s="105"/>
      <c r="Q577" s="105" t="s">
        <v>77</v>
      </c>
      <c r="R577" s="105" t="s">
        <v>77</v>
      </c>
      <c r="S577" s="105"/>
      <c r="T577" s="105"/>
      <c r="U577" s="105"/>
      <c r="V577" s="105"/>
      <c r="W577" s="105" t="s">
        <v>80</v>
      </c>
      <c r="X577" s="105"/>
      <c r="Y577" s="105"/>
    </row>
    <row r="578" spans="1:25" s="99" customFormat="1" ht="26.25" customHeight="1">
      <c r="A578" s="100">
        <v>4319</v>
      </c>
      <c r="B578" s="101" t="s">
        <v>11</v>
      </c>
      <c r="C578" s="105" t="s">
        <v>52</v>
      </c>
      <c r="D578" s="105" t="s">
        <v>1205</v>
      </c>
      <c r="E578" s="105" t="s">
        <v>44</v>
      </c>
      <c r="F578" s="101" t="str">
        <f t="shared" si="19"/>
        <v>-</v>
      </c>
      <c r="G578" s="106" t="s">
        <v>53</v>
      </c>
      <c r="H578" s="105"/>
      <c r="I578" s="106" t="s">
        <v>1206</v>
      </c>
      <c r="J578" s="107" t="s">
        <v>54</v>
      </c>
      <c r="K578" s="108"/>
      <c r="L578" s="106"/>
      <c r="M578" s="110"/>
      <c r="N578" s="105" t="s">
        <v>78</v>
      </c>
      <c r="O578" s="105" t="str">
        <f t="shared" si="20"/>
        <v/>
      </c>
      <c r="P578" s="105"/>
      <c r="Q578" s="105" t="s">
        <v>77</v>
      </c>
      <c r="R578" s="105" t="s">
        <v>77</v>
      </c>
      <c r="S578" s="105"/>
      <c r="T578" s="105"/>
      <c r="U578" s="105"/>
      <c r="V578" s="105"/>
      <c r="W578" s="105" t="s">
        <v>80</v>
      </c>
      <c r="X578" s="105"/>
      <c r="Y578" s="105"/>
    </row>
    <row r="579" spans="1:25" s="99" customFormat="1" ht="26.25" customHeight="1">
      <c r="A579" s="100">
        <v>4320</v>
      </c>
      <c r="B579" s="101" t="s">
        <v>11</v>
      </c>
      <c r="C579" s="105" t="s">
        <v>52</v>
      </c>
      <c r="D579" s="105" t="s">
        <v>1207</v>
      </c>
      <c r="E579" s="105" t="s">
        <v>44</v>
      </c>
      <c r="F579" s="101" t="str">
        <f t="shared" si="19"/>
        <v>-</v>
      </c>
      <c r="G579" s="106" t="s">
        <v>53</v>
      </c>
      <c r="H579" s="105"/>
      <c r="I579" s="106" t="s">
        <v>1208</v>
      </c>
      <c r="J579" s="107" t="s">
        <v>54</v>
      </c>
      <c r="K579" s="108"/>
      <c r="L579" s="106"/>
      <c r="M579" s="110"/>
      <c r="N579" s="105" t="s">
        <v>78</v>
      </c>
      <c r="O579" s="105" t="str">
        <f t="shared" si="20"/>
        <v/>
      </c>
      <c r="P579" s="105"/>
      <c r="Q579" s="105" t="s">
        <v>77</v>
      </c>
      <c r="R579" s="105" t="s">
        <v>77</v>
      </c>
      <c r="S579" s="105"/>
      <c r="T579" s="105"/>
      <c r="U579" s="105"/>
      <c r="V579" s="105"/>
      <c r="W579" s="105" t="s">
        <v>80</v>
      </c>
      <c r="X579" s="105"/>
      <c r="Y579" s="105"/>
    </row>
    <row r="580" spans="1:25" s="99" customFormat="1" ht="26.25" customHeight="1">
      <c r="A580" s="100">
        <v>4321</v>
      </c>
      <c r="B580" s="101" t="s">
        <v>11</v>
      </c>
      <c r="C580" s="105" t="s">
        <v>52</v>
      </c>
      <c r="D580" s="105" t="s">
        <v>1209</v>
      </c>
      <c r="E580" s="105" t="s">
        <v>44</v>
      </c>
      <c r="F580" s="101" t="str">
        <f t="shared" si="19"/>
        <v>-</v>
      </c>
      <c r="G580" s="106" t="s">
        <v>53</v>
      </c>
      <c r="H580" s="105"/>
      <c r="I580" s="106" t="s">
        <v>1210</v>
      </c>
      <c r="J580" s="107" t="s">
        <v>54</v>
      </c>
      <c r="K580" s="108"/>
      <c r="L580" s="106"/>
      <c r="M580" s="110"/>
      <c r="N580" s="105" t="s">
        <v>78</v>
      </c>
      <c r="O580" s="105" t="str">
        <f t="shared" si="20"/>
        <v/>
      </c>
      <c r="P580" s="105"/>
      <c r="Q580" s="105" t="s">
        <v>77</v>
      </c>
      <c r="R580" s="105" t="s">
        <v>77</v>
      </c>
      <c r="S580" s="105"/>
      <c r="T580" s="105"/>
      <c r="U580" s="105"/>
      <c r="V580" s="105"/>
      <c r="W580" s="105" t="s">
        <v>80</v>
      </c>
      <c r="X580" s="105"/>
      <c r="Y580" s="105"/>
    </row>
    <row r="581" spans="1:25" s="99" customFormat="1" ht="26.25" customHeight="1">
      <c r="A581" s="100">
        <v>4322</v>
      </c>
      <c r="B581" s="101" t="s">
        <v>11</v>
      </c>
      <c r="C581" s="105" t="s">
        <v>52</v>
      </c>
      <c r="D581" s="105" t="s">
        <v>1211</v>
      </c>
      <c r="E581" s="105" t="s">
        <v>44</v>
      </c>
      <c r="F581" s="101" t="str">
        <f t="shared" si="19"/>
        <v>-</v>
      </c>
      <c r="G581" s="106" t="s">
        <v>53</v>
      </c>
      <c r="H581" s="105"/>
      <c r="I581" s="106" t="s">
        <v>1212</v>
      </c>
      <c r="J581" s="107" t="s">
        <v>54</v>
      </c>
      <c r="K581" s="108"/>
      <c r="L581" s="106"/>
      <c r="M581" s="110"/>
      <c r="N581" s="105" t="s">
        <v>78</v>
      </c>
      <c r="O581" s="105" t="str">
        <f t="shared" si="20"/>
        <v/>
      </c>
      <c r="P581" s="105"/>
      <c r="Q581" s="105" t="s">
        <v>77</v>
      </c>
      <c r="R581" s="105" t="s">
        <v>77</v>
      </c>
      <c r="S581" s="105"/>
      <c r="T581" s="105"/>
      <c r="U581" s="105"/>
      <c r="V581" s="105"/>
      <c r="W581" s="105" t="s">
        <v>80</v>
      </c>
      <c r="X581" s="105"/>
      <c r="Y581" s="105"/>
    </row>
    <row r="582" spans="1:25" s="99" customFormat="1" ht="26.25" customHeight="1">
      <c r="A582" s="100">
        <v>4323</v>
      </c>
      <c r="B582" s="101" t="s">
        <v>11</v>
      </c>
      <c r="C582" s="105" t="s">
        <v>52</v>
      </c>
      <c r="D582" s="105" t="s">
        <v>1213</v>
      </c>
      <c r="E582" s="105" t="s">
        <v>44</v>
      </c>
      <c r="F582" s="101" t="str">
        <f t="shared" si="19"/>
        <v>-</v>
      </c>
      <c r="G582" s="106" t="s">
        <v>53</v>
      </c>
      <c r="H582" s="105"/>
      <c r="I582" s="106" t="s">
        <v>1214</v>
      </c>
      <c r="J582" s="107" t="s">
        <v>54</v>
      </c>
      <c r="K582" s="108"/>
      <c r="L582" s="106"/>
      <c r="M582" s="110"/>
      <c r="N582" s="105" t="s">
        <v>78</v>
      </c>
      <c r="O582" s="105" t="str">
        <f t="shared" si="20"/>
        <v/>
      </c>
      <c r="P582" s="105"/>
      <c r="Q582" s="105" t="s">
        <v>77</v>
      </c>
      <c r="R582" s="105" t="s">
        <v>77</v>
      </c>
      <c r="S582" s="105"/>
      <c r="T582" s="105"/>
      <c r="U582" s="105"/>
      <c r="V582" s="105"/>
      <c r="W582" s="105" t="s">
        <v>80</v>
      </c>
      <c r="X582" s="105"/>
      <c r="Y582" s="105"/>
    </row>
    <row r="583" spans="1:25" s="99" customFormat="1" ht="26.25" customHeight="1">
      <c r="A583" s="100">
        <v>4324</v>
      </c>
      <c r="B583" s="101" t="s">
        <v>11</v>
      </c>
      <c r="C583" s="105" t="s">
        <v>52</v>
      </c>
      <c r="D583" s="105" t="s">
        <v>1215</v>
      </c>
      <c r="E583" s="105" t="s">
        <v>44</v>
      </c>
      <c r="F583" s="101" t="str">
        <f t="shared" si="19"/>
        <v>-</v>
      </c>
      <c r="G583" s="106" t="s">
        <v>53</v>
      </c>
      <c r="H583" s="105"/>
      <c r="I583" s="106" t="s">
        <v>1216</v>
      </c>
      <c r="J583" s="107" t="s">
        <v>54</v>
      </c>
      <c r="K583" s="108"/>
      <c r="L583" s="106"/>
      <c r="M583" s="110"/>
      <c r="N583" s="105" t="s">
        <v>78</v>
      </c>
      <c r="O583" s="105" t="str">
        <f t="shared" si="20"/>
        <v/>
      </c>
      <c r="P583" s="105"/>
      <c r="Q583" s="105" t="s">
        <v>77</v>
      </c>
      <c r="R583" s="105" t="s">
        <v>77</v>
      </c>
      <c r="S583" s="105"/>
      <c r="T583" s="105"/>
      <c r="U583" s="105"/>
      <c r="V583" s="105"/>
      <c r="W583" s="105" t="s">
        <v>80</v>
      </c>
      <c r="X583" s="105"/>
      <c r="Y583" s="105"/>
    </row>
    <row r="584" spans="1:25" s="99" customFormat="1" ht="26.25" customHeight="1">
      <c r="A584" s="100">
        <v>4325</v>
      </c>
      <c r="B584" s="101" t="s">
        <v>11</v>
      </c>
      <c r="C584" s="105" t="s">
        <v>52</v>
      </c>
      <c r="D584" s="105" t="s">
        <v>1217</v>
      </c>
      <c r="E584" s="105" t="s">
        <v>44</v>
      </c>
      <c r="F584" s="101" t="str">
        <f t="shared" si="19"/>
        <v>-</v>
      </c>
      <c r="G584" s="106" t="s">
        <v>53</v>
      </c>
      <c r="H584" s="105"/>
      <c r="I584" s="106" t="s">
        <v>1218</v>
      </c>
      <c r="J584" s="107" t="s">
        <v>54</v>
      </c>
      <c r="K584" s="108"/>
      <c r="L584" s="106"/>
      <c r="M584" s="110"/>
      <c r="N584" s="105" t="s">
        <v>78</v>
      </c>
      <c r="O584" s="105" t="str">
        <f t="shared" si="20"/>
        <v/>
      </c>
      <c r="P584" s="105"/>
      <c r="Q584" s="105" t="s">
        <v>77</v>
      </c>
      <c r="R584" s="105" t="s">
        <v>77</v>
      </c>
      <c r="S584" s="105"/>
      <c r="T584" s="105"/>
      <c r="U584" s="105"/>
      <c r="V584" s="105"/>
      <c r="W584" s="105" t="s">
        <v>80</v>
      </c>
      <c r="X584" s="105"/>
      <c r="Y584" s="105"/>
    </row>
    <row r="585" spans="1:25" s="99" customFormat="1" ht="26.25" customHeight="1">
      <c r="A585" s="100">
        <v>4326</v>
      </c>
      <c r="B585" s="101" t="s">
        <v>11</v>
      </c>
      <c r="C585" s="105" t="s">
        <v>52</v>
      </c>
      <c r="D585" s="105" t="s">
        <v>1219</v>
      </c>
      <c r="E585" s="105" t="s">
        <v>44</v>
      </c>
      <c r="F585" s="101" t="str">
        <f t="shared" si="19"/>
        <v>-</v>
      </c>
      <c r="G585" s="106" t="s">
        <v>53</v>
      </c>
      <c r="H585" s="105"/>
      <c r="I585" s="106" t="s">
        <v>1220</v>
      </c>
      <c r="J585" s="107" t="s">
        <v>54</v>
      </c>
      <c r="K585" s="108"/>
      <c r="L585" s="106"/>
      <c r="M585" s="110"/>
      <c r="N585" s="105" t="s">
        <v>78</v>
      </c>
      <c r="O585" s="105" t="str">
        <f t="shared" si="20"/>
        <v/>
      </c>
      <c r="P585" s="105"/>
      <c r="Q585" s="105" t="s">
        <v>77</v>
      </c>
      <c r="R585" s="105" t="s">
        <v>77</v>
      </c>
      <c r="S585" s="105"/>
      <c r="T585" s="105"/>
      <c r="U585" s="105"/>
      <c r="V585" s="105"/>
      <c r="W585" s="105" t="s">
        <v>80</v>
      </c>
      <c r="X585" s="105"/>
      <c r="Y585" s="105"/>
    </row>
    <row r="586" spans="1:25" s="99" customFormat="1" ht="26.25" customHeight="1">
      <c r="A586" s="100">
        <v>4327</v>
      </c>
      <c r="B586" s="101" t="s">
        <v>11</v>
      </c>
      <c r="C586" s="105" t="s">
        <v>52</v>
      </c>
      <c r="D586" s="105" t="s">
        <v>1221</v>
      </c>
      <c r="E586" s="105" t="s">
        <v>44</v>
      </c>
      <c r="F586" s="101" t="str">
        <f t="shared" si="19"/>
        <v>-</v>
      </c>
      <c r="G586" s="106" t="s">
        <v>53</v>
      </c>
      <c r="H586" s="105"/>
      <c r="I586" s="106" t="s">
        <v>1222</v>
      </c>
      <c r="J586" s="107" t="s">
        <v>54</v>
      </c>
      <c r="K586" s="108"/>
      <c r="L586" s="106"/>
      <c r="M586" s="110"/>
      <c r="N586" s="105" t="s">
        <v>78</v>
      </c>
      <c r="O586" s="105" t="str">
        <f t="shared" si="20"/>
        <v/>
      </c>
      <c r="P586" s="105"/>
      <c r="Q586" s="105" t="s">
        <v>77</v>
      </c>
      <c r="R586" s="105" t="s">
        <v>77</v>
      </c>
      <c r="S586" s="105"/>
      <c r="T586" s="105"/>
      <c r="U586" s="105"/>
      <c r="V586" s="105"/>
      <c r="W586" s="105" t="s">
        <v>80</v>
      </c>
      <c r="X586" s="105"/>
      <c r="Y586" s="105"/>
    </row>
    <row r="587" spans="1:25" s="99" customFormat="1" ht="26.25" customHeight="1">
      <c r="A587" s="100">
        <v>4328</v>
      </c>
      <c r="B587" s="101" t="s">
        <v>11</v>
      </c>
      <c r="C587" s="105" t="s">
        <v>52</v>
      </c>
      <c r="D587" s="105" t="s">
        <v>1223</v>
      </c>
      <c r="E587" s="105" t="s">
        <v>44</v>
      </c>
      <c r="F587" s="101" t="str">
        <f t="shared" si="19"/>
        <v>-</v>
      </c>
      <c r="G587" s="106" t="s">
        <v>53</v>
      </c>
      <c r="H587" s="105"/>
      <c r="I587" s="106" t="s">
        <v>1224</v>
      </c>
      <c r="J587" s="107" t="s">
        <v>54</v>
      </c>
      <c r="K587" s="108"/>
      <c r="L587" s="106"/>
      <c r="M587" s="110"/>
      <c r="N587" s="105" t="s">
        <v>78</v>
      </c>
      <c r="O587" s="105" t="str">
        <f t="shared" si="20"/>
        <v/>
      </c>
      <c r="P587" s="105"/>
      <c r="Q587" s="105" t="s">
        <v>77</v>
      </c>
      <c r="R587" s="105" t="s">
        <v>77</v>
      </c>
      <c r="S587" s="105"/>
      <c r="T587" s="105"/>
      <c r="U587" s="105"/>
      <c r="V587" s="105"/>
      <c r="W587" s="105" t="s">
        <v>80</v>
      </c>
      <c r="X587" s="105"/>
      <c r="Y587" s="105"/>
    </row>
    <row r="588" spans="1:25" s="99" customFormat="1" ht="26.25" customHeight="1">
      <c r="A588" s="100">
        <v>4329</v>
      </c>
      <c r="B588" s="101" t="s">
        <v>11</v>
      </c>
      <c r="C588" s="105" t="s">
        <v>52</v>
      </c>
      <c r="D588" s="105" t="s">
        <v>1225</v>
      </c>
      <c r="E588" s="105" t="s">
        <v>44</v>
      </c>
      <c r="F588" s="101" t="str">
        <f t="shared" si="19"/>
        <v>-</v>
      </c>
      <c r="G588" s="106" t="s">
        <v>53</v>
      </c>
      <c r="H588" s="105"/>
      <c r="I588" s="106" t="s">
        <v>1226</v>
      </c>
      <c r="J588" s="107" t="s">
        <v>54</v>
      </c>
      <c r="K588" s="108"/>
      <c r="L588" s="106"/>
      <c r="M588" s="110"/>
      <c r="N588" s="105" t="s">
        <v>78</v>
      </c>
      <c r="O588" s="105" t="str">
        <f t="shared" si="20"/>
        <v/>
      </c>
      <c r="P588" s="105"/>
      <c r="Q588" s="105" t="s">
        <v>77</v>
      </c>
      <c r="R588" s="105" t="s">
        <v>77</v>
      </c>
      <c r="S588" s="105"/>
      <c r="T588" s="105"/>
      <c r="U588" s="105"/>
      <c r="V588" s="105"/>
      <c r="W588" s="105" t="s">
        <v>80</v>
      </c>
      <c r="X588" s="105"/>
      <c r="Y588" s="105"/>
    </row>
    <row r="589" spans="1:25" s="99" customFormat="1" ht="26.25" customHeight="1">
      <c r="A589" s="100">
        <v>4330</v>
      </c>
      <c r="B589" s="101" t="s">
        <v>11</v>
      </c>
      <c r="C589" s="105" t="s">
        <v>52</v>
      </c>
      <c r="D589" s="105" t="s">
        <v>1227</v>
      </c>
      <c r="E589" s="105" t="s">
        <v>44</v>
      </c>
      <c r="F589" s="101" t="str">
        <f t="shared" si="19"/>
        <v>-</v>
      </c>
      <c r="G589" s="106" t="s">
        <v>53</v>
      </c>
      <c r="H589" s="105"/>
      <c r="I589" s="106" t="s">
        <v>1228</v>
      </c>
      <c r="J589" s="107" t="s">
        <v>54</v>
      </c>
      <c r="K589" s="108"/>
      <c r="L589" s="106"/>
      <c r="M589" s="110"/>
      <c r="N589" s="105" t="s">
        <v>78</v>
      </c>
      <c r="O589" s="105" t="str">
        <f t="shared" si="20"/>
        <v/>
      </c>
      <c r="P589" s="105"/>
      <c r="Q589" s="105" t="s">
        <v>77</v>
      </c>
      <c r="R589" s="105" t="s">
        <v>77</v>
      </c>
      <c r="S589" s="105"/>
      <c r="T589" s="105"/>
      <c r="U589" s="105"/>
      <c r="V589" s="105"/>
      <c r="W589" s="105" t="s">
        <v>80</v>
      </c>
      <c r="X589" s="105"/>
      <c r="Y589" s="105"/>
    </row>
    <row r="590" spans="1:25" s="99" customFormat="1" ht="26.25" customHeight="1">
      <c r="A590" s="100">
        <v>4331</v>
      </c>
      <c r="B590" s="101" t="s">
        <v>11</v>
      </c>
      <c r="C590" s="105" t="s">
        <v>52</v>
      </c>
      <c r="D590" s="105" t="s">
        <v>1229</v>
      </c>
      <c r="E590" s="105" t="s">
        <v>44</v>
      </c>
      <c r="F590" s="101" t="str">
        <f t="shared" si="19"/>
        <v>-</v>
      </c>
      <c r="G590" s="106" t="s">
        <v>53</v>
      </c>
      <c r="H590" s="105"/>
      <c r="I590" s="106" t="s">
        <v>1230</v>
      </c>
      <c r="J590" s="107" t="s">
        <v>54</v>
      </c>
      <c r="K590" s="108"/>
      <c r="L590" s="106"/>
      <c r="M590" s="110"/>
      <c r="N590" s="105" t="s">
        <v>78</v>
      </c>
      <c r="O590" s="105" t="str">
        <f t="shared" si="20"/>
        <v/>
      </c>
      <c r="P590" s="105"/>
      <c r="Q590" s="105" t="s">
        <v>77</v>
      </c>
      <c r="R590" s="105" t="s">
        <v>77</v>
      </c>
      <c r="S590" s="105"/>
      <c r="T590" s="105"/>
      <c r="U590" s="105"/>
      <c r="V590" s="105"/>
      <c r="W590" s="105" t="s">
        <v>80</v>
      </c>
      <c r="X590" s="105"/>
      <c r="Y590" s="105"/>
    </row>
    <row r="591" spans="1:25" s="99" customFormat="1" ht="26.25" customHeight="1">
      <c r="A591" s="100">
        <v>4332</v>
      </c>
      <c r="B591" s="101" t="s">
        <v>11</v>
      </c>
      <c r="C591" s="105" t="s">
        <v>52</v>
      </c>
      <c r="D591" s="105" t="s">
        <v>1231</v>
      </c>
      <c r="E591" s="105" t="s">
        <v>44</v>
      </c>
      <c r="F591" s="101" t="str">
        <f t="shared" si="19"/>
        <v>-</v>
      </c>
      <c r="G591" s="106" t="s">
        <v>53</v>
      </c>
      <c r="H591" s="105"/>
      <c r="I591" s="106" t="s">
        <v>1232</v>
      </c>
      <c r="J591" s="107" t="s">
        <v>54</v>
      </c>
      <c r="K591" s="108"/>
      <c r="L591" s="106"/>
      <c r="M591" s="110"/>
      <c r="N591" s="105" t="s">
        <v>78</v>
      </c>
      <c r="O591" s="105" t="str">
        <f t="shared" si="20"/>
        <v/>
      </c>
      <c r="P591" s="105"/>
      <c r="Q591" s="105" t="s">
        <v>77</v>
      </c>
      <c r="R591" s="105" t="s">
        <v>77</v>
      </c>
      <c r="S591" s="105"/>
      <c r="T591" s="105"/>
      <c r="U591" s="105"/>
      <c r="V591" s="105"/>
      <c r="W591" s="105" t="s">
        <v>80</v>
      </c>
      <c r="X591" s="105"/>
      <c r="Y591" s="105"/>
    </row>
    <row r="592" spans="1:25" s="99" customFormat="1" ht="26.25" customHeight="1">
      <c r="A592" s="100">
        <v>4333</v>
      </c>
      <c r="B592" s="101" t="s">
        <v>11</v>
      </c>
      <c r="C592" s="105" t="s">
        <v>52</v>
      </c>
      <c r="D592" s="105" t="s">
        <v>1233</v>
      </c>
      <c r="E592" s="105" t="s">
        <v>44</v>
      </c>
      <c r="F592" s="101" t="str">
        <f t="shared" si="19"/>
        <v>-</v>
      </c>
      <c r="G592" s="106" t="s">
        <v>53</v>
      </c>
      <c r="H592" s="105"/>
      <c r="I592" s="106" t="s">
        <v>1234</v>
      </c>
      <c r="J592" s="107" t="s">
        <v>54</v>
      </c>
      <c r="K592" s="108"/>
      <c r="L592" s="106"/>
      <c r="M592" s="110"/>
      <c r="N592" s="105" t="s">
        <v>78</v>
      </c>
      <c r="O592" s="105" t="str">
        <f t="shared" si="20"/>
        <v/>
      </c>
      <c r="P592" s="105"/>
      <c r="Q592" s="105" t="s">
        <v>77</v>
      </c>
      <c r="R592" s="105" t="s">
        <v>77</v>
      </c>
      <c r="S592" s="105"/>
      <c r="T592" s="105"/>
      <c r="U592" s="105"/>
      <c r="V592" s="105"/>
      <c r="W592" s="105" t="s">
        <v>80</v>
      </c>
      <c r="X592" s="105"/>
      <c r="Y592" s="105"/>
    </row>
    <row r="593" spans="1:25" s="99" customFormat="1" ht="26.25" customHeight="1">
      <c r="A593" s="100">
        <v>4334</v>
      </c>
      <c r="B593" s="101" t="s">
        <v>11</v>
      </c>
      <c r="C593" s="105" t="s">
        <v>52</v>
      </c>
      <c r="D593" s="105" t="s">
        <v>1235</v>
      </c>
      <c r="E593" s="105" t="s">
        <v>44</v>
      </c>
      <c r="F593" s="101" t="str">
        <f t="shared" si="19"/>
        <v>-</v>
      </c>
      <c r="G593" s="106" t="s">
        <v>53</v>
      </c>
      <c r="H593" s="105"/>
      <c r="I593" s="106" t="s">
        <v>1236</v>
      </c>
      <c r="J593" s="107" t="s">
        <v>54</v>
      </c>
      <c r="K593" s="108"/>
      <c r="L593" s="106"/>
      <c r="M593" s="110"/>
      <c r="N593" s="105" t="s">
        <v>78</v>
      </c>
      <c r="O593" s="105" t="str">
        <f t="shared" si="20"/>
        <v/>
      </c>
      <c r="P593" s="105"/>
      <c r="Q593" s="105" t="s">
        <v>77</v>
      </c>
      <c r="R593" s="105" t="s">
        <v>77</v>
      </c>
      <c r="S593" s="105"/>
      <c r="T593" s="105"/>
      <c r="U593" s="105"/>
      <c r="V593" s="105"/>
      <c r="W593" s="105" t="s">
        <v>80</v>
      </c>
      <c r="X593" s="105"/>
      <c r="Y593" s="105"/>
    </row>
    <row r="594" spans="1:25" s="99" customFormat="1" ht="26.25" customHeight="1">
      <c r="A594" s="100">
        <v>4335</v>
      </c>
      <c r="B594" s="101" t="s">
        <v>11</v>
      </c>
      <c r="C594" s="105" t="s">
        <v>52</v>
      </c>
      <c r="D594" s="105" t="s">
        <v>1237</v>
      </c>
      <c r="E594" s="105" t="s">
        <v>44</v>
      </c>
      <c r="F594" s="101" t="str">
        <f t="shared" si="19"/>
        <v>-</v>
      </c>
      <c r="G594" s="106" t="s">
        <v>53</v>
      </c>
      <c r="H594" s="105"/>
      <c r="I594" s="106" t="s">
        <v>1238</v>
      </c>
      <c r="J594" s="107" t="s">
        <v>54</v>
      </c>
      <c r="K594" s="108"/>
      <c r="L594" s="106"/>
      <c r="M594" s="110"/>
      <c r="N594" s="105" t="s">
        <v>78</v>
      </c>
      <c r="O594" s="105" t="str">
        <f t="shared" si="20"/>
        <v/>
      </c>
      <c r="P594" s="105"/>
      <c r="Q594" s="105" t="s">
        <v>77</v>
      </c>
      <c r="R594" s="105" t="s">
        <v>77</v>
      </c>
      <c r="S594" s="105"/>
      <c r="T594" s="105"/>
      <c r="U594" s="105"/>
      <c r="V594" s="105"/>
      <c r="W594" s="105" t="s">
        <v>80</v>
      </c>
      <c r="X594" s="105"/>
      <c r="Y594" s="105"/>
    </row>
    <row r="595" spans="1:25" s="99" customFormat="1" ht="26.25" customHeight="1">
      <c r="A595" s="100">
        <v>4336</v>
      </c>
      <c r="B595" s="101" t="s">
        <v>11</v>
      </c>
      <c r="C595" s="105" t="s">
        <v>52</v>
      </c>
      <c r="D595" s="105" t="s">
        <v>1239</v>
      </c>
      <c r="E595" s="105" t="s">
        <v>44</v>
      </c>
      <c r="F595" s="101" t="str">
        <f t="shared" si="19"/>
        <v>-</v>
      </c>
      <c r="G595" s="106" t="s">
        <v>53</v>
      </c>
      <c r="H595" s="105"/>
      <c r="I595" s="106" t="s">
        <v>1240</v>
      </c>
      <c r="J595" s="107" t="s">
        <v>54</v>
      </c>
      <c r="K595" s="108"/>
      <c r="L595" s="106"/>
      <c r="M595" s="110"/>
      <c r="N595" s="105" t="s">
        <v>78</v>
      </c>
      <c r="O595" s="105" t="str">
        <f t="shared" si="20"/>
        <v/>
      </c>
      <c r="P595" s="105"/>
      <c r="Q595" s="105" t="s">
        <v>77</v>
      </c>
      <c r="R595" s="105" t="s">
        <v>77</v>
      </c>
      <c r="S595" s="105"/>
      <c r="T595" s="105"/>
      <c r="U595" s="105"/>
      <c r="V595" s="105"/>
      <c r="W595" s="105" t="s">
        <v>80</v>
      </c>
      <c r="X595" s="105"/>
      <c r="Y595" s="105"/>
    </row>
    <row r="596" spans="1:25" s="99" customFormat="1" ht="26.25" customHeight="1">
      <c r="A596" s="100">
        <v>4337</v>
      </c>
      <c r="B596" s="101" t="s">
        <v>11</v>
      </c>
      <c r="C596" s="105" t="s">
        <v>52</v>
      </c>
      <c r="D596" s="105" t="s">
        <v>1241</v>
      </c>
      <c r="E596" s="105" t="s">
        <v>44</v>
      </c>
      <c r="F596" s="101" t="str">
        <f t="shared" si="19"/>
        <v>-</v>
      </c>
      <c r="G596" s="106" t="s">
        <v>53</v>
      </c>
      <c r="H596" s="105"/>
      <c r="I596" s="106" t="s">
        <v>1242</v>
      </c>
      <c r="J596" s="107" t="s">
        <v>54</v>
      </c>
      <c r="K596" s="108"/>
      <c r="L596" s="106"/>
      <c r="M596" s="110"/>
      <c r="N596" s="105" t="s">
        <v>78</v>
      </c>
      <c r="O596" s="105" t="str">
        <f t="shared" si="20"/>
        <v/>
      </c>
      <c r="P596" s="105"/>
      <c r="Q596" s="105" t="s">
        <v>77</v>
      </c>
      <c r="R596" s="105" t="s">
        <v>77</v>
      </c>
      <c r="S596" s="105"/>
      <c r="T596" s="105"/>
      <c r="U596" s="105"/>
      <c r="V596" s="105"/>
      <c r="W596" s="105" t="s">
        <v>80</v>
      </c>
      <c r="X596" s="105"/>
      <c r="Y596" s="105"/>
    </row>
    <row r="597" spans="1:25" s="99" customFormat="1" ht="26.25" customHeight="1">
      <c r="A597" s="100">
        <v>4338</v>
      </c>
      <c r="B597" s="101" t="s">
        <v>11</v>
      </c>
      <c r="C597" s="105" t="s">
        <v>52</v>
      </c>
      <c r="D597" s="105" t="s">
        <v>1243</v>
      </c>
      <c r="E597" s="105" t="s">
        <v>44</v>
      </c>
      <c r="F597" s="101" t="str">
        <f t="shared" si="19"/>
        <v>-</v>
      </c>
      <c r="G597" s="106" t="s">
        <v>53</v>
      </c>
      <c r="H597" s="105"/>
      <c r="I597" s="106" t="s">
        <v>1244</v>
      </c>
      <c r="J597" s="107" t="s">
        <v>54</v>
      </c>
      <c r="K597" s="108"/>
      <c r="L597" s="106"/>
      <c r="M597" s="110"/>
      <c r="N597" s="105" t="s">
        <v>78</v>
      </c>
      <c r="O597" s="105" t="str">
        <f t="shared" si="20"/>
        <v/>
      </c>
      <c r="P597" s="105"/>
      <c r="Q597" s="105" t="s">
        <v>77</v>
      </c>
      <c r="R597" s="105" t="s">
        <v>77</v>
      </c>
      <c r="S597" s="105"/>
      <c r="T597" s="105"/>
      <c r="U597" s="105"/>
      <c r="V597" s="105"/>
      <c r="W597" s="105" t="s">
        <v>80</v>
      </c>
      <c r="X597" s="105"/>
      <c r="Y597" s="105"/>
    </row>
    <row r="598" spans="1:25" s="99" customFormat="1" ht="26.25" customHeight="1">
      <c r="A598" s="100">
        <v>4339</v>
      </c>
      <c r="B598" s="101" t="s">
        <v>11</v>
      </c>
      <c r="C598" s="105" t="s">
        <v>52</v>
      </c>
      <c r="D598" s="105" t="s">
        <v>1245</v>
      </c>
      <c r="E598" s="105" t="s">
        <v>44</v>
      </c>
      <c r="F598" s="101" t="str">
        <f t="shared" ref="F598:F661" si="21">IF(B598&lt;&gt;"","-","")</f>
        <v>-</v>
      </c>
      <c r="G598" s="106" t="s">
        <v>53</v>
      </c>
      <c r="H598" s="105"/>
      <c r="I598" s="106" t="s">
        <v>1246</v>
      </c>
      <c r="J598" s="107" t="s">
        <v>54</v>
      </c>
      <c r="K598" s="108"/>
      <c r="L598" s="106"/>
      <c r="M598" s="110"/>
      <c r="N598" s="105" t="s">
        <v>78</v>
      </c>
      <c r="O598" s="105" t="str">
        <f t="shared" ref="O598:O661" si="22">IF(OR(R598&lt;&gt;"",Q598&lt;&gt;""),"X","")</f>
        <v/>
      </c>
      <c r="P598" s="105"/>
      <c r="Q598" s="105" t="s">
        <v>77</v>
      </c>
      <c r="R598" s="105" t="s">
        <v>77</v>
      </c>
      <c r="S598" s="105"/>
      <c r="T598" s="105"/>
      <c r="U598" s="105"/>
      <c r="V598" s="105"/>
      <c r="W598" s="105" t="s">
        <v>80</v>
      </c>
      <c r="X598" s="105"/>
      <c r="Y598" s="105"/>
    </row>
    <row r="599" spans="1:25" s="99" customFormat="1" ht="26.25" customHeight="1">
      <c r="A599" s="100">
        <v>4340</v>
      </c>
      <c r="B599" s="101" t="s">
        <v>11</v>
      </c>
      <c r="C599" s="105" t="s">
        <v>52</v>
      </c>
      <c r="D599" s="105" t="s">
        <v>1247</v>
      </c>
      <c r="E599" s="105" t="s">
        <v>44</v>
      </c>
      <c r="F599" s="101" t="str">
        <f t="shared" si="21"/>
        <v>-</v>
      </c>
      <c r="G599" s="106" t="s">
        <v>53</v>
      </c>
      <c r="H599" s="105"/>
      <c r="I599" s="106" t="s">
        <v>1248</v>
      </c>
      <c r="J599" s="107" t="s">
        <v>54</v>
      </c>
      <c r="K599" s="108"/>
      <c r="L599" s="106"/>
      <c r="M599" s="110"/>
      <c r="N599" s="105" t="s">
        <v>78</v>
      </c>
      <c r="O599" s="105" t="str">
        <f t="shared" si="22"/>
        <v/>
      </c>
      <c r="P599" s="105"/>
      <c r="Q599" s="105" t="s">
        <v>77</v>
      </c>
      <c r="R599" s="105" t="s">
        <v>77</v>
      </c>
      <c r="S599" s="105"/>
      <c r="T599" s="105"/>
      <c r="U599" s="105"/>
      <c r="V599" s="105"/>
      <c r="W599" s="105" t="s">
        <v>80</v>
      </c>
      <c r="X599" s="105"/>
      <c r="Y599" s="105"/>
    </row>
    <row r="600" spans="1:25" s="99" customFormat="1" ht="26.25" customHeight="1">
      <c r="A600" s="100">
        <v>4341</v>
      </c>
      <c r="B600" s="101" t="s">
        <v>11</v>
      </c>
      <c r="C600" s="105" t="s">
        <v>52</v>
      </c>
      <c r="D600" s="105" t="s">
        <v>1249</v>
      </c>
      <c r="E600" s="105" t="s">
        <v>44</v>
      </c>
      <c r="F600" s="101" t="str">
        <f t="shared" si="21"/>
        <v>-</v>
      </c>
      <c r="G600" s="106" t="s">
        <v>53</v>
      </c>
      <c r="H600" s="105"/>
      <c r="I600" s="106" t="s">
        <v>1250</v>
      </c>
      <c r="J600" s="107" t="s">
        <v>54</v>
      </c>
      <c r="K600" s="108"/>
      <c r="L600" s="106"/>
      <c r="M600" s="110"/>
      <c r="N600" s="105" t="s">
        <v>78</v>
      </c>
      <c r="O600" s="105" t="str">
        <f t="shared" si="22"/>
        <v/>
      </c>
      <c r="P600" s="105"/>
      <c r="Q600" s="105" t="s">
        <v>77</v>
      </c>
      <c r="R600" s="105" t="s">
        <v>77</v>
      </c>
      <c r="S600" s="105"/>
      <c r="T600" s="105"/>
      <c r="U600" s="105"/>
      <c r="V600" s="105"/>
      <c r="W600" s="105" t="s">
        <v>80</v>
      </c>
      <c r="X600" s="105"/>
      <c r="Y600" s="105"/>
    </row>
    <row r="601" spans="1:25" s="99" customFormat="1" ht="26.25" customHeight="1">
      <c r="A601" s="100">
        <v>4342</v>
      </c>
      <c r="B601" s="101" t="s">
        <v>11</v>
      </c>
      <c r="C601" s="105" t="s">
        <v>52</v>
      </c>
      <c r="D601" s="105" t="s">
        <v>1251</v>
      </c>
      <c r="E601" s="105" t="s">
        <v>44</v>
      </c>
      <c r="F601" s="101" t="str">
        <f t="shared" si="21"/>
        <v>-</v>
      </c>
      <c r="G601" s="106" t="s">
        <v>53</v>
      </c>
      <c r="H601" s="105"/>
      <c r="I601" s="106" t="s">
        <v>1252</v>
      </c>
      <c r="J601" s="107" t="s">
        <v>54</v>
      </c>
      <c r="K601" s="108"/>
      <c r="L601" s="106"/>
      <c r="M601" s="110"/>
      <c r="N601" s="105" t="s">
        <v>78</v>
      </c>
      <c r="O601" s="105" t="str">
        <f t="shared" si="22"/>
        <v/>
      </c>
      <c r="P601" s="105"/>
      <c r="Q601" s="105" t="s">
        <v>77</v>
      </c>
      <c r="R601" s="105" t="s">
        <v>77</v>
      </c>
      <c r="S601" s="105"/>
      <c r="T601" s="105"/>
      <c r="U601" s="105"/>
      <c r="V601" s="105"/>
      <c r="W601" s="105" t="s">
        <v>80</v>
      </c>
      <c r="X601" s="105"/>
      <c r="Y601" s="105"/>
    </row>
    <row r="602" spans="1:25" s="99" customFormat="1" ht="26.25" customHeight="1">
      <c r="A602" s="100">
        <v>4343</v>
      </c>
      <c r="B602" s="101" t="s">
        <v>11</v>
      </c>
      <c r="C602" s="105" t="s">
        <v>52</v>
      </c>
      <c r="D602" s="105" t="s">
        <v>1253</v>
      </c>
      <c r="E602" s="105" t="s">
        <v>44</v>
      </c>
      <c r="F602" s="101" t="str">
        <f t="shared" si="21"/>
        <v>-</v>
      </c>
      <c r="G602" s="106" t="s">
        <v>53</v>
      </c>
      <c r="H602" s="105"/>
      <c r="I602" s="106" t="s">
        <v>1254</v>
      </c>
      <c r="J602" s="107" t="s">
        <v>54</v>
      </c>
      <c r="K602" s="108"/>
      <c r="L602" s="106"/>
      <c r="M602" s="110"/>
      <c r="N602" s="105" t="s">
        <v>78</v>
      </c>
      <c r="O602" s="105" t="str">
        <f t="shared" si="22"/>
        <v/>
      </c>
      <c r="P602" s="105"/>
      <c r="Q602" s="105" t="s">
        <v>77</v>
      </c>
      <c r="R602" s="105" t="s">
        <v>77</v>
      </c>
      <c r="S602" s="105"/>
      <c r="T602" s="105"/>
      <c r="U602" s="105"/>
      <c r="V602" s="105"/>
      <c r="W602" s="105" t="s">
        <v>80</v>
      </c>
      <c r="X602" s="105"/>
      <c r="Y602" s="105"/>
    </row>
    <row r="603" spans="1:25" s="99" customFormat="1" ht="26.25" customHeight="1">
      <c r="A603" s="100">
        <v>4344</v>
      </c>
      <c r="B603" s="101" t="s">
        <v>11</v>
      </c>
      <c r="C603" s="105" t="s">
        <v>52</v>
      </c>
      <c r="D603" s="105" t="s">
        <v>1255</v>
      </c>
      <c r="E603" s="105" t="s">
        <v>44</v>
      </c>
      <c r="F603" s="101" t="str">
        <f t="shared" si="21"/>
        <v>-</v>
      </c>
      <c r="G603" s="106" t="s">
        <v>53</v>
      </c>
      <c r="H603" s="105"/>
      <c r="I603" s="106" t="s">
        <v>1256</v>
      </c>
      <c r="J603" s="107" t="s">
        <v>54</v>
      </c>
      <c r="K603" s="108"/>
      <c r="L603" s="106"/>
      <c r="M603" s="110"/>
      <c r="N603" s="105" t="s">
        <v>78</v>
      </c>
      <c r="O603" s="105" t="str">
        <f t="shared" si="22"/>
        <v/>
      </c>
      <c r="P603" s="105"/>
      <c r="Q603" s="105" t="s">
        <v>77</v>
      </c>
      <c r="R603" s="105" t="s">
        <v>77</v>
      </c>
      <c r="S603" s="105"/>
      <c r="T603" s="105"/>
      <c r="U603" s="105"/>
      <c r="V603" s="105"/>
      <c r="W603" s="105" t="s">
        <v>80</v>
      </c>
      <c r="X603" s="105"/>
      <c r="Y603" s="105"/>
    </row>
    <row r="604" spans="1:25" s="99" customFormat="1" ht="26.25" customHeight="1">
      <c r="A604" s="100">
        <v>4345</v>
      </c>
      <c r="B604" s="101" t="s">
        <v>11</v>
      </c>
      <c r="C604" s="105" t="s">
        <v>52</v>
      </c>
      <c r="D604" s="105" t="s">
        <v>1257</v>
      </c>
      <c r="E604" s="105" t="s">
        <v>44</v>
      </c>
      <c r="F604" s="101" t="str">
        <f t="shared" si="21"/>
        <v>-</v>
      </c>
      <c r="G604" s="106" t="s">
        <v>53</v>
      </c>
      <c r="H604" s="105"/>
      <c r="I604" s="106" t="s">
        <v>1258</v>
      </c>
      <c r="J604" s="107" t="s">
        <v>54</v>
      </c>
      <c r="K604" s="108"/>
      <c r="L604" s="106"/>
      <c r="M604" s="110"/>
      <c r="N604" s="105" t="s">
        <v>78</v>
      </c>
      <c r="O604" s="105" t="str">
        <f t="shared" si="22"/>
        <v/>
      </c>
      <c r="P604" s="105"/>
      <c r="Q604" s="105" t="s">
        <v>77</v>
      </c>
      <c r="R604" s="105" t="s">
        <v>77</v>
      </c>
      <c r="S604" s="105"/>
      <c r="T604" s="105"/>
      <c r="U604" s="105"/>
      <c r="V604" s="105"/>
      <c r="W604" s="105" t="s">
        <v>80</v>
      </c>
      <c r="X604" s="105"/>
      <c r="Y604" s="105"/>
    </row>
    <row r="605" spans="1:25" s="99" customFormat="1" ht="26.25" customHeight="1">
      <c r="A605" s="100">
        <v>4346</v>
      </c>
      <c r="B605" s="101" t="s">
        <v>11</v>
      </c>
      <c r="C605" s="105" t="s">
        <v>52</v>
      </c>
      <c r="D605" s="105" t="s">
        <v>1259</v>
      </c>
      <c r="E605" s="105" t="s">
        <v>44</v>
      </c>
      <c r="F605" s="101" t="str">
        <f t="shared" si="21"/>
        <v>-</v>
      </c>
      <c r="G605" s="106" t="s">
        <v>53</v>
      </c>
      <c r="H605" s="105"/>
      <c r="I605" s="106" t="s">
        <v>1260</v>
      </c>
      <c r="J605" s="107" t="s">
        <v>54</v>
      </c>
      <c r="K605" s="108"/>
      <c r="L605" s="106"/>
      <c r="M605" s="110"/>
      <c r="N605" s="105" t="s">
        <v>78</v>
      </c>
      <c r="O605" s="105" t="str">
        <f t="shared" si="22"/>
        <v/>
      </c>
      <c r="P605" s="105"/>
      <c r="Q605" s="105" t="s">
        <v>77</v>
      </c>
      <c r="R605" s="105" t="s">
        <v>77</v>
      </c>
      <c r="S605" s="105"/>
      <c r="T605" s="105"/>
      <c r="U605" s="105"/>
      <c r="V605" s="105"/>
      <c r="W605" s="105" t="s">
        <v>80</v>
      </c>
      <c r="X605" s="105"/>
      <c r="Y605" s="105"/>
    </row>
    <row r="606" spans="1:25" s="99" customFormat="1" ht="26.25" customHeight="1">
      <c r="A606" s="100">
        <v>4347</v>
      </c>
      <c r="B606" s="101" t="s">
        <v>11</v>
      </c>
      <c r="C606" s="105" t="s">
        <v>52</v>
      </c>
      <c r="D606" s="105" t="s">
        <v>1261</v>
      </c>
      <c r="E606" s="105" t="s">
        <v>44</v>
      </c>
      <c r="F606" s="101" t="str">
        <f t="shared" si="21"/>
        <v>-</v>
      </c>
      <c r="G606" s="106" t="s">
        <v>53</v>
      </c>
      <c r="H606" s="105"/>
      <c r="I606" s="106" t="s">
        <v>1262</v>
      </c>
      <c r="J606" s="107" t="s">
        <v>54</v>
      </c>
      <c r="K606" s="108"/>
      <c r="L606" s="106"/>
      <c r="M606" s="110"/>
      <c r="N606" s="105" t="s">
        <v>78</v>
      </c>
      <c r="O606" s="105" t="str">
        <f t="shared" si="22"/>
        <v/>
      </c>
      <c r="P606" s="105"/>
      <c r="Q606" s="105" t="s">
        <v>77</v>
      </c>
      <c r="R606" s="105" t="s">
        <v>77</v>
      </c>
      <c r="S606" s="105"/>
      <c r="T606" s="105"/>
      <c r="U606" s="105"/>
      <c r="V606" s="105"/>
      <c r="W606" s="105" t="s">
        <v>80</v>
      </c>
      <c r="X606" s="105"/>
      <c r="Y606" s="105"/>
    </row>
    <row r="607" spans="1:25" s="99" customFormat="1" ht="26.25" customHeight="1">
      <c r="A607" s="100">
        <v>4348</v>
      </c>
      <c r="B607" s="101" t="s">
        <v>11</v>
      </c>
      <c r="C607" s="105" t="s">
        <v>52</v>
      </c>
      <c r="D607" s="105" t="s">
        <v>1263</v>
      </c>
      <c r="E607" s="105" t="s">
        <v>44</v>
      </c>
      <c r="F607" s="101" t="str">
        <f t="shared" si="21"/>
        <v>-</v>
      </c>
      <c r="G607" s="106" t="s">
        <v>53</v>
      </c>
      <c r="H607" s="105"/>
      <c r="I607" s="106" t="s">
        <v>1264</v>
      </c>
      <c r="J607" s="107" t="s">
        <v>54</v>
      </c>
      <c r="K607" s="108"/>
      <c r="L607" s="106"/>
      <c r="M607" s="110"/>
      <c r="N607" s="105" t="s">
        <v>78</v>
      </c>
      <c r="O607" s="105" t="str">
        <f t="shared" si="22"/>
        <v/>
      </c>
      <c r="P607" s="105"/>
      <c r="Q607" s="105" t="s">
        <v>77</v>
      </c>
      <c r="R607" s="105" t="s">
        <v>77</v>
      </c>
      <c r="S607" s="105"/>
      <c r="T607" s="105"/>
      <c r="U607" s="105"/>
      <c r="V607" s="105"/>
      <c r="W607" s="105" t="s">
        <v>80</v>
      </c>
      <c r="X607" s="105"/>
      <c r="Y607" s="105"/>
    </row>
    <row r="608" spans="1:25" s="99" customFormat="1" ht="26.25" customHeight="1">
      <c r="A608" s="100">
        <v>4349</v>
      </c>
      <c r="B608" s="101" t="s">
        <v>11</v>
      </c>
      <c r="C608" s="105" t="s">
        <v>52</v>
      </c>
      <c r="D608" s="105" t="s">
        <v>1265</v>
      </c>
      <c r="E608" s="105" t="s">
        <v>44</v>
      </c>
      <c r="F608" s="101" t="str">
        <f t="shared" si="21"/>
        <v>-</v>
      </c>
      <c r="G608" s="106" t="s">
        <v>53</v>
      </c>
      <c r="H608" s="105"/>
      <c r="I608" s="106" t="s">
        <v>1266</v>
      </c>
      <c r="J608" s="107" t="s">
        <v>54</v>
      </c>
      <c r="K608" s="108"/>
      <c r="L608" s="106"/>
      <c r="M608" s="110"/>
      <c r="N608" s="105" t="s">
        <v>78</v>
      </c>
      <c r="O608" s="105" t="str">
        <f t="shared" si="22"/>
        <v/>
      </c>
      <c r="P608" s="105"/>
      <c r="Q608" s="105" t="s">
        <v>77</v>
      </c>
      <c r="R608" s="105" t="s">
        <v>77</v>
      </c>
      <c r="S608" s="105"/>
      <c r="T608" s="105"/>
      <c r="U608" s="105"/>
      <c r="V608" s="105"/>
      <c r="W608" s="105" t="s">
        <v>80</v>
      </c>
      <c r="X608" s="105"/>
      <c r="Y608" s="105"/>
    </row>
    <row r="609" spans="1:25" s="99" customFormat="1" ht="26.25" customHeight="1">
      <c r="A609" s="100">
        <v>4350</v>
      </c>
      <c r="B609" s="101" t="s">
        <v>11</v>
      </c>
      <c r="C609" s="105" t="s">
        <v>52</v>
      </c>
      <c r="D609" s="105" t="s">
        <v>1267</v>
      </c>
      <c r="E609" s="105" t="s">
        <v>44</v>
      </c>
      <c r="F609" s="101" t="str">
        <f t="shared" si="21"/>
        <v>-</v>
      </c>
      <c r="G609" s="106" t="s">
        <v>53</v>
      </c>
      <c r="H609" s="105"/>
      <c r="I609" s="106" t="s">
        <v>1268</v>
      </c>
      <c r="J609" s="107" t="s">
        <v>54</v>
      </c>
      <c r="K609" s="108"/>
      <c r="L609" s="106"/>
      <c r="M609" s="110"/>
      <c r="N609" s="105" t="s">
        <v>78</v>
      </c>
      <c r="O609" s="105" t="str">
        <f t="shared" si="22"/>
        <v/>
      </c>
      <c r="P609" s="105"/>
      <c r="Q609" s="105" t="s">
        <v>77</v>
      </c>
      <c r="R609" s="105" t="s">
        <v>77</v>
      </c>
      <c r="S609" s="105"/>
      <c r="T609" s="105"/>
      <c r="U609" s="105"/>
      <c r="V609" s="105"/>
      <c r="W609" s="105" t="s">
        <v>80</v>
      </c>
      <c r="X609" s="105"/>
      <c r="Y609" s="105"/>
    </row>
    <row r="610" spans="1:25" s="99" customFormat="1" ht="26.25" customHeight="1">
      <c r="A610" s="100">
        <v>4351</v>
      </c>
      <c r="B610" s="101" t="s">
        <v>11</v>
      </c>
      <c r="C610" s="105" t="s">
        <v>52</v>
      </c>
      <c r="D610" s="105" t="s">
        <v>1269</v>
      </c>
      <c r="E610" s="105" t="s">
        <v>44</v>
      </c>
      <c r="F610" s="101" t="str">
        <f t="shared" si="21"/>
        <v>-</v>
      </c>
      <c r="G610" s="106" t="s">
        <v>53</v>
      </c>
      <c r="H610" s="105"/>
      <c r="I610" s="106" t="s">
        <v>1270</v>
      </c>
      <c r="J610" s="107" t="s">
        <v>54</v>
      </c>
      <c r="K610" s="108"/>
      <c r="L610" s="106"/>
      <c r="M610" s="110"/>
      <c r="N610" s="105" t="s">
        <v>78</v>
      </c>
      <c r="O610" s="105" t="str">
        <f t="shared" si="22"/>
        <v/>
      </c>
      <c r="P610" s="105"/>
      <c r="Q610" s="105" t="s">
        <v>77</v>
      </c>
      <c r="R610" s="105" t="s">
        <v>77</v>
      </c>
      <c r="S610" s="105"/>
      <c r="T610" s="105"/>
      <c r="U610" s="105"/>
      <c r="V610" s="105"/>
      <c r="W610" s="105" t="s">
        <v>80</v>
      </c>
      <c r="X610" s="105"/>
      <c r="Y610" s="105"/>
    </row>
    <row r="611" spans="1:25" s="99" customFormat="1" ht="26.25" customHeight="1">
      <c r="A611" s="100">
        <v>4352</v>
      </c>
      <c r="B611" s="101" t="s">
        <v>11</v>
      </c>
      <c r="C611" s="105" t="s">
        <v>52</v>
      </c>
      <c r="D611" s="105" t="s">
        <v>1271</v>
      </c>
      <c r="E611" s="105" t="s">
        <v>44</v>
      </c>
      <c r="F611" s="101" t="str">
        <f t="shared" si="21"/>
        <v>-</v>
      </c>
      <c r="G611" s="106" t="s">
        <v>53</v>
      </c>
      <c r="H611" s="105"/>
      <c r="I611" s="106" t="s">
        <v>1272</v>
      </c>
      <c r="J611" s="107" t="s">
        <v>54</v>
      </c>
      <c r="K611" s="108"/>
      <c r="L611" s="106"/>
      <c r="M611" s="110"/>
      <c r="N611" s="105" t="s">
        <v>78</v>
      </c>
      <c r="O611" s="105" t="str">
        <f t="shared" si="22"/>
        <v/>
      </c>
      <c r="P611" s="105"/>
      <c r="Q611" s="105" t="s">
        <v>77</v>
      </c>
      <c r="R611" s="105" t="s">
        <v>77</v>
      </c>
      <c r="S611" s="105"/>
      <c r="T611" s="105"/>
      <c r="U611" s="105"/>
      <c r="V611" s="105"/>
      <c r="W611" s="105" t="s">
        <v>80</v>
      </c>
      <c r="X611" s="105"/>
      <c r="Y611" s="105"/>
    </row>
    <row r="612" spans="1:25" s="99" customFormat="1" ht="26.25" customHeight="1">
      <c r="A612" s="100">
        <v>4353</v>
      </c>
      <c r="B612" s="101" t="s">
        <v>11</v>
      </c>
      <c r="C612" s="105" t="s">
        <v>52</v>
      </c>
      <c r="D612" s="105" t="s">
        <v>1273</v>
      </c>
      <c r="E612" s="105" t="s">
        <v>44</v>
      </c>
      <c r="F612" s="101" t="str">
        <f t="shared" si="21"/>
        <v>-</v>
      </c>
      <c r="G612" s="106" t="s">
        <v>53</v>
      </c>
      <c r="H612" s="105"/>
      <c r="I612" s="106" t="s">
        <v>1274</v>
      </c>
      <c r="J612" s="107" t="s">
        <v>54</v>
      </c>
      <c r="K612" s="108"/>
      <c r="L612" s="106"/>
      <c r="M612" s="110"/>
      <c r="N612" s="105" t="s">
        <v>78</v>
      </c>
      <c r="O612" s="105" t="str">
        <f t="shared" si="22"/>
        <v/>
      </c>
      <c r="P612" s="105"/>
      <c r="Q612" s="105" t="s">
        <v>77</v>
      </c>
      <c r="R612" s="105" t="s">
        <v>77</v>
      </c>
      <c r="S612" s="105"/>
      <c r="T612" s="105"/>
      <c r="U612" s="105"/>
      <c r="V612" s="105"/>
      <c r="W612" s="105" t="s">
        <v>80</v>
      </c>
      <c r="X612" s="105"/>
      <c r="Y612" s="105"/>
    </row>
    <row r="613" spans="1:25" s="99" customFormat="1" ht="26.25" customHeight="1">
      <c r="A613" s="100">
        <v>4354</v>
      </c>
      <c r="B613" s="101" t="s">
        <v>11</v>
      </c>
      <c r="C613" s="105" t="s">
        <v>52</v>
      </c>
      <c r="D613" s="105" t="s">
        <v>1275</v>
      </c>
      <c r="E613" s="105" t="s">
        <v>44</v>
      </c>
      <c r="F613" s="101" t="str">
        <f t="shared" si="21"/>
        <v>-</v>
      </c>
      <c r="G613" s="106" t="s">
        <v>53</v>
      </c>
      <c r="H613" s="105"/>
      <c r="I613" s="106" t="s">
        <v>1276</v>
      </c>
      <c r="J613" s="107" t="s">
        <v>54</v>
      </c>
      <c r="K613" s="108"/>
      <c r="L613" s="106"/>
      <c r="M613" s="110"/>
      <c r="N613" s="105" t="s">
        <v>78</v>
      </c>
      <c r="O613" s="105" t="str">
        <f t="shared" si="22"/>
        <v/>
      </c>
      <c r="P613" s="105"/>
      <c r="Q613" s="105" t="s">
        <v>77</v>
      </c>
      <c r="R613" s="105" t="s">
        <v>77</v>
      </c>
      <c r="S613" s="105"/>
      <c r="T613" s="105"/>
      <c r="U613" s="105"/>
      <c r="V613" s="105"/>
      <c r="W613" s="105" t="s">
        <v>80</v>
      </c>
      <c r="X613" s="105"/>
      <c r="Y613" s="105"/>
    </row>
    <row r="614" spans="1:25" s="99" customFormat="1" ht="26.25" customHeight="1">
      <c r="A614" s="100">
        <v>4355</v>
      </c>
      <c r="B614" s="101" t="s">
        <v>11</v>
      </c>
      <c r="C614" s="105" t="s">
        <v>52</v>
      </c>
      <c r="D614" s="105" t="s">
        <v>1277</v>
      </c>
      <c r="E614" s="105" t="s">
        <v>44</v>
      </c>
      <c r="F614" s="101" t="str">
        <f t="shared" si="21"/>
        <v>-</v>
      </c>
      <c r="G614" s="106" t="s">
        <v>53</v>
      </c>
      <c r="H614" s="105"/>
      <c r="I614" s="106" t="s">
        <v>1278</v>
      </c>
      <c r="J614" s="107" t="s">
        <v>54</v>
      </c>
      <c r="K614" s="108"/>
      <c r="L614" s="106"/>
      <c r="M614" s="110"/>
      <c r="N614" s="105" t="s">
        <v>78</v>
      </c>
      <c r="O614" s="105" t="str">
        <f t="shared" si="22"/>
        <v/>
      </c>
      <c r="P614" s="105"/>
      <c r="Q614" s="105" t="s">
        <v>77</v>
      </c>
      <c r="R614" s="105" t="s">
        <v>77</v>
      </c>
      <c r="S614" s="105"/>
      <c r="T614" s="105"/>
      <c r="U614" s="105"/>
      <c r="V614" s="105"/>
      <c r="W614" s="105" t="s">
        <v>80</v>
      </c>
      <c r="X614" s="105"/>
      <c r="Y614" s="105"/>
    </row>
    <row r="615" spans="1:25" s="99" customFormat="1" ht="26.25" customHeight="1">
      <c r="A615" s="100">
        <v>4356</v>
      </c>
      <c r="B615" s="101" t="s">
        <v>11</v>
      </c>
      <c r="C615" s="105" t="s">
        <v>52</v>
      </c>
      <c r="D615" s="105" t="s">
        <v>1279</v>
      </c>
      <c r="E615" s="105" t="s">
        <v>44</v>
      </c>
      <c r="F615" s="101" t="str">
        <f t="shared" si="21"/>
        <v>-</v>
      </c>
      <c r="G615" s="106" t="s">
        <v>53</v>
      </c>
      <c r="H615" s="105"/>
      <c r="I615" s="106" t="s">
        <v>1280</v>
      </c>
      <c r="J615" s="107" t="s">
        <v>54</v>
      </c>
      <c r="K615" s="108"/>
      <c r="L615" s="106"/>
      <c r="M615" s="110"/>
      <c r="N615" s="105" t="s">
        <v>78</v>
      </c>
      <c r="O615" s="105" t="str">
        <f t="shared" si="22"/>
        <v/>
      </c>
      <c r="P615" s="105"/>
      <c r="Q615" s="105" t="s">
        <v>77</v>
      </c>
      <c r="R615" s="105" t="s">
        <v>77</v>
      </c>
      <c r="S615" s="105"/>
      <c r="T615" s="105"/>
      <c r="U615" s="105"/>
      <c r="V615" s="105"/>
      <c r="W615" s="105" t="s">
        <v>80</v>
      </c>
      <c r="X615" s="105"/>
      <c r="Y615" s="105"/>
    </row>
    <row r="616" spans="1:25" s="99" customFormat="1" ht="26.25" customHeight="1">
      <c r="A616" s="100">
        <v>4357</v>
      </c>
      <c r="B616" s="101" t="s">
        <v>11</v>
      </c>
      <c r="C616" s="105" t="s">
        <v>52</v>
      </c>
      <c r="D616" s="105" t="s">
        <v>1281</v>
      </c>
      <c r="E616" s="105" t="s">
        <v>44</v>
      </c>
      <c r="F616" s="101" t="str">
        <f t="shared" si="21"/>
        <v>-</v>
      </c>
      <c r="G616" s="106" t="s">
        <v>53</v>
      </c>
      <c r="H616" s="105"/>
      <c r="I616" s="106" t="s">
        <v>1282</v>
      </c>
      <c r="J616" s="107" t="s">
        <v>54</v>
      </c>
      <c r="K616" s="108"/>
      <c r="L616" s="106"/>
      <c r="M616" s="110"/>
      <c r="N616" s="105" t="s">
        <v>78</v>
      </c>
      <c r="O616" s="105" t="str">
        <f t="shared" si="22"/>
        <v/>
      </c>
      <c r="P616" s="105"/>
      <c r="Q616" s="105" t="s">
        <v>77</v>
      </c>
      <c r="R616" s="105" t="s">
        <v>77</v>
      </c>
      <c r="S616" s="105"/>
      <c r="T616" s="105"/>
      <c r="U616" s="105"/>
      <c r="V616" s="105"/>
      <c r="W616" s="105" t="s">
        <v>80</v>
      </c>
      <c r="X616" s="105"/>
      <c r="Y616" s="105"/>
    </row>
    <row r="617" spans="1:25" s="99" customFormat="1" ht="26.25" customHeight="1">
      <c r="A617" s="100">
        <v>4358</v>
      </c>
      <c r="B617" s="101" t="s">
        <v>11</v>
      </c>
      <c r="C617" s="105" t="s">
        <v>52</v>
      </c>
      <c r="D617" s="105" t="s">
        <v>1283</v>
      </c>
      <c r="E617" s="105" t="s">
        <v>44</v>
      </c>
      <c r="F617" s="101" t="str">
        <f t="shared" si="21"/>
        <v>-</v>
      </c>
      <c r="G617" s="106" t="s">
        <v>53</v>
      </c>
      <c r="H617" s="105"/>
      <c r="I617" s="106" t="s">
        <v>1284</v>
      </c>
      <c r="J617" s="107" t="s">
        <v>54</v>
      </c>
      <c r="K617" s="108"/>
      <c r="L617" s="106"/>
      <c r="M617" s="110"/>
      <c r="N617" s="105" t="s">
        <v>78</v>
      </c>
      <c r="O617" s="105" t="str">
        <f t="shared" si="22"/>
        <v/>
      </c>
      <c r="P617" s="105"/>
      <c r="Q617" s="105" t="s">
        <v>77</v>
      </c>
      <c r="R617" s="105" t="s">
        <v>77</v>
      </c>
      <c r="S617" s="105"/>
      <c r="T617" s="105"/>
      <c r="U617" s="105"/>
      <c r="V617" s="105"/>
      <c r="W617" s="105" t="s">
        <v>80</v>
      </c>
      <c r="X617" s="105"/>
      <c r="Y617" s="105"/>
    </row>
    <row r="618" spans="1:25" s="99" customFormat="1" ht="26.25" customHeight="1">
      <c r="A618" s="100">
        <v>4359</v>
      </c>
      <c r="B618" s="101" t="s">
        <v>11</v>
      </c>
      <c r="C618" s="105" t="s">
        <v>52</v>
      </c>
      <c r="D618" s="105" t="s">
        <v>1285</v>
      </c>
      <c r="E618" s="105" t="s">
        <v>44</v>
      </c>
      <c r="F618" s="101" t="str">
        <f t="shared" si="21"/>
        <v>-</v>
      </c>
      <c r="G618" s="106" t="s">
        <v>53</v>
      </c>
      <c r="H618" s="105"/>
      <c r="I618" s="106" t="s">
        <v>1286</v>
      </c>
      <c r="J618" s="107" t="s">
        <v>54</v>
      </c>
      <c r="K618" s="108"/>
      <c r="L618" s="106"/>
      <c r="M618" s="110"/>
      <c r="N618" s="105" t="s">
        <v>78</v>
      </c>
      <c r="O618" s="105" t="str">
        <f t="shared" si="22"/>
        <v/>
      </c>
      <c r="P618" s="105"/>
      <c r="Q618" s="105" t="s">
        <v>77</v>
      </c>
      <c r="R618" s="105" t="s">
        <v>77</v>
      </c>
      <c r="S618" s="105"/>
      <c r="T618" s="105"/>
      <c r="U618" s="105"/>
      <c r="V618" s="105"/>
      <c r="W618" s="105" t="s">
        <v>80</v>
      </c>
      <c r="X618" s="105"/>
      <c r="Y618" s="105"/>
    </row>
    <row r="619" spans="1:25" s="99" customFormat="1" ht="26.25" customHeight="1">
      <c r="A619" s="100">
        <v>4360</v>
      </c>
      <c r="B619" s="101" t="s">
        <v>11</v>
      </c>
      <c r="C619" s="105" t="s">
        <v>52</v>
      </c>
      <c r="D619" s="105" t="s">
        <v>1287</v>
      </c>
      <c r="E619" s="105" t="s">
        <v>44</v>
      </c>
      <c r="F619" s="101" t="str">
        <f t="shared" si="21"/>
        <v>-</v>
      </c>
      <c r="G619" s="106" t="s">
        <v>53</v>
      </c>
      <c r="H619" s="105"/>
      <c r="I619" s="106" t="s">
        <v>1288</v>
      </c>
      <c r="J619" s="107" t="s">
        <v>54</v>
      </c>
      <c r="K619" s="108"/>
      <c r="L619" s="106"/>
      <c r="M619" s="110"/>
      <c r="N619" s="105" t="s">
        <v>78</v>
      </c>
      <c r="O619" s="105" t="str">
        <f t="shared" si="22"/>
        <v/>
      </c>
      <c r="P619" s="105"/>
      <c r="Q619" s="105" t="s">
        <v>77</v>
      </c>
      <c r="R619" s="105" t="s">
        <v>77</v>
      </c>
      <c r="S619" s="105"/>
      <c r="T619" s="105"/>
      <c r="U619" s="105"/>
      <c r="V619" s="105"/>
      <c r="W619" s="105" t="s">
        <v>80</v>
      </c>
      <c r="X619" s="105"/>
      <c r="Y619" s="105"/>
    </row>
    <row r="620" spans="1:25" s="99" customFormat="1" ht="26.25" customHeight="1">
      <c r="A620" s="100">
        <v>4361</v>
      </c>
      <c r="B620" s="101" t="s">
        <v>11</v>
      </c>
      <c r="C620" s="105" t="s">
        <v>52</v>
      </c>
      <c r="D620" s="105" t="s">
        <v>1289</v>
      </c>
      <c r="E620" s="105" t="s">
        <v>44</v>
      </c>
      <c r="F620" s="101" t="str">
        <f t="shared" si="21"/>
        <v>-</v>
      </c>
      <c r="G620" s="106" t="s">
        <v>53</v>
      </c>
      <c r="H620" s="105"/>
      <c r="I620" s="106" t="s">
        <v>1290</v>
      </c>
      <c r="J620" s="107" t="s">
        <v>54</v>
      </c>
      <c r="K620" s="108"/>
      <c r="L620" s="106"/>
      <c r="M620" s="110"/>
      <c r="N620" s="105" t="s">
        <v>78</v>
      </c>
      <c r="O620" s="105" t="str">
        <f t="shared" si="22"/>
        <v/>
      </c>
      <c r="P620" s="105"/>
      <c r="Q620" s="105" t="s">
        <v>77</v>
      </c>
      <c r="R620" s="105" t="s">
        <v>77</v>
      </c>
      <c r="S620" s="105"/>
      <c r="T620" s="105"/>
      <c r="U620" s="105"/>
      <c r="V620" s="105"/>
      <c r="W620" s="105" t="s">
        <v>80</v>
      </c>
      <c r="X620" s="105"/>
      <c r="Y620" s="105"/>
    </row>
    <row r="621" spans="1:25" s="99" customFormat="1" ht="26.25" customHeight="1">
      <c r="A621" s="100">
        <v>4362</v>
      </c>
      <c r="B621" s="101" t="s">
        <v>11</v>
      </c>
      <c r="C621" s="105" t="s">
        <v>52</v>
      </c>
      <c r="D621" s="105" t="s">
        <v>1291</v>
      </c>
      <c r="E621" s="105" t="s">
        <v>44</v>
      </c>
      <c r="F621" s="101" t="str">
        <f t="shared" si="21"/>
        <v>-</v>
      </c>
      <c r="G621" s="106" t="s">
        <v>53</v>
      </c>
      <c r="H621" s="105"/>
      <c r="I621" s="106" t="s">
        <v>1292</v>
      </c>
      <c r="J621" s="107" t="s">
        <v>54</v>
      </c>
      <c r="K621" s="108"/>
      <c r="L621" s="106"/>
      <c r="M621" s="110"/>
      <c r="N621" s="105" t="s">
        <v>78</v>
      </c>
      <c r="O621" s="105" t="str">
        <f t="shared" si="22"/>
        <v/>
      </c>
      <c r="P621" s="105"/>
      <c r="Q621" s="105" t="s">
        <v>77</v>
      </c>
      <c r="R621" s="105" t="s">
        <v>77</v>
      </c>
      <c r="S621" s="105"/>
      <c r="T621" s="105"/>
      <c r="U621" s="105"/>
      <c r="V621" s="105"/>
      <c r="W621" s="105" t="s">
        <v>80</v>
      </c>
      <c r="X621" s="105"/>
      <c r="Y621" s="105"/>
    </row>
    <row r="622" spans="1:25" s="99" customFormat="1" ht="26.25" customHeight="1">
      <c r="A622" s="100">
        <v>4363</v>
      </c>
      <c r="B622" s="101" t="s">
        <v>11</v>
      </c>
      <c r="C622" s="105" t="s">
        <v>52</v>
      </c>
      <c r="D622" s="105" t="s">
        <v>1293</v>
      </c>
      <c r="E622" s="105" t="s">
        <v>44</v>
      </c>
      <c r="F622" s="101" t="str">
        <f t="shared" si="21"/>
        <v>-</v>
      </c>
      <c r="G622" s="106" t="s">
        <v>53</v>
      </c>
      <c r="H622" s="105"/>
      <c r="I622" s="106" t="s">
        <v>1294</v>
      </c>
      <c r="J622" s="107" t="s">
        <v>54</v>
      </c>
      <c r="K622" s="108"/>
      <c r="L622" s="106"/>
      <c r="M622" s="110"/>
      <c r="N622" s="105" t="s">
        <v>78</v>
      </c>
      <c r="O622" s="105" t="str">
        <f t="shared" si="22"/>
        <v/>
      </c>
      <c r="P622" s="105"/>
      <c r="Q622" s="105" t="s">
        <v>77</v>
      </c>
      <c r="R622" s="105" t="s">
        <v>77</v>
      </c>
      <c r="S622" s="105"/>
      <c r="T622" s="105"/>
      <c r="U622" s="105"/>
      <c r="V622" s="105"/>
      <c r="W622" s="105" t="s">
        <v>80</v>
      </c>
      <c r="X622" s="105"/>
      <c r="Y622" s="105"/>
    </row>
    <row r="623" spans="1:25" s="99" customFormat="1" ht="26.25" customHeight="1">
      <c r="A623" s="100">
        <v>4364</v>
      </c>
      <c r="B623" s="101" t="s">
        <v>11</v>
      </c>
      <c r="C623" s="105" t="s">
        <v>52</v>
      </c>
      <c r="D623" s="105" t="s">
        <v>1295</v>
      </c>
      <c r="E623" s="105" t="s">
        <v>44</v>
      </c>
      <c r="F623" s="101" t="str">
        <f t="shared" si="21"/>
        <v>-</v>
      </c>
      <c r="G623" s="106" t="s">
        <v>53</v>
      </c>
      <c r="H623" s="105"/>
      <c r="I623" s="106" t="s">
        <v>1296</v>
      </c>
      <c r="J623" s="107" t="s">
        <v>54</v>
      </c>
      <c r="K623" s="108"/>
      <c r="L623" s="106"/>
      <c r="M623" s="110"/>
      <c r="N623" s="105" t="s">
        <v>78</v>
      </c>
      <c r="O623" s="105" t="str">
        <f t="shared" si="22"/>
        <v/>
      </c>
      <c r="P623" s="105"/>
      <c r="Q623" s="105" t="s">
        <v>77</v>
      </c>
      <c r="R623" s="105" t="s">
        <v>77</v>
      </c>
      <c r="S623" s="105"/>
      <c r="T623" s="105"/>
      <c r="U623" s="105"/>
      <c r="V623" s="105"/>
      <c r="W623" s="105" t="s">
        <v>80</v>
      </c>
      <c r="X623" s="105"/>
      <c r="Y623" s="105"/>
    </row>
    <row r="624" spans="1:25" s="99" customFormat="1" ht="26.25" customHeight="1">
      <c r="A624" s="100">
        <v>4365</v>
      </c>
      <c r="B624" s="101" t="s">
        <v>11</v>
      </c>
      <c r="C624" s="105" t="s">
        <v>52</v>
      </c>
      <c r="D624" s="105" t="s">
        <v>1297</v>
      </c>
      <c r="E624" s="105" t="s">
        <v>44</v>
      </c>
      <c r="F624" s="101" t="str">
        <f t="shared" si="21"/>
        <v>-</v>
      </c>
      <c r="G624" s="106" t="s">
        <v>53</v>
      </c>
      <c r="H624" s="105"/>
      <c r="I624" s="106" t="s">
        <v>1298</v>
      </c>
      <c r="J624" s="107" t="s">
        <v>54</v>
      </c>
      <c r="K624" s="108"/>
      <c r="L624" s="106"/>
      <c r="M624" s="110"/>
      <c r="N624" s="105" t="s">
        <v>78</v>
      </c>
      <c r="O624" s="105" t="str">
        <f t="shared" si="22"/>
        <v/>
      </c>
      <c r="P624" s="105"/>
      <c r="Q624" s="105" t="s">
        <v>77</v>
      </c>
      <c r="R624" s="105" t="s">
        <v>77</v>
      </c>
      <c r="S624" s="105"/>
      <c r="T624" s="105"/>
      <c r="U624" s="105"/>
      <c r="V624" s="105"/>
      <c r="W624" s="105" t="s">
        <v>80</v>
      </c>
      <c r="X624" s="105"/>
      <c r="Y624" s="105"/>
    </row>
    <row r="625" spans="1:25" s="99" customFormat="1" ht="26.25" customHeight="1">
      <c r="A625" s="100">
        <v>4366</v>
      </c>
      <c r="B625" s="101" t="s">
        <v>11</v>
      </c>
      <c r="C625" s="105" t="s">
        <v>52</v>
      </c>
      <c r="D625" s="105" t="s">
        <v>1299</v>
      </c>
      <c r="E625" s="105" t="s">
        <v>44</v>
      </c>
      <c r="F625" s="101" t="str">
        <f t="shared" si="21"/>
        <v>-</v>
      </c>
      <c r="G625" s="106" t="s">
        <v>53</v>
      </c>
      <c r="H625" s="105"/>
      <c r="I625" s="106" t="s">
        <v>1300</v>
      </c>
      <c r="J625" s="107" t="s">
        <v>54</v>
      </c>
      <c r="K625" s="108"/>
      <c r="L625" s="106"/>
      <c r="M625" s="110"/>
      <c r="N625" s="105" t="s">
        <v>78</v>
      </c>
      <c r="O625" s="105" t="str">
        <f t="shared" si="22"/>
        <v/>
      </c>
      <c r="P625" s="105"/>
      <c r="Q625" s="105" t="s">
        <v>77</v>
      </c>
      <c r="R625" s="105" t="s">
        <v>77</v>
      </c>
      <c r="S625" s="105"/>
      <c r="T625" s="105"/>
      <c r="U625" s="105"/>
      <c r="V625" s="105"/>
      <c r="W625" s="105" t="s">
        <v>80</v>
      </c>
      <c r="X625" s="105"/>
      <c r="Y625" s="105"/>
    </row>
    <row r="626" spans="1:25" s="99" customFormat="1" ht="26.25" customHeight="1">
      <c r="A626" s="100">
        <v>4367</v>
      </c>
      <c r="B626" s="101" t="s">
        <v>11</v>
      </c>
      <c r="C626" s="105" t="s">
        <v>52</v>
      </c>
      <c r="D626" s="105" t="s">
        <v>1301</v>
      </c>
      <c r="E626" s="105" t="s">
        <v>44</v>
      </c>
      <c r="F626" s="101" t="str">
        <f t="shared" si="21"/>
        <v>-</v>
      </c>
      <c r="G626" s="106" t="s">
        <v>53</v>
      </c>
      <c r="H626" s="105"/>
      <c r="I626" s="106" t="s">
        <v>1302</v>
      </c>
      <c r="J626" s="107" t="s">
        <v>54</v>
      </c>
      <c r="K626" s="108"/>
      <c r="L626" s="106"/>
      <c r="M626" s="110"/>
      <c r="N626" s="105" t="s">
        <v>78</v>
      </c>
      <c r="O626" s="105" t="str">
        <f t="shared" si="22"/>
        <v/>
      </c>
      <c r="P626" s="105"/>
      <c r="Q626" s="105" t="s">
        <v>77</v>
      </c>
      <c r="R626" s="105" t="s">
        <v>77</v>
      </c>
      <c r="S626" s="105"/>
      <c r="T626" s="105"/>
      <c r="U626" s="105"/>
      <c r="V626" s="105"/>
      <c r="W626" s="105" t="s">
        <v>80</v>
      </c>
      <c r="X626" s="105"/>
      <c r="Y626" s="105"/>
    </row>
    <row r="627" spans="1:25" s="99" customFormat="1" ht="26.25" customHeight="1">
      <c r="A627" s="100">
        <v>4368</v>
      </c>
      <c r="B627" s="101" t="s">
        <v>11</v>
      </c>
      <c r="C627" s="105" t="s">
        <v>52</v>
      </c>
      <c r="D627" s="105" t="s">
        <v>1303</v>
      </c>
      <c r="E627" s="105" t="s">
        <v>44</v>
      </c>
      <c r="F627" s="101" t="str">
        <f t="shared" si="21"/>
        <v>-</v>
      </c>
      <c r="G627" s="106" t="s">
        <v>53</v>
      </c>
      <c r="H627" s="105"/>
      <c r="I627" s="106" t="s">
        <v>1304</v>
      </c>
      <c r="J627" s="107" t="s">
        <v>54</v>
      </c>
      <c r="K627" s="108"/>
      <c r="L627" s="106"/>
      <c r="M627" s="110"/>
      <c r="N627" s="105" t="s">
        <v>78</v>
      </c>
      <c r="O627" s="105" t="str">
        <f t="shared" si="22"/>
        <v/>
      </c>
      <c r="P627" s="105"/>
      <c r="Q627" s="105" t="s">
        <v>77</v>
      </c>
      <c r="R627" s="105" t="s">
        <v>77</v>
      </c>
      <c r="S627" s="105"/>
      <c r="T627" s="105"/>
      <c r="U627" s="105"/>
      <c r="V627" s="105"/>
      <c r="W627" s="105" t="s">
        <v>80</v>
      </c>
      <c r="X627" s="105"/>
      <c r="Y627" s="105"/>
    </row>
    <row r="628" spans="1:25" s="99" customFormat="1" ht="26.25" customHeight="1">
      <c r="A628" s="100">
        <v>4369</v>
      </c>
      <c r="B628" s="101" t="s">
        <v>11</v>
      </c>
      <c r="C628" s="105" t="s">
        <v>52</v>
      </c>
      <c r="D628" s="105" t="s">
        <v>1305</v>
      </c>
      <c r="E628" s="105" t="s">
        <v>44</v>
      </c>
      <c r="F628" s="101" t="str">
        <f t="shared" si="21"/>
        <v>-</v>
      </c>
      <c r="G628" s="106" t="s">
        <v>53</v>
      </c>
      <c r="H628" s="105"/>
      <c r="I628" s="106" t="s">
        <v>1306</v>
      </c>
      <c r="J628" s="107" t="s">
        <v>54</v>
      </c>
      <c r="K628" s="108"/>
      <c r="L628" s="106"/>
      <c r="M628" s="110"/>
      <c r="N628" s="105" t="s">
        <v>78</v>
      </c>
      <c r="O628" s="105" t="str">
        <f t="shared" si="22"/>
        <v/>
      </c>
      <c r="P628" s="105"/>
      <c r="Q628" s="105" t="s">
        <v>77</v>
      </c>
      <c r="R628" s="105" t="s">
        <v>77</v>
      </c>
      <c r="S628" s="105"/>
      <c r="T628" s="105"/>
      <c r="U628" s="105"/>
      <c r="V628" s="105"/>
      <c r="W628" s="105" t="s">
        <v>80</v>
      </c>
      <c r="X628" s="105"/>
      <c r="Y628" s="105"/>
    </row>
    <row r="629" spans="1:25" s="99" customFormat="1" ht="26.25" customHeight="1">
      <c r="A629" s="100">
        <v>4370</v>
      </c>
      <c r="B629" s="101" t="s">
        <v>11</v>
      </c>
      <c r="C629" s="105" t="s">
        <v>52</v>
      </c>
      <c r="D629" s="105" t="s">
        <v>1307</v>
      </c>
      <c r="E629" s="105" t="s">
        <v>44</v>
      </c>
      <c r="F629" s="101" t="str">
        <f t="shared" si="21"/>
        <v>-</v>
      </c>
      <c r="G629" s="106" t="s">
        <v>53</v>
      </c>
      <c r="H629" s="105"/>
      <c r="I629" s="106" t="s">
        <v>1308</v>
      </c>
      <c r="J629" s="107" t="s">
        <v>54</v>
      </c>
      <c r="K629" s="108"/>
      <c r="L629" s="106"/>
      <c r="M629" s="110"/>
      <c r="N629" s="105" t="s">
        <v>78</v>
      </c>
      <c r="O629" s="105" t="str">
        <f t="shared" si="22"/>
        <v/>
      </c>
      <c r="P629" s="105"/>
      <c r="Q629" s="105" t="s">
        <v>77</v>
      </c>
      <c r="R629" s="105" t="s">
        <v>77</v>
      </c>
      <c r="S629" s="105"/>
      <c r="T629" s="105"/>
      <c r="U629" s="105"/>
      <c r="V629" s="105"/>
      <c r="W629" s="105" t="s">
        <v>80</v>
      </c>
      <c r="X629" s="105"/>
      <c r="Y629" s="105"/>
    </row>
    <row r="630" spans="1:25" s="99" customFormat="1" ht="26.25" customHeight="1">
      <c r="A630" s="100">
        <v>4371</v>
      </c>
      <c r="B630" s="101" t="s">
        <v>11</v>
      </c>
      <c r="C630" s="105" t="s">
        <v>52</v>
      </c>
      <c r="D630" s="105" t="s">
        <v>1309</v>
      </c>
      <c r="E630" s="105" t="s">
        <v>44</v>
      </c>
      <c r="F630" s="101" t="str">
        <f t="shared" si="21"/>
        <v>-</v>
      </c>
      <c r="G630" s="106" t="s">
        <v>53</v>
      </c>
      <c r="H630" s="105"/>
      <c r="I630" s="106" t="s">
        <v>1310</v>
      </c>
      <c r="J630" s="107" t="s">
        <v>54</v>
      </c>
      <c r="K630" s="108"/>
      <c r="L630" s="106"/>
      <c r="M630" s="110"/>
      <c r="N630" s="105" t="s">
        <v>78</v>
      </c>
      <c r="O630" s="105" t="str">
        <f t="shared" si="22"/>
        <v/>
      </c>
      <c r="P630" s="105"/>
      <c r="Q630" s="105" t="s">
        <v>77</v>
      </c>
      <c r="R630" s="105" t="s">
        <v>77</v>
      </c>
      <c r="S630" s="105"/>
      <c r="T630" s="105"/>
      <c r="U630" s="105"/>
      <c r="V630" s="105"/>
      <c r="W630" s="105" t="s">
        <v>80</v>
      </c>
      <c r="X630" s="105"/>
      <c r="Y630" s="105"/>
    </row>
    <row r="631" spans="1:25" s="99" customFormat="1" ht="26.25" customHeight="1">
      <c r="A631" s="100">
        <v>4372</v>
      </c>
      <c r="B631" s="101" t="s">
        <v>11</v>
      </c>
      <c r="C631" s="105" t="s">
        <v>52</v>
      </c>
      <c r="D631" s="105" t="s">
        <v>1311</v>
      </c>
      <c r="E631" s="105" t="s">
        <v>44</v>
      </c>
      <c r="F631" s="101" t="str">
        <f t="shared" si="21"/>
        <v>-</v>
      </c>
      <c r="G631" s="106" t="s">
        <v>53</v>
      </c>
      <c r="H631" s="105"/>
      <c r="I631" s="106" t="s">
        <v>1312</v>
      </c>
      <c r="J631" s="107" t="s">
        <v>54</v>
      </c>
      <c r="K631" s="108"/>
      <c r="L631" s="106"/>
      <c r="M631" s="110"/>
      <c r="N631" s="105" t="s">
        <v>78</v>
      </c>
      <c r="O631" s="105" t="str">
        <f t="shared" si="22"/>
        <v/>
      </c>
      <c r="P631" s="105"/>
      <c r="Q631" s="105" t="s">
        <v>77</v>
      </c>
      <c r="R631" s="105" t="s">
        <v>77</v>
      </c>
      <c r="S631" s="105"/>
      <c r="T631" s="105"/>
      <c r="U631" s="105"/>
      <c r="V631" s="105"/>
      <c r="W631" s="105" t="s">
        <v>80</v>
      </c>
      <c r="X631" s="105"/>
      <c r="Y631" s="105"/>
    </row>
    <row r="632" spans="1:25" s="99" customFormat="1" ht="26.25" customHeight="1">
      <c r="A632" s="100">
        <v>4373</v>
      </c>
      <c r="B632" s="101" t="s">
        <v>11</v>
      </c>
      <c r="C632" s="105" t="s">
        <v>52</v>
      </c>
      <c r="D632" s="105" t="s">
        <v>1313</v>
      </c>
      <c r="E632" s="105" t="s">
        <v>44</v>
      </c>
      <c r="F632" s="101" t="str">
        <f t="shared" si="21"/>
        <v>-</v>
      </c>
      <c r="G632" s="106" t="s">
        <v>53</v>
      </c>
      <c r="H632" s="105"/>
      <c r="I632" s="106" t="s">
        <v>1314</v>
      </c>
      <c r="J632" s="107" t="s">
        <v>54</v>
      </c>
      <c r="K632" s="108"/>
      <c r="L632" s="106"/>
      <c r="M632" s="110"/>
      <c r="N632" s="105" t="s">
        <v>78</v>
      </c>
      <c r="O632" s="105" t="str">
        <f t="shared" si="22"/>
        <v/>
      </c>
      <c r="P632" s="105"/>
      <c r="Q632" s="105" t="s">
        <v>77</v>
      </c>
      <c r="R632" s="105" t="s">
        <v>77</v>
      </c>
      <c r="S632" s="105"/>
      <c r="T632" s="105"/>
      <c r="U632" s="105"/>
      <c r="V632" s="105"/>
      <c r="W632" s="105" t="s">
        <v>80</v>
      </c>
      <c r="X632" s="105"/>
      <c r="Y632" s="105"/>
    </row>
    <row r="633" spans="1:25" s="99" customFormat="1" ht="26.25" customHeight="1">
      <c r="A633" s="100">
        <v>4374</v>
      </c>
      <c r="B633" s="101" t="s">
        <v>11</v>
      </c>
      <c r="C633" s="105" t="s">
        <v>52</v>
      </c>
      <c r="D633" s="105" t="s">
        <v>1315</v>
      </c>
      <c r="E633" s="105" t="s">
        <v>44</v>
      </c>
      <c r="F633" s="101" t="str">
        <f t="shared" si="21"/>
        <v>-</v>
      </c>
      <c r="G633" s="106" t="s">
        <v>53</v>
      </c>
      <c r="H633" s="105"/>
      <c r="I633" s="106" t="s">
        <v>1316</v>
      </c>
      <c r="J633" s="107" t="s">
        <v>54</v>
      </c>
      <c r="K633" s="108"/>
      <c r="L633" s="106"/>
      <c r="M633" s="110"/>
      <c r="N633" s="105" t="s">
        <v>78</v>
      </c>
      <c r="O633" s="105" t="str">
        <f t="shared" si="22"/>
        <v/>
      </c>
      <c r="P633" s="105"/>
      <c r="Q633" s="105" t="s">
        <v>77</v>
      </c>
      <c r="R633" s="105" t="s">
        <v>77</v>
      </c>
      <c r="S633" s="105"/>
      <c r="T633" s="105"/>
      <c r="U633" s="105"/>
      <c r="V633" s="105"/>
      <c r="W633" s="105" t="s">
        <v>80</v>
      </c>
      <c r="X633" s="105"/>
      <c r="Y633" s="105"/>
    </row>
    <row r="634" spans="1:25" s="99" customFormat="1" ht="26.25" customHeight="1">
      <c r="A634" s="100">
        <v>4375</v>
      </c>
      <c r="B634" s="101" t="s">
        <v>11</v>
      </c>
      <c r="C634" s="105" t="s">
        <v>52</v>
      </c>
      <c r="D634" s="105" t="s">
        <v>1317</v>
      </c>
      <c r="E634" s="105" t="s">
        <v>44</v>
      </c>
      <c r="F634" s="101" t="str">
        <f t="shared" si="21"/>
        <v>-</v>
      </c>
      <c r="G634" s="106" t="s">
        <v>53</v>
      </c>
      <c r="H634" s="105"/>
      <c r="I634" s="106" t="s">
        <v>1318</v>
      </c>
      <c r="J634" s="107" t="s">
        <v>54</v>
      </c>
      <c r="K634" s="108"/>
      <c r="L634" s="106"/>
      <c r="M634" s="110"/>
      <c r="N634" s="105" t="s">
        <v>78</v>
      </c>
      <c r="O634" s="105" t="str">
        <f t="shared" si="22"/>
        <v/>
      </c>
      <c r="P634" s="105"/>
      <c r="Q634" s="105" t="s">
        <v>77</v>
      </c>
      <c r="R634" s="105" t="s">
        <v>77</v>
      </c>
      <c r="S634" s="105"/>
      <c r="T634" s="105"/>
      <c r="U634" s="105"/>
      <c r="V634" s="105"/>
      <c r="W634" s="105" t="s">
        <v>80</v>
      </c>
      <c r="X634" s="105"/>
      <c r="Y634" s="105"/>
    </row>
    <row r="635" spans="1:25" s="99" customFormat="1" ht="26.25" customHeight="1">
      <c r="A635" s="100">
        <v>4376</v>
      </c>
      <c r="B635" s="101" t="s">
        <v>11</v>
      </c>
      <c r="C635" s="105" t="s">
        <v>52</v>
      </c>
      <c r="D635" s="105" t="s">
        <v>1319</v>
      </c>
      <c r="E635" s="105" t="s">
        <v>44</v>
      </c>
      <c r="F635" s="101" t="str">
        <f t="shared" si="21"/>
        <v>-</v>
      </c>
      <c r="G635" s="106" t="s">
        <v>53</v>
      </c>
      <c r="H635" s="105"/>
      <c r="I635" s="106" t="s">
        <v>1320</v>
      </c>
      <c r="J635" s="107" t="s">
        <v>54</v>
      </c>
      <c r="K635" s="108"/>
      <c r="L635" s="106"/>
      <c r="M635" s="110"/>
      <c r="N635" s="105" t="s">
        <v>78</v>
      </c>
      <c r="O635" s="105" t="str">
        <f t="shared" si="22"/>
        <v/>
      </c>
      <c r="P635" s="105"/>
      <c r="Q635" s="105" t="s">
        <v>77</v>
      </c>
      <c r="R635" s="105" t="s">
        <v>77</v>
      </c>
      <c r="S635" s="105"/>
      <c r="T635" s="105"/>
      <c r="U635" s="105"/>
      <c r="V635" s="105"/>
      <c r="W635" s="105" t="s">
        <v>80</v>
      </c>
      <c r="X635" s="105"/>
      <c r="Y635" s="105"/>
    </row>
    <row r="636" spans="1:25" s="99" customFormat="1" ht="26.25" customHeight="1">
      <c r="A636" s="100">
        <v>4377</v>
      </c>
      <c r="B636" s="101" t="s">
        <v>11</v>
      </c>
      <c r="C636" s="105" t="s">
        <v>52</v>
      </c>
      <c r="D636" s="105" t="s">
        <v>1321</v>
      </c>
      <c r="E636" s="105" t="s">
        <v>44</v>
      </c>
      <c r="F636" s="101" t="str">
        <f t="shared" si="21"/>
        <v>-</v>
      </c>
      <c r="G636" s="106" t="s">
        <v>53</v>
      </c>
      <c r="H636" s="105"/>
      <c r="I636" s="106" t="s">
        <v>1322</v>
      </c>
      <c r="J636" s="107" t="s">
        <v>54</v>
      </c>
      <c r="K636" s="108"/>
      <c r="L636" s="106"/>
      <c r="M636" s="110"/>
      <c r="N636" s="105" t="s">
        <v>78</v>
      </c>
      <c r="O636" s="105" t="str">
        <f t="shared" si="22"/>
        <v/>
      </c>
      <c r="P636" s="105"/>
      <c r="Q636" s="105" t="s">
        <v>77</v>
      </c>
      <c r="R636" s="105" t="s">
        <v>77</v>
      </c>
      <c r="S636" s="105"/>
      <c r="T636" s="105"/>
      <c r="U636" s="105"/>
      <c r="V636" s="105"/>
      <c r="W636" s="105" t="s">
        <v>80</v>
      </c>
      <c r="X636" s="105"/>
      <c r="Y636" s="105"/>
    </row>
    <row r="637" spans="1:25" s="99" customFormat="1" ht="26.25" customHeight="1">
      <c r="A637" s="100">
        <v>4378</v>
      </c>
      <c r="B637" s="101" t="s">
        <v>11</v>
      </c>
      <c r="C637" s="105" t="s">
        <v>52</v>
      </c>
      <c r="D637" s="105" t="s">
        <v>1323</v>
      </c>
      <c r="E637" s="105" t="s">
        <v>44</v>
      </c>
      <c r="F637" s="101" t="str">
        <f t="shared" si="21"/>
        <v>-</v>
      </c>
      <c r="G637" s="106" t="s">
        <v>53</v>
      </c>
      <c r="H637" s="105"/>
      <c r="I637" s="106" t="s">
        <v>1324</v>
      </c>
      <c r="J637" s="107" t="s">
        <v>54</v>
      </c>
      <c r="K637" s="108"/>
      <c r="L637" s="106"/>
      <c r="M637" s="110"/>
      <c r="N637" s="105" t="s">
        <v>78</v>
      </c>
      <c r="O637" s="105" t="str">
        <f t="shared" si="22"/>
        <v/>
      </c>
      <c r="P637" s="105"/>
      <c r="Q637" s="105" t="s">
        <v>77</v>
      </c>
      <c r="R637" s="105" t="s">
        <v>77</v>
      </c>
      <c r="S637" s="105"/>
      <c r="T637" s="105"/>
      <c r="U637" s="105"/>
      <c r="V637" s="105"/>
      <c r="W637" s="105" t="s">
        <v>80</v>
      </c>
      <c r="X637" s="105"/>
      <c r="Y637" s="105"/>
    </row>
    <row r="638" spans="1:25" s="99" customFormat="1" ht="26.25" customHeight="1">
      <c r="A638" s="100">
        <v>4379</v>
      </c>
      <c r="B638" s="101" t="s">
        <v>11</v>
      </c>
      <c r="C638" s="105" t="s">
        <v>52</v>
      </c>
      <c r="D638" s="105" t="s">
        <v>1325</v>
      </c>
      <c r="E638" s="105" t="s">
        <v>44</v>
      </c>
      <c r="F638" s="101" t="str">
        <f t="shared" si="21"/>
        <v>-</v>
      </c>
      <c r="G638" s="106" t="s">
        <v>53</v>
      </c>
      <c r="H638" s="105"/>
      <c r="I638" s="106" t="s">
        <v>1326</v>
      </c>
      <c r="J638" s="107" t="s">
        <v>54</v>
      </c>
      <c r="K638" s="108"/>
      <c r="L638" s="106"/>
      <c r="M638" s="110"/>
      <c r="N638" s="105" t="s">
        <v>78</v>
      </c>
      <c r="O638" s="105" t="str">
        <f t="shared" si="22"/>
        <v/>
      </c>
      <c r="P638" s="105"/>
      <c r="Q638" s="105" t="s">
        <v>77</v>
      </c>
      <c r="R638" s="105" t="s">
        <v>77</v>
      </c>
      <c r="S638" s="105"/>
      <c r="T638" s="105"/>
      <c r="U638" s="105"/>
      <c r="V638" s="105"/>
      <c r="W638" s="105" t="s">
        <v>80</v>
      </c>
      <c r="X638" s="105"/>
      <c r="Y638" s="105"/>
    </row>
    <row r="639" spans="1:25" s="99" customFormat="1" ht="26.25" customHeight="1">
      <c r="A639" s="100">
        <v>4380</v>
      </c>
      <c r="B639" s="101" t="s">
        <v>11</v>
      </c>
      <c r="C639" s="105" t="s">
        <v>52</v>
      </c>
      <c r="D639" s="105" t="s">
        <v>1327</v>
      </c>
      <c r="E639" s="105" t="s">
        <v>44</v>
      </c>
      <c r="F639" s="101" t="str">
        <f t="shared" si="21"/>
        <v>-</v>
      </c>
      <c r="G639" s="106" t="s">
        <v>53</v>
      </c>
      <c r="H639" s="105"/>
      <c r="I639" s="106" t="s">
        <v>1328</v>
      </c>
      <c r="J639" s="107" t="s">
        <v>54</v>
      </c>
      <c r="K639" s="108"/>
      <c r="L639" s="106"/>
      <c r="M639" s="110"/>
      <c r="N639" s="105" t="s">
        <v>78</v>
      </c>
      <c r="O639" s="105" t="str">
        <f t="shared" si="22"/>
        <v/>
      </c>
      <c r="P639" s="105"/>
      <c r="Q639" s="105" t="s">
        <v>77</v>
      </c>
      <c r="R639" s="105" t="s">
        <v>77</v>
      </c>
      <c r="S639" s="105"/>
      <c r="T639" s="105"/>
      <c r="U639" s="105"/>
      <c r="V639" s="105"/>
      <c r="W639" s="105" t="s">
        <v>80</v>
      </c>
      <c r="X639" s="105"/>
      <c r="Y639" s="105"/>
    </row>
    <row r="640" spans="1:25" s="99" customFormat="1" ht="26.25" customHeight="1">
      <c r="A640" s="100">
        <v>4381</v>
      </c>
      <c r="B640" s="101" t="s">
        <v>11</v>
      </c>
      <c r="C640" s="105" t="s">
        <v>52</v>
      </c>
      <c r="D640" s="105" t="s">
        <v>1329</v>
      </c>
      <c r="E640" s="105" t="s">
        <v>44</v>
      </c>
      <c r="F640" s="101" t="str">
        <f t="shared" si="21"/>
        <v>-</v>
      </c>
      <c r="G640" s="106" t="s">
        <v>53</v>
      </c>
      <c r="H640" s="105"/>
      <c r="I640" s="106" t="s">
        <v>1330</v>
      </c>
      <c r="J640" s="107" t="s">
        <v>54</v>
      </c>
      <c r="K640" s="108"/>
      <c r="L640" s="106"/>
      <c r="M640" s="110"/>
      <c r="N640" s="105" t="s">
        <v>78</v>
      </c>
      <c r="O640" s="105" t="str">
        <f t="shared" si="22"/>
        <v/>
      </c>
      <c r="P640" s="105"/>
      <c r="Q640" s="105" t="s">
        <v>77</v>
      </c>
      <c r="R640" s="105" t="s">
        <v>77</v>
      </c>
      <c r="S640" s="105"/>
      <c r="T640" s="105"/>
      <c r="U640" s="105"/>
      <c r="V640" s="105"/>
      <c r="W640" s="105" t="s">
        <v>80</v>
      </c>
      <c r="X640" s="105"/>
      <c r="Y640" s="105"/>
    </row>
    <row r="641" spans="1:25" s="99" customFormat="1" ht="26.25" customHeight="1">
      <c r="A641" s="100">
        <v>4382</v>
      </c>
      <c r="B641" s="101" t="s">
        <v>11</v>
      </c>
      <c r="C641" s="105" t="s">
        <v>52</v>
      </c>
      <c r="D641" s="105" t="s">
        <v>1331</v>
      </c>
      <c r="E641" s="105" t="s">
        <v>44</v>
      </c>
      <c r="F641" s="101" t="str">
        <f t="shared" si="21"/>
        <v>-</v>
      </c>
      <c r="G641" s="106" t="s">
        <v>53</v>
      </c>
      <c r="H641" s="105"/>
      <c r="I641" s="106" t="s">
        <v>1332</v>
      </c>
      <c r="J641" s="107" t="s">
        <v>54</v>
      </c>
      <c r="K641" s="108"/>
      <c r="L641" s="106"/>
      <c r="M641" s="110"/>
      <c r="N641" s="105" t="s">
        <v>78</v>
      </c>
      <c r="O641" s="105" t="str">
        <f t="shared" si="22"/>
        <v/>
      </c>
      <c r="P641" s="105"/>
      <c r="Q641" s="105" t="s">
        <v>77</v>
      </c>
      <c r="R641" s="105" t="s">
        <v>77</v>
      </c>
      <c r="S641" s="105"/>
      <c r="T641" s="105"/>
      <c r="U641" s="105"/>
      <c r="V641" s="105"/>
      <c r="W641" s="105" t="s">
        <v>80</v>
      </c>
      <c r="X641" s="105"/>
      <c r="Y641" s="105"/>
    </row>
    <row r="642" spans="1:25" s="99" customFormat="1" ht="26.25" customHeight="1">
      <c r="A642" s="100">
        <v>4383</v>
      </c>
      <c r="B642" s="101" t="s">
        <v>11</v>
      </c>
      <c r="C642" s="105" t="s">
        <v>52</v>
      </c>
      <c r="D642" s="105" t="s">
        <v>1333</v>
      </c>
      <c r="E642" s="105" t="s">
        <v>44</v>
      </c>
      <c r="F642" s="101" t="str">
        <f t="shared" si="21"/>
        <v>-</v>
      </c>
      <c r="G642" s="106" t="s">
        <v>53</v>
      </c>
      <c r="H642" s="105"/>
      <c r="I642" s="106" t="s">
        <v>1334</v>
      </c>
      <c r="J642" s="107" t="s">
        <v>54</v>
      </c>
      <c r="K642" s="108"/>
      <c r="L642" s="106"/>
      <c r="M642" s="110"/>
      <c r="N642" s="105" t="s">
        <v>78</v>
      </c>
      <c r="O642" s="105" t="str">
        <f t="shared" si="22"/>
        <v/>
      </c>
      <c r="P642" s="105"/>
      <c r="Q642" s="105" t="s">
        <v>77</v>
      </c>
      <c r="R642" s="105" t="s">
        <v>77</v>
      </c>
      <c r="S642" s="105"/>
      <c r="T642" s="105"/>
      <c r="U642" s="105"/>
      <c r="V642" s="105"/>
      <c r="W642" s="105" t="s">
        <v>80</v>
      </c>
      <c r="X642" s="105"/>
      <c r="Y642" s="105"/>
    </row>
    <row r="643" spans="1:25" s="99" customFormat="1" ht="26.25" customHeight="1">
      <c r="A643" s="100">
        <v>4384</v>
      </c>
      <c r="B643" s="101" t="s">
        <v>11</v>
      </c>
      <c r="C643" s="105" t="s">
        <v>52</v>
      </c>
      <c r="D643" s="105" t="s">
        <v>1335</v>
      </c>
      <c r="E643" s="105" t="s">
        <v>44</v>
      </c>
      <c r="F643" s="101" t="str">
        <f t="shared" si="21"/>
        <v>-</v>
      </c>
      <c r="G643" s="106" t="s">
        <v>53</v>
      </c>
      <c r="H643" s="105"/>
      <c r="I643" s="106" t="s">
        <v>1336</v>
      </c>
      <c r="J643" s="107" t="s">
        <v>54</v>
      </c>
      <c r="K643" s="108"/>
      <c r="L643" s="106"/>
      <c r="M643" s="110"/>
      <c r="N643" s="105" t="s">
        <v>78</v>
      </c>
      <c r="O643" s="105" t="str">
        <f t="shared" si="22"/>
        <v/>
      </c>
      <c r="P643" s="105"/>
      <c r="Q643" s="105" t="s">
        <v>77</v>
      </c>
      <c r="R643" s="105" t="s">
        <v>77</v>
      </c>
      <c r="S643" s="105"/>
      <c r="T643" s="105"/>
      <c r="U643" s="105"/>
      <c r="V643" s="105"/>
      <c r="W643" s="105" t="s">
        <v>80</v>
      </c>
      <c r="X643" s="105"/>
      <c r="Y643" s="105"/>
    </row>
    <row r="644" spans="1:25" s="99" customFormat="1" ht="26.25" customHeight="1">
      <c r="A644" s="100">
        <v>4385</v>
      </c>
      <c r="B644" s="101" t="s">
        <v>11</v>
      </c>
      <c r="C644" s="105" t="s">
        <v>52</v>
      </c>
      <c r="D644" s="105" t="s">
        <v>1337</v>
      </c>
      <c r="E644" s="105" t="s">
        <v>44</v>
      </c>
      <c r="F644" s="101" t="str">
        <f t="shared" si="21"/>
        <v>-</v>
      </c>
      <c r="G644" s="106" t="s">
        <v>53</v>
      </c>
      <c r="H644" s="105"/>
      <c r="I644" s="106" t="s">
        <v>1338</v>
      </c>
      <c r="J644" s="107" t="s">
        <v>54</v>
      </c>
      <c r="K644" s="108"/>
      <c r="L644" s="106"/>
      <c r="M644" s="110"/>
      <c r="N644" s="105" t="s">
        <v>78</v>
      </c>
      <c r="O644" s="105" t="str">
        <f t="shared" si="22"/>
        <v/>
      </c>
      <c r="P644" s="105"/>
      <c r="Q644" s="105" t="s">
        <v>77</v>
      </c>
      <c r="R644" s="105" t="s">
        <v>77</v>
      </c>
      <c r="S644" s="105"/>
      <c r="T644" s="105"/>
      <c r="U644" s="105"/>
      <c r="V644" s="105"/>
      <c r="W644" s="105" t="s">
        <v>80</v>
      </c>
      <c r="X644" s="105"/>
      <c r="Y644" s="105"/>
    </row>
    <row r="645" spans="1:25" s="99" customFormat="1" ht="26.25" customHeight="1">
      <c r="A645" s="100">
        <v>4386</v>
      </c>
      <c r="B645" s="101" t="s">
        <v>11</v>
      </c>
      <c r="C645" s="105" t="s">
        <v>52</v>
      </c>
      <c r="D645" s="105" t="s">
        <v>1339</v>
      </c>
      <c r="E645" s="105" t="s">
        <v>44</v>
      </c>
      <c r="F645" s="101" t="str">
        <f t="shared" si="21"/>
        <v>-</v>
      </c>
      <c r="G645" s="106" t="s">
        <v>53</v>
      </c>
      <c r="H645" s="105"/>
      <c r="I645" s="106" t="s">
        <v>1340</v>
      </c>
      <c r="J645" s="107" t="s">
        <v>54</v>
      </c>
      <c r="K645" s="108"/>
      <c r="L645" s="106"/>
      <c r="M645" s="110"/>
      <c r="N645" s="105" t="s">
        <v>78</v>
      </c>
      <c r="O645" s="105" t="str">
        <f t="shared" si="22"/>
        <v/>
      </c>
      <c r="P645" s="105"/>
      <c r="Q645" s="105" t="s">
        <v>77</v>
      </c>
      <c r="R645" s="105" t="s">
        <v>77</v>
      </c>
      <c r="S645" s="105"/>
      <c r="T645" s="105"/>
      <c r="U645" s="105"/>
      <c r="V645" s="105"/>
      <c r="W645" s="105" t="s">
        <v>80</v>
      </c>
      <c r="X645" s="105"/>
      <c r="Y645" s="105"/>
    </row>
    <row r="646" spans="1:25" s="99" customFormat="1" ht="26.25" customHeight="1">
      <c r="A646" s="100">
        <v>4387</v>
      </c>
      <c r="B646" s="101" t="s">
        <v>11</v>
      </c>
      <c r="C646" s="105" t="s">
        <v>52</v>
      </c>
      <c r="D646" s="105" t="s">
        <v>1341</v>
      </c>
      <c r="E646" s="105" t="s">
        <v>44</v>
      </c>
      <c r="F646" s="101" t="str">
        <f t="shared" si="21"/>
        <v>-</v>
      </c>
      <c r="G646" s="106" t="s">
        <v>53</v>
      </c>
      <c r="H646" s="105"/>
      <c r="I646" s="106" t="s">
        <v>1342</v>
      </c>
      <c r="J646" s="107" t="s">
        <v>54</v>
      </c>
      <c r="K646" s="108"/>
      <c r="L646" s="106"/>
      <c r="M646" s="110"/>
      <c r="N646" s="105" t="s">
        <v>78</v>
      </c>
      <c r="O646" s="105" t="str">
        <f t="shared" si="22"/>
        <v/>
      </c>
      <c r="P646" s="105"/>
      <c r="Q646" s="105" t="s">
        <v>77</v>
      </c>
      <c r="R646" s="105" t="s">
        <v>77</v>
      </c>
      <c r="S646" s="105"/>
      <c r="T646" s="105"/>
      <c r="U646" s="105"/>
      <c r="V646" s="105"/>
      <c r="W646" s="105" t="s">
        <v>80</v>
      </c>
      <c r="X646" s="105"/>
      <c r="Y646" s="105"/>
    </row>
    <row r="647" spans="1:25" s="99" customFormat="1" ht="26.25" customHeight="1">
      <c r="A647" s="100">
        <v>4388</v>
      </c>
      <c r="B647" s="101" t="s">
        <v>11</v>
      </c>
      <c r="C647" s="105" t="s">
        <v>52</v>
      </c>
      <c r="D647" s="105" t="s">
        <v>1343</v>
      </c>
      <c r="E647" s="105" t="s">
        <v>44</v>
      </c>
      <c r="F647" s="101" t="str">
        <f t="shared" si="21"/>
        <v>-</v>
      </c>
      <c r="G647" s="106" t="s">
        <v>53</v>
      </c>
      <c r="H647" s="105"/>
      <c r="I647" s="106" t="s">
        <v>1344</v>
      </c>
      <c r="J647" s="107" t="s">
        <v>54</v>
      </c>
      <c r="K647" s="108"/>
      <c r="L647" s="106"/>
      <c r="M647" s="110"/>
      <c r="N647" s="105" t="s">
        <v>78</v>
      </c>
      <c r="O647" s="105" t="str">
        <f t="shared" si="22"/>
        <v/>
      </c>
      <c r="P647" s="105"/>
      <c r="Q647" s="105" t="s">
        <v>77</v>
      </c>
      <c r="R647" s="105" t="s">
        <v>77</v>
      </c>
      <c r="S647" s="105"/>
      <c r="T647" s="105"/>
      <c r="U647" s="105"/>
      <c r="V647" s="105"/>
      <c r="W647" s="105" t="s">
        <v>80</v>
      </c>
      <c r="X647" s="105"/>
      <c r="Y647" s="105"/>
    </row>
    <row r="648" spans="1:25" s="99" customFormat="1" ht="26.25" customHeight="1">
      <c r="A648" s="100">
        <v>4389</v>
      </c>
      <c r="B648" s="101" t="s">
        <v>11</v>
      </c>
      <c r="C648" s="105" t="s">
        <v>52</v>
      </c>
      <c r="D648" s="105" t="s">
        <v>1345</v>
      </c>
      <c r="E648" s="105" t="s">
        <v>44</v>
      </c>
      <c r="F648" s="101" t="str">
        <f t="shared" si="21"/>
        <v>-</v>
      </c>
      <c r="G648" s="106" t="s">
        <v>53</v>
      </c>
      <c r="H648" s="105"/>
      <c r="I648" s="106" t="s">
        <v>1346</v>
      </c>
      <c r="J648" s="107" t="s">
        <v>54</v>
      </c>
      <c r="K648" s="108"/>
      <c r="L648" s="106"/>
      <c r="M648" s="110"/>
      <c r="N648" s="105" t="s">
        <v>78</v>
      </c>
      <c r="O648" s="105" t="str">
        <f t="shared" si="22"/>
        <v/>
      </c>
      <c r="P648" s="105"/>
      <c r="Q648" s="105" t="s">
        <v>77</v>
      </c>
      <c r="R648" s="105" t="s">
        <v>77</v>
      </c>
      <c r="S648" s="105"/>
      <c r="T648" s="105"/>
      <c r="U648" s="105"/>
      <c r="V648" s="105"/>
      <c r="W648" s="105" t="s">
        <v>80</v>
      </c>
      <c r="X648" s="105"/>
      <c r="Y648" s="105"/>
    </row>
    <row r="649" spans="1:25" s="99" customFormat="1" ht="26.25" customHeight="1">
      <c r="A649" s="100">
        <v>4390</v>
      </c>
      <c r="B649" s="101" t="s">
        <v>11</v>
      </c>
      <c r="C649" s="105" t="s">
        <v>52</v>
      </c>
      <c r="D649" s="105" t="s">
        <v>1347</v>
      </c>
      <c r="E649" s="105" t="s">
        <v>44</v>
      </c>
      <c r="F649" s="101" t="str">
        <f t="shared" si="21"/>
        <v>-</v>
      </c>
      <c r="G649" s="106" t="s">
        <v>53</v>
      </c>
      <c r="H649" s="105"/>
      <c r="I649" s="106" t="s">
        <v>1348</v>
      </c>
      <c r="J649" s="107" t="s">
        <v>54</v>
      </c>
      <c r="K649" s="108"/>
      <c r="L649" s="106"/>
      <c r="M649" s="110"/>
      <c r="N649" s="105" t="s">
        <v>78</v>
      </c>
      <c r="O649" s="105" t="str">
        <f t="shared" si="22"/>
        <v/>
      </c>
      <c r="P649" s="105"/>
      <c r="Q649" s="105" t="s">
        <v>77</v>
      </c>
      <c r="R649" s="105" t="s">
        <v>77</v>
      </c>
      <c r="S649" s="105"/>
      <c r="T649" s="105"/>
      <c r="U649" s="105"/>
      <c r="V649" s="105"/>
      <c r="W649" s="105" t="s">
        <v>80</v>
      </c>
      <c r="X649" s="105"/>
      <c r="Y649" s="105"/>
    </row>
    <row r="650" spans="1:25" s="99" customFormat="1" ht="26.25" customHeight="1">
      <c r="A650" s="100">
        <v>4391</v>
      </c>
      <c r="B650" s="101" t="s">
        <v>11</v>
      </c>
      <c r="C650" s="105" t="s">
        <v>52</v>
      </c>
      <c r="D650" s="105" t="s">
        <v>1349</v>
      </c>
      <c r="E650" s="105" t="s">
        <v>44</v>
      </c>
      <c r="F650" s="101" t="str">
        <f t="shared" si="21"/>
        <v>-</v>
      </c>
      <c r="G650" s="106" t="s">
        <v>53</v>
      </c>
      <c r="H650" s="105"/>
      <c r="I650" s="106" t="s">
        <v>1350</v>
      </c>
      <c r="J650" s="107" t="s">
        <v>54</v>
      </c>
      <c r="K650" s="108"/>
      <c r="L650" s="106"/>
      <c r="M650" s="110"/>
      <c r="N650" s="105" t="s">
        <v>78</v>
      </c>
      <c r="O650" s="105" t="str">
        <f t="shared" si="22"/>
        <v/>
      </c>
      <c r="P650" s="105"/>
      <c r="Q650" s="105" t="s">
        <v>77</v>
      </c>
      <c r="R650" s="105" t="s">
        <v>77</v>
      </c>
      <c r="S650" s="105"/>
      <c r="T650" s="105"/>
      <c r="U650" s="105"/>
      <c r="V650" s="105"/>
      <c r="W650" s="105" t="s">
        <v>80</v>
      </c>
      <c r="X650" s="105"/>
      <c r="Y650" s="105"/>
    </row>
    <row r="651" spans="1:25" s="99" customFormat="1" ht="26.25" customHeight="1">
      <c r="A651" s="100">
        <v>4392</v>
      </c>
      <c r="B651" s="101" t="s">
        <v>11</v>
      </c>
      <c r="C651" s="105" t="s">
        <v>52</v>
      </c>
      <c r="D651" s="105" t="s">
        <v>1351</v>
      </c>
      <c r="E651" s="105" t="s">
        <v>44</v>
      </c>
      <c r="F651" s="101" t="str">
        <f t="shared" si="21"/>
        <v>-</v>
      </c>
      <c r="G651" s="106" t="s">
        <v>53</v>
      </c>
      <c r="H651" s="105"/>
      <c r="I651" s="106" t="s">
        <v>1352</v>
      </c>
      <c r="J651" s="107" t="s">
        <v>54</v>
      </c>
      <c r="K651" s="108"/>
      <c r="L651" s="106"/>
      <c r="M651" s="110"/>
      <c r="N651" s="105" t="s">
        <v>78</v>
      </c>
      <c r="O651" s="105" t="str">
        <f t="shared" si="22"/>
        <v/>
      </c>
      <c r="P651" s="105"/>
      <c r="Q651" s="105" t="s">
        <v>77</v>
      </c>
      <c r="R651" s="105" t="s">
        <v>77</v>
      </c>
      <c r="S651" s="105"/>
      <c r="T651" s="105"/>
      <c r="U651" s="105"/>
      <c r="V651" s="105"/>
      <c r="W651" s="105" t="s">
        <v>80</v>
      </c>
      <c r="X651" s="105"/>
      <c r="Y651" s="105"/>
    </row>
    <row r="652" spans="1:25" s="99" customFormat="1" ht="26.25" customHeight="1">
      <c r="A652" s="100">
        <v>4393</v>
      </c>
      <c r="B652" s="101" t="s">
        <v>11</v>
      </c>
      <c r="C652" s="105" t="s">
        <v>52</v>
      </c>
      <c r="D652" s="105" t="s">
        <v>1353</v>
      </c>
      <c r="E652" s="105" t="s">
        <v>44</v>
      </c>
      <c r="F652" s="101" t="str">
        <f t="shared" si="21"/>
        <v>-</v>
      </c>
      <c r="G652" s="106" t="s">
        <v>53</v>
      </c>
      <c r="H652" s="105"/>
      <c r="I652" s="106" t="s">
        <v>1354</v>
      </c>
      <c r="J652" s="107" t="s">
        <v>54</v>
      </c>
      <c r="K652" s="108"/>
      <c r="L652" s="106"/>
      <c r="M652" s="110"/>
      <c r="N652" s="105" t="s">
        <v>78</v>
      </c>
      <c r="O652" s="105" t="str">
        <f t="shared" si="22"/>
        <v/>
      </c>
      <c r="P652" s="105"/>
      <c r="Q652" s="105" t="s">
        <v>77</v>
      </c>
      <c r="R652" s="105" t="s">
        <v>77</v>
      </c>
      <c r="S652" s="105"/>
      <c r="T652" s="105"/>
      <c r="U652" s="105"/>
      <c r="V652" s="105"/>
      <c r="W652" s="105" t="s">
        <v>80</v>
      </c>
      <c r="X652" s="105"/>
      <c r="Y652" s="105"/>
    </row>
    <row r="653" spans="1:25" s="99" customFormat="1" ht="26.25" customHeight="1">
      <c r="A653" s="100">
        <v>4394</v>
      </c>
      <c r="B653" s="101" t="s">
        <v>11</v>
      </c>
      <c r="C653" s="105" t="s">
        <v>52</v>
      </c>
      <c r="D653" s="105" t="s">
        <v>1355</v>
      </c>
      <c r="E653" s="105" t="s">
        <v>44</v>
      </c>
      <c r="F653" s="101" t="str">
        <f t="shared" si="21"/>
        <v>-</v>
      </c>
      <c r="G653" s="106" t="s">
        <v>53</v>
      </c>
      <c r="H653" s="105"/>
      <c r="I653" s="106" t="s">
        <v>1356</v>
      </c>
      <c r="J653" s="107" t="s">
        <v>54</v>
      </c>
      <c r="K653" s="108"/>
      <c r="L653" s="106"/>
      <c r="M653" s="110"/>
      <c r="N653" s="105" t="s">
        <v>78</v>
      </c>
      <c r="O653" s="105" t="str">
        <f t="shared" si="22"/>
        <v/>
      </c>
      <c r="P653" s="105"/>
      <c r="Q653" s="105" t="s">
        <v>77</v>
      </c>
      <c r="R653" s="105" t="s">
        <v>77</v>
      </c>
      <c r="S653" s="105"/>
      <c r="T653" s="105"/>
      <c r="U653" s="105"/>
      <c r="V653" s="105"/>
      <c r="W653" s="105" t="s">
        <v>80</v>
      </c>
      <c r="X653" s="105"/>
      <c r="Y653" s="105"/>
    </row>
    <row r="654" spans="1:25" s="99" customFormat="1" ht="26.25" customHeight="1">
      <c r="A654" s="100">
        <v>4395</v>
      </c>
      <c r="B654" s="101" t="s">
        <v>11</v>
      </c>
      <c r="C654" s="105" t="s">
        <v>52</v>
      </c>
      <c r="D654" s="105" t="s">
        <v>1357</v>
      </c>
      <c r="E654" s="105" t="s">
        <v>44</v>
      </c>
      <c r="F654" s="101" t="str">
        <f t="shared" si="21"/>
        <v>-</v>
      </c>
      <c r="G654" s="106" t="s">
        <v>53</v>
      </c>
      <c r="H654" s="105"/>
      <c r="I654" s="106" t="s">
        <v>1358</v>
      </c>
      <c r="J654" s="107" t="s">
        <v>54</v>
      </c>
      <c r="K654" s="108"/>
      <c r="L654" s="106"/>
      <c r="M654" s="110"/>
      <c r="N654" s="105" t="s">
        <v>78</v>
      </c>
      <c r="O654" s="105" t="str">
        <f t="shared" si="22"/>
        <v/>
      </c>
      <c r="P654" s="105"/>
      <c r="Q654" s="105" t="s">
        <v>77</v>
      </c>
      <c r="R654" s="105" t="s">
        <v>77</v>
      </c>
      <c r="S654" s="105"/>
      <c r="T654" s="105"/>
      <c r="U654" s="105"/>
      <c r="V654" s="105"/>
      <c r="W654" s="105" t="s">
        <v>80</v>
      </c>
      <c r="X654" s="105"/>
      <c r="Y654" s="105"/>
    </row>
    <row r="655" spans="1:25" s="99" customFormat="1" ht="26.25" customHeight="1">
      <c r="A655" s="100">
        <v>4396</v>
      </c>
      <c r="B655" s="101" t="s">
        <v>11</v>
      </c>
      <c r="C655" s="105" t="s">
        <v>52</v>
      </c>
      <c r="D655" s="105" t="s">
        <v>1359</v>
      </c>
      <c r="E655" s="105" t="s">
        <v>44</v>
      </c>
      <c r="F655" s="101" t="str">
        <f t="shared" si="21"/>
        <v>-</v>
      </c>
      <c r="G655" s="106" t="s">
        <v>53</v>
      </c>
      <c r="H655" s="105"/>
      <c r="I655" s="106" t="s">
        <v>1360</v>
      </c>
      <c r="J655" s="107" t="s">
        <v>54</v>
      </c>
      <c r="K655" s="108"/>
      <c r="L655" s="106"/>
      <c r="M655" s="110"/>
      <c r="N655" s="105" t="s">
        <v>78</v>
      </c>
      <c r="O655" s="105" t="str">
        <f t="shared" si="22"/>
        <v/>
      </c>
      <c r="P655" s="105"/>
      <c r="Q655" s="105" t="s">
        <v>77</v>
      </c>
      <c r="R655" s="105" t="s">
        <v>77</v>
      </c>
      <c r="S655" s="105"/>
      <c r="T655" s="105"/>
      <c r="U655" s="105"/>
      <c r="V655" s="105"/>
      <c r="W655" s="105" t="s">
        <v>80</v>
      </c>
      <c r="X655" s="105"/>
      <c r="Y655" s="105"/>
    </row>
    <row r="656" spans="1:25" s="99" customFormat="1" ht="26.25" customHeight="1">
      <c r="A656" s="100">
        <v>4397</v>
      </c>
      <c r="B656" s="101" t="s">
        <v>11</v>
      </c>
      <c r="C656" s="105" t="s">
        <v>52</v>
      </c>
      <c r="D656" s="105" t="s">
        <v>1361</v>
      </c>
      <c r="E656" s="105" t="s">
        <v>44</v>
      </c>
      <c r="F656" s="101" t="str">
        <f t="shared" si="21"/>
        <v>-</v>
      </c>
      <c r="G656" s="106" t="s">
        <v>53</v>
      </c>
      <c r="H656" s="105"/>
      <c r="I656" s="106" t="s">
        <v>1362</v>
      </c>
      <c r="J656" s="107" t="s">
        <v>54</v>
      </c>
      <c r="K656" s="108"/>
      <c r="L656" s="106"/>
      <c r="M656" s="110"/>
      <c r="N656" s="105" t="s">
        <v>78</v>
      </c>
      <c r="O656" s="105" t="str">
        <f t="shared" si="22"/>
        <v/>
      </c>
      <c r="P656" s="105"/>
      <c r="Q656" s="105" t="s">
        <v>77</v>
      </c>
      <c r="R656" s="105" t="s">
        <v>77</v>
      </c>
      <c r="S656" s="105"/>
      <c r="T656" s="105"/>
      <c r="U656" s="105"/>
      <c r="V656" s="105"/>
      <c r="W656" s="105" t="s">
        <v>80</v>
      </c>
      <c r="X656" s="105"/>
      <c r="Y656" s="105"/>
    </row>
    <row r="657" spans="1:25" s="99" customFormat="1" ht="26.25" customHeight="1">
      <c r="A657" s="100">
        <v>4398</v>
      </c>
      <c r="B657" s="101" t="s">
        <v>11</v>
      </c>
      <c r="C657" s="105" t="s">
        <v>52</v>
      </c>
      <c r="D657" s="105" t="s">
        <v>1363</v>
      </c>
      <c r="E657" s="105" t="s">
        <v>44</v>
      </c>
      <c r="F657" s="101" t="str">
        <f t="shared" si="21"/>
        <v>-</v>
      </c>
      <c r="G657" s="106" t="s">
        <v>53</v>
      </c>
      <c r="H657" s="105"/>
      <c r="I657" s="106" t="s">
        <v>1364</v>
      </c>
      <c r="J657" s="107" t="s">
        <v>54</v>
      </c>
      <c r="K657" s="108"/>
      <c r="L657" s="106"/>
      <c r="M657" s="110"/>
      <c r="N657" s="105" t="s">
        <v>78</v>
      </c>
      <c r="O657" s="105" t="str">
        <f t="shared" si="22"/>
        <v/>
      </c>
      <c r="P657" s="105"/>
      <c r="Q657" s="105" t="s">
        <v>77</v>
      </c>
      <c r="R657" s="105" t="s">
        <v>77</v>
      </c>
      <c r="S657" s="105"/>
      <c r="T657" s="105"/>
      <c r="U657" s="105"/>
      <c r="V657" s="105"/>
      <c r="W657" s="105" t="s">
        <v>80</v>
      </c>
      <c r="X657" s="105"/>
      <c r="Y657" s="105"/>
    </row>
    <row r="658" spans="1:25" s="99" customFormat="1" ht="26.25" customHeight="1">
      <c r="A658" s="100">
        <v>4399</v>
      </c>
      <c r="B658" s="101" t="s">
        <v>11</v>
      </c>
      <c r="C658" s="105" t="s">
        <v>52</v>
      </c>
      <c r="D658" s="105" t="s">
        <v>1365</v>
      </c>
      <c r="E658" s="105" t="s">
        <v>44</v>
      </c>
      <c r="F658" s="101" t="str">
        <f t="shared" si="21"/>
        <v>-</v>
      </c>
      <c r="G658" s="106" t="s">
        <v>53</v>
      </c>
      <c r="H658" s="105"/>
      <c r="I658" s="106" t="s">
        <v>1366</v>
      </c>
      <c r="J658" s="107" t="s">
        <v>54</v>
      </c>
      <c r="K658" s="108"/>
      <c r="L658" s="106"/>
      <c r="M658" s="110"/>
      <c r="N658" s="105" t="s">
        <v>78</v>
      </c>
      <c r="O658" s="105" t="str">
        <f t="shared" si="22"/>
        <v/>
      </c>
      <c r="P658" s="105"/>
      <c r="Q658" s="105" t="s">
        <v>77</v>
      </c>
      <c r="R658" s="105" t="s">
        <v>77</v>
      </c>
      <c r="S658" s="105"/>
      <c r="T658" s="105"/>
      <c r="U658" s="105"/>
      <c r="V658" s="105"/>
      <c r="W658" s="105" t="s">
        <v>80</v>
      </c>
      <c r="X658" s="105"/>
      <c r="Y658" s="105"/>
    </row>
    <row r="659" spans="1:25" s="99" customFormat="1" ht="26.25" customHeight="1">
      <c r="A659" s="100">
        <v>4400</v>
      </c>
      <c r="B659" s="101" t="s">
        <v>11</v>
      </c>
      <c r="C659" s="105" t="s">
        <v>52</v>
      </c>
      <c r="D659" s="105" t="s">
        <v>1367</v>
      </c>
      <c r="E659" s="105" t="s">
        <v>44</v>
      </c>
      <c r="F659" s="101" t="str">
        <f t="shared" si="21"/>
        <v>-</v>
      </c>
      <c r="G659" s="106" t="s">
        <v>53</v>
      </c>
      <c r="H659" s="105"/>
      <c r="I659" s="106" t="s">
        <v>1368</v>
      </c>
      <c r="J659" s="107" t="s">
        <v>54</v>
      </c>
      <c r="K659" s="108"/>
      <c r="L659" s="106"/>
      <c r="M659" s="110"/>
      <c r="N659" s="105" t="s">
        <v>78</v>
      </c>
      <c r="O659" s="105" t="str">
        <f t="shared" si="22"/>
        <v/>
      </c>
      <c r="P659" s="105"/>
      <c r="Q659" s="105" t="s">
        <v>77</v>
      </c>
      <c r="R659" s="105" t="s">
        <v>77</v>
      </c>
      <c r="S659" s="105"/>
      <c r="T659" s="105"/>
      <c r="U659" s="105"/>
      <c r="V659" s="105"/>
      <c r="W659" s="105" t="s">
        <v>80</v>
      </c>
      <c r="X659" s="105"/>
      <c r="Y659" s="105"/>
    </row>
    <row r="660" spans="1:25" s="99" customFormat="1" ht="26.25" customHeight="1">
      <c r="A660" s="100">
        <v>4401</v>
      </c>
      <c r="B660" s="101" t="s">
        <v>11</v>
      </c>
      <c r="C660" s="105" t="s">
        <v>52</v>
      </c>
      <c r="D660" s="105" t="s">
        <v>1369</v>
      </c>
      <c r="E660" s="105" t="s">
        <v>44</v>
      </c>
      <c r="F660" s="101" t="str">
        <f t="shared" si="21"/>
        <v>-</v>
      </c>
      <c r="G660" s="106" t="s">
        <v>53</v>
      </c>
      <c r="H660" s="105"/>
      <c r="I660" s="106" t="s">
        <v>1370</v>
      </c>
      <c r="J660" s="107" t="s">
        <v>54</v>
      </c>
      <c r="K660" s="108"/>
      <c r="L660" s="106"/>
      <c r="M660" s="110"/>
      <c r="N660" s="105" t="s">
        <v>78</v>
      </c>
      <c r="O660" s="105" t="str">
        <f t="shared" si="22"/>
        <v/>
      </c>
      <c r="P660" s="105"/>
      <c r="Q660" s="105" t="s">
        <v>77</v>
      </c>
      <c r="R660" s="105" t="s">
        <v>77</v>
      </c>
      <c r="S660" s="105"/>
      <c r="T660" s="105"/>
      <c r="U660" s="105"/>
      <c r="V660" s="105"/>
      <c r="W660" s="105" t="s">
        <v>80</v>
      </c>
      <c r="X660" s="105"/>
      <c r="Y660" s="105"/>
    </row>
    <row r="661" spans="1:25" s="99" customFormat="1" ht="26.25" customHeight="1">
      <c r="A661" s="100">
        <v>4402</v>
      </c>
      <c r="B661" s="101" t="s">
        <v>11</v>
      </c>
      <c r="C661" s="105" t="s">
        <v>52</v>
      </c>
      <c r="D661" s="105" t="s">
        <v>1371</v>
      </c>
      <c r="E661" s="105" t="s">
        <v>44</v>
      </c>
      <c r="F661" s="101" t="str">
        <f t="shared" si="21"/>
        <v>-</v>
      </c>
      <c r="G661" s="106" t="s">
        <v>53</v>
      </c>
      <c r="H661" s="105"/>
      <c r="I661" s="106" t="s">
        <v>1372</v>
      </c>
      <c r="J661" s="107" t="s">
        <v>54</v>
      </c>
      <c r="K661" s="108"/>
      <c r="L661" s="106"/>
      <c r="M661" s="110"/>
      <c r="N661" s="105" t="s">
        <v>78</v>
      </c>
      <c r="O661" s="105" t="str">
        <f t="shared" si="22"/>
        <v/>
      </c>
      <c r="P661" s="105"/>
      <c r="Q661" s="105" t="s">
        <v>77</v>
      </c>
      <c r="R661" s="105" t="s">
        <v>77</v>
      </c>
      <c r="S661" s="105"/>
      <c r="T661" s="105"/>
      <c r="U661" s="105"/>
      <c r="V661" s="105"/>
      <c r="W661" s="105" t="s">
        <v>80</v>
      </c>
      <c r="X661" s="105"/>
      <c r="Y661" s="105"/>
    </row>
    <row r="662" spans="1:25" s="99" customFormat="1" ht="26.25" customHeight="1">
      <c r="A662" s="100">
        <v>4403</v>
      </c>
      <c r="B662" s="101" t="s">
        <v>11</v>
      </c>
      <c r="C662" s="105" t="s">
        <v>52</v>
      </c>
      <c r="D662" s="105" t="s">
        <v>1373</v>
      </c>
      <c r="E662" s="105" t="s">
        <v>44</v>
      </c>
      <c r="F662" s="101" t="str">
        <f t="shared" ref="F662:F725" si="23">IF(B662&lt;&gt;"","-","")</f>
        <v>-</v>
      </c>
      <c r="G662" s="106" t="s">
        <v>53</v>
      </c>
      <c r="H662" s="105"/>
      <c r="I662" s="106" t="s">
        <v>1374</v>
      </c>
      <c r="J662" s="107" t="s">
        <v>54</v>
      </c>
      <c r="K662" s="108"/>
      <c r="L662" s="106"/>
      <c r="M662" s="110"/>
      <c r="N662" s="105" t="s">
        <v>78</v>
      </c>
      <c r="O662" s="105" t="str">
        <f t="shared" ref="O662:O725" si="24">IF(OR(R662&lt;&gt;"",Q662&lt;&gt;""),"X","")</f>
        <v/>
      </c>
      <c r="P662" s="105"/>
      <c r="Q662" s="105" t="s">
        <v>77</v>
      </c>
      <c r="R662" s="105" t="s">
        <v>77</v>
      </c>
      <c r="S662" s="105"/>
      <c r="T662" s="105"/>
      <c r="U662" s="105"/>
      <c r="V662" s="105"/>
      <c r="W662" s="105" t="s">
        <v>80</v>
      </c>
      <c r="X662" s="105"/>
      <c r="Y662" s="105"/>
    </row>
    <row r="663" spans="1:25" s="99" customFormat="1" ht="26.25" customHeight="1">
      <c r="A663" s="100">
        <v>4404</v>
      </c>
      <c r="B663" s="101" t="s">
        <v>11</v>
      </c>
      <c r="C663" s="105" t="s">
        <v>52</v>
      </c>
      <c r="D663" s="105" t="s">
        <v>1375</v>
      </c>
      <c r="E663" s="105" t="s">
        <v>44</v>
      </c>
      <c r="F663" s="101" t="str">
        <f t="shared" si="23"/>
        <v>-</v>
      </c>
      <c r="G663" s="106" t="s">
        <v>53</v>
      </c>
      <c r="H663" s="105"/>
      <c r="I663" s="106" t="s">
        <v>1376</v>
      </c>
      <c r="J663" s="107" t="s">
        <v>54</v>
      </c>
      <c r="K663" s="108"/>
      <c r="L663" s="106"/>
      <c r="M663" s="110"/>
      <c r="N663" s="105" t="s">
        <v>78</v>
      </c>
      <c r="O663" s="105" t="str">
        <f t="shared" si="24"/>
        <v/>
      </c>
      <c r="P663" s="105"/>
      <c r="Q663" s="105" t="s">
        <v>77</v>
      </c>
      <c r="R663" s="105" t="s">
        <v>77</v>
      </c>
      <c r="S663" s="105"/>
      <c r="T663" s="105"/>
      <c r="U663" s="105"/>
      <c r="V663" s="105"/>
      <c r="W663" s="105" t="s">
        <v>80</v>
      </c>
      <c r="X663" s="105"/>
      <c r="Y663" s="105"/>
    </row>
    <row r="664" spans="1:25" s="99" customFormat="1" ht="26.25" customHeight="1">
      <c r="A664" s="100">
        <v>4405</v>
      </c>
      <c r="B664" s="101" t="s">
        <v>11</v>
      </c>
      <c r="C664" s="105" t="s">
        <v>52</v>
      </c>
      <c r="D664" s="105" t="s">
        <v>1377</v>
      </c>
      <c r="E664" s="105" t="s">
        <v>44</v>
      </c>
      <c r="F664" s="101" t="str">
        <f t="shared" si="23"/>
        <v>-</v>
      </c>
      <c r="G664" s="106" t="s">
        <v>53</v>
      </c>
      <c r="H664" s="105"/>
      <c r="I664" s="106" t="s">
        <v>1378</v>
      </c>
      <c r="J664" s="107" t="s">
        <v>54</v>
      </c>
      <c r="K664" s="108"/>
      <c r="L664" s="106"/>
      <c r="M664" s="110"/>
      <c r="N664" s="105" t="s">
        <v>78</v>
      </c>
      <c r="O664" s="105" t="str">
        <f t="shared" si="24"/>
        <v/>
      </c>
      <c r="P664" s="105"/>
      <c r="Q664" s="105" t="s">
        <v>77</v>
      </c>
      <c r="R664" s="105" t="s">
        <v>77</v>
      </c>
      <c r="S664" s="105"/>
      <c r="T664" s="105"/>
      <c r="U664" s="105"/>
      <c r="V664" s="105"/>
      <c r="W664" s="105" t="s">
        <v>80</v>
      </c>
      <c r="X664" s="105"/>
      <c r="Y664" s="105"/>
    </row>
    <row r="665" spans="1:25" s="99" customFormat="1" ht="26.25" customHeight="1">
      <c r="A665" s="100">
        <v>4406</v>
      </c>
      <c r="B665" s="101" t="s">
        <v>11</v>
      </c>
      <c r="C665" s="105" t="s">
        <v>52</v>
      </c>
      <c r="D665" s="105" t="s">
        <v>1379</v>
      </c>
      <c r="E665" s="105" t="s">
        <v>44</v>
      </c>
      <c r="F665" s="101" t="str">
        <f t="shared" si="23"/>
        <v>-</v>
      </c>
      <c r="G665" s="106" t="s">
        <v>53</v>
      </c>
      <c r="H665" s="105"/>
      <c r="I665" s="106" t="s">
        <v>1380</v>
      </c>
      <c r="J665" s="107" t="s">
        <v>54</v>
      </c>
      <c r="K665" s="108"/>
      <c r="L665" s="106"/>
      <c r="M665" s="110"/>
      <c r="N665" s="105" t="s">
        <v>78</v>
      </c>
      <c r="O665" s="105" t="str">
        <f t="shared" si="24"/>
        <v/>
      </c>
      <c r="P665" s="105"/>
      <c r="Q665" s="105" t="s">
        <v>77</v>
      </c>
      <c r="R665" s="105" t="s">
        <v>77</v>
      </c>
      <c r="S665" s="105"/>
      <c r="T665" s="105"/>
      <c r="U665" s="105"/>
      <c r="V665" s="105"/>
      <c r="W665" s="105" t="s">
        <v>80</v>
      </c>
      <c r="X665" s="105"/>
      <c r="Y665" s="105"/>
    </row>
    <row r="666" spans="1:25" s="99" customFormat="1" ht="26.25" customHeight="1">
      <c r="A666" s="100">
        <v>4407</v>
      </c>
      <c r="B666" s="101" t="s">
        <v>11</v>
      </c>
      <c r="C666" s="105" t="s">
        <v>52</v>
      </c>
      <c r="D666" s="105" t="s">
        <v>1381</v>
      </c>
      <c r="E666" s="105" t="s">
        <v>44</v>
      </c>
      <c r="F666" s="101" t="str">
        <f t="shared" si="23"/>
        <v>-</v>
      </c>
      <c r="G666" s="106" t="s">
        <v>53</v>
      </c>
      <c r="H666" s="105"/>
      <c r="I666" s="106" t="s">
        <v>1382</v>
      </c>
      <c r="J666" s="107" t="s">
        <v>54</v>
      </c>
      <c r="K666" s="108"/>
      <c r="L666" s="106"/>
      <c r="M666" s="110"/>
      <c r="N666" s="105" t="s">
        <v>78</v>
      </c>
      <c r="O666" s="105" t="str">
        <f t="shared" si="24"/>
        <v/>
      </c>
      <c r="P666" s="105"/>
      <c r="Q666" s="105" t="s">
        <v>77</v>
      </c>
      <c r="R666" s="105" t="s">
        <v>77</v>
      </c>
      <c r="S666" s="105"/>
      <c r="T666" s="105"/>
      <c r="U666" s="105"/>
      <c r="V666" s="105"/>
      <c r="W666" s="105" t="s">
        <v>80</v>
      </c>
      <c r="X666" s="105"/>
      <c r="Y666" s="105"/>
    </row>
    <row r="667" spans="1:25" s="99" customFormat="1" ht="26.25" customHeight="1">
      <c r="A667" s="100">
        <v>4408</v>
      </c>
      <c r="B667" s="101" t="s">
        <v>11</v>
      </c>
      <c r="C667" s="105" t="s">
        <v>52</v>
      </c>
      <c r="D667" s="105" t="s">
        <v>1383</v>
      </c>
      <c r="E667" s="105" t="s">
        <v>44</v>
      </c>
      <c r="F667" s="101" t="str">
        <f t="shared" si="23"/>
        <v>-</v>
      </c>
      <c r="G667" s="106" t="s">
        <v>53</v>
      </c>
      <c r="H667" s="105"/>
      <c r="I667" s="106" t="s">
        <v>1384</v>
      </c>
      <c r="J667" s="107" t="s">
        <v>54</v>
      </c>
      <c r="K667" s="108"/>
      <c r="L667" s="106"/>
      <c r="M667" s="110"/>
      <c r="N667" s="105" t="s">
        <v>78</v>
      </c>
      <c r="O667" s="105" t="str">
        <f t="shared" si="24"/>
        <v/>
      </c>
      <c r="P667" s="105"/>
      <c r="Q667" s="105" t="s">
        <v>77</v>
      </c>
      <c r="R667" s="105" t="s">
        <v>77</v>
      </c>
      <c r="S667" s="105"/>
      <c r="T667" s="105"/>
      <c r="U667" s="105"/>
      <c r="V667" s="105"/>
      <c r="W667" s="105" t="s">
        <v>80</v>
      </c>
      <c r="X667" s="105"/>
      <c r="Y667" s="105"/>
    </row>
    <row r="668" spans="1:25" s="99" customFormat="1" ht="26.25" customHeight="1">
      <c r="A668" s="100">
        <v>4409</v>
      </c>
      <c r="B668" s="101" t="s">
        <v>11</v>
      </c>
      <c r="C668" s="105" t="s">
        <v>52</v>
      </c>
      <c r="D668" s="105" t="s">
        <v>1385</v>
      </c>
      <c r="E668" s="105" t="s">
        <v>44</v>
      </c>
      <c r="F668" s="101" t="str">
        <f t="shared" si="23"/>
        <v>-</v>
      </c>
      <c r="G668" s="106" t="s">
        <v>53</v>
      </c>
      <c r="H668" s="105"/>
      <c r="I668" s="106" t="s">
        <v>1386</v>
      </c>
      <c r="J668" s="107" t="s">
        <v>54</v>
      </c>
      <c r="K668" s="108"/>
      <c r="L668" s="106"/>
      <c r="M668" s="110"/>
      <c r="N668" s="105" t="s">
        <v>78</v>
      </c>
      <c r="O668" s="105" t="str">
        <f t="shared" si="24"/>
        <v/>
      </c>
      <c r="P668" s="105"/>
      <c r="Q668" s="105" t="s">
        <v>77</v>
      </c>
      <c r="R668" s="105" t="s">
        <v>77</v>
      </c>
      <c r="S668" s="105"/>
      <c r="T668" s="105"/>
      <c r="U668" s="105"/>
      <c r="V668" s="105"/>
      <c r="W668" s="105" t="s">
        <v>80</v>
      </c>
      <c r="X668" s="105"/>
      <c r="Y668" s="105"/>
    </row>
    <row r="669" spans="1:25" s="99" customFormat="1" ht="26.25" customHeight="1">
      <c r="A669" s="100">
        <v>4410</v>
      </c>
      <c r="B669" s="101" t="s">
        <v>11</v>
      </c>
      <c r="C669" s="105" t="s">
        <v>52</v>
      </c>
      <c r="D669" s="105" t="s">
        <v>1387</v>
      </c>
      <c r="E669" s="105" t="s">
        <v>44</v>
      </c>
      <c r="F669" s="101" t="str">
        <f t="shared" si="23"/>
        <v>-</v>
      </c>
      <c r="G669" s="106" t="s">
        <v>53</v>
      </c>
      <c r="H669" s="105"/>
      <c r="I669" s="106" t="s">
        <v>1388</v>
      </c>
      <c r="J669" s="107" t="s">
        <v>54</v>
      </c>
      <c r="K669" s="108"/>
      <c r="L669" s="106"/>
      <c r="M669" s="110"/>
      <c r="N669" s="105" t="s">
        <v>78</v>
      </c>
      <c r="O669" s="105" t="str">
        <f t="shared" si="24"/>
        <v/>
      </c>
      <c r="P669" s="105"/>
      <c r="Q669" s="105" t="s">
        <v>77</v>
      </c>
      <c r="R669" s="105" t="s">
        <v>77</v>
      </c>
      <c r="S669" s="105"/>
      <c r="T669" s="105"/>
      <c r="U669" s="105"/>
      <c r="V669" s="105"/>
      <c r="W669" s="105" t="s">
        <v>80</v>
      </c>
      <c r="X669" s="105"/>
      <c r="Y669" s="105"/>
    </row>
    <row r="670" spans="1:25" s="99" customFormat="1" ht="26.25" customHeight="1">
      <c r="A670" s="100">
        <v>4411</v>
      </c>
      <c r="B670" s="101" t="s">
        <v>11</v>
      </c>
      <c r="C670" s="105" t="s">
        <v>52</v>
      </c>
      <c r="D670" s="105" t="s">
        <v>1389</v>
      </c>
      <c r="E670" s="105" t="s">
        <v>44</v>
      </c>
      <c r="F670" s="101" t="str">
        <f t="shared" si="23"/>
        <v>-</v>
      </c>
      <c r="G670" s="106" t="s">
        <v>53</v>
      </c>
      <c r="H670" s="105"/>
      <c r="I670" s="106" t="s">
        <v>1390</v>
      </c>
      <c r="J670" s="107" t="s">
        <v>54</v>
      </c>
      <c r="K670" s="108"/>
      <c r="L670" s="106"/>
      <c r="M670" s="110"/>
      <c r="N670" s="105" t="s">
        <v>78</v>
      </c>
      <c r="O670" s="105" t="str">
        <f t="shared" si="24"/>
        <v/>
      </c>
      <c r="P670" s="105"/>
      <c r="Q670" s="105" t="s">
        <v>77</v>
      </c>
      <c r="R670" s="105" t="s">
        <v>77</v>
      </c>
      <c r="S670" s="105"/>
      <c r="T670" s="105"/>
      <c r="U670" s="105"/>
      <c r="V670" s="105"/>
      <c r="W670" s="105" t="s">
        <v>80</v>
      </c>
      <c r="X670" s="105"/>
      <c r="Y670" s="105"/>
    </row>
    <row r="671" spans="1:25" s="99" customFormat="1" ht="26.25" customHeight="1">
      <c r="A671" s="100">
        <v>4412</v>
      </c>
      <c r="B671" s="101" t="s">
        <v>11</v>
      </c>
      <c r="C671" s="105" t="s">
        <v>52</v>
      </c>
      <c r="D671" s="105" t="s">
        <v>1391</v>
      </c>
      <c r="E671" s="105" t="s">
        <v>44</v>
      </c>
      <c r="F671" s="101" t="str">
        <f t="shared" si="23"/>
        <v>-</v>
      </c>
      <c r="G671" s="106" t="s">
        <v>53</v>
      </c>
      <c r="H671" s="105"/>
      <c r="I671" s="106" t="s">
        <v>1392</v>
      </c>
      <c r="J671" s="107" t="s">
        <v>54</v>
      </c>
      <c r="K671" s="108"/>
      <c r="L671" s="106"/>
      <c r="M671" s="110"/>
      <c r="N671" s="105" t="s">
        <v>78</v>
      </c>
      <c r="O671" s="105" t="str">
        <f t="shared" si="24"/>
        <v/>
      </c>
      <c r="P671" s="105"/>
      <c r="Q671" s="105" t="s">
        <v>77</v>
      </c>
      <c r="R671" s="105" t="s">
        <v>77</v>
      </c>
      <c r="S671" s="105"/>
      <c r="T671" s="105"/>
      <c r="U671" s="105"/>
      <c r="V671" s="105"/>
      <c r="W671" s="105" t="s">
        <v>80</v>
      </c>
      <c r="X671" s="105"/>
      <c r="Y671" s="105"/>
    </row>
    <row r="672" spans="1:25" s="99" customFormat="1" ht="26.25" customHeight="1">
      <c r="A672" s="100">
        <v>4413</v>
      </c>
      <c r="B672" s="101" t="s">
        <v>11</v>
      </c>
      <c r="C672" s="105" t="s">
        <v>52</v>
      </c>
      <c r="D672" s="105" t="s">
        <v>1393</v>
      </c>
      <c r="E672" s="105" t="s">
        <v>44</v>
      </c>
      <c r="F672" s="101" t="str">
        <f t="shared" si="23"/>
        <v>-</v>
      </c>
      <c r="G672" s="106" t="s">
        <v>53</v>
      </c>
      <c r="H672" s="105"/>
      <c r="I672" s="106" t="s">
        <v>1394</v>
      </c>
      <c r="J672" s="107" t="s">
        <v>54</v>
      </c>
      <c r="K672" s="108"/>
      <c r="L672" s="106"/>
      <c r="M672" s="110"/>
      <c r="N672" s="105" t="s">
        <v>78</v>
      </c>
      <c r="O672" s="105" t="str">
        <f t="shared" si="24"/>
        <v/>
      </c>
      <c r="P672" s="105"/>
      <c r="Q672" s="105" t="s">
        <v>77</v>
      </c>
      <c r="R672" s="105" t="s">
        <v>77</v>
      </c>
      <c r="S672" s="105"/>
      <c r="T672" s="105"/>
      <c r="U672" s="105"/>
      <c r="V672" s="105"/>
      <c r="W672" s="105" t="s">
        <v>80</v>
      </c>
      <c r="X672" s="105"/>
      <c r="Y672" s="105"/>
    </row>
    <row r="673" spans="1:25" s="99" customFormat="1" ht="26.25" customHeight="1">
      <c r="A673" s="100">
        <v>4414</v>
      </c>
      <c r="B673" s="101" t="s">
        <v>11</v>
      </c>
      <c r="C673" s="105" t="s">
        <v>52</v>
      </c>
      <c r="D673" s="105" t="s">
        <v>1395</v>
      </c>
      <c r="E673" s="105" t="s">
        <v>44</v>
      </c>
      <c r="F673" s="101" t="str">
        <f t="shared" si="23"/>
        <v>-</v>
      </c>
      <c r="G673" s="106" t="s">
        <v>53</v>
      </c>
      <c r="H673" s="105"/>
      <c r="I673" s="106" t="s">
        <v>1396</v>
      </c>
      <c r="J673" s="107" t="s">
        <v>54</v>
      </c>
      <c r="K673" s="108"/>
      <c r="L673" s="106"/>
      <c r="M673" s="110"/>
      <c r="N673" s="105" t="s">
        <v>78</v>
      </c>
      <c r="O673" s="105" t="str">
        <f t="shared" si="24"/>
        <v/>
      </c>
      <c r="P673" s="105"/>
      <c r="Q673" s="105" t="s">
        <v>77</v>
      </c>
      <c r="R673" s="105" t="s">
        <v>77</v>
      </c>
      <c r="S673" s="105"/>
      <c r="T673" s="105"/>
      <c r="U673" s="105"/>
      <c r="V673" s="105"/>
      <c r="W673" s="105" t="s">
        <v>80</v>
      </c>
      <c r="X673" s="105"/>
      <c r="Y673" s="105"/>
    </row>
    <row r="674" spans="1:25" s="99" customFormat="1" ht="26.25" customHeight="1">
      <c r="A674" s="100">
        <v>4415</v>
      </c>
      <c r="B674" s="101" t="s">
        <v>11</v>
      </c>
      <c r="C674" s="105" t="s">
        <v>52</v>
      </c>
      <c r="D674" s="105" t="s">
        <v>1397</v>
      </c>
      <c r="E674" s="105" t="s">
        <v>44</v>
      </c>
      <c r="F674" s="101" t="str">
        <f t="shared" si="23"/>
        <v>-</v>
      </c>
      <c r="G674" s="106" t="s">
        <v>53</v>
      </c>
      <c r="H674" s="105"/>
      <c r="I674" s="106" t="s">
        <v>1398</v>
      </c>
      <c r="J674" s="107" t="s">
        <v>54</v>
      </c>
      <c r="K674" s="108"/>
      <c r="L674" s="106"/>
      <c r="M674" s="110"/>
      <c r="N674" s="105" t="s">
        <v>78</v>
      </c>
      <c r="O674" s="105" t="str">
        <f t="shared" si="24"/>
        <v/>
      </c>
      <c r="P674" s="105"/>
      <c r="Q674" s="105" t="s">
        <v>77</v>
      </c>
      <c r="R674" s="105" t="s">
        <v>77</v>
      </c>
      <c r="S674" s="105"/>
      <c r="T674" s="105"/>
      <c r="U674" s="105"/>
      <c r="V674" s="105"/>
      <c r="W674" s="105" t="s">
        <v>80</v>
      </c>
      <c r="X674" s="105"/>
      <c r="Y674" s="105"/>
    </row>
    <row r="675" spans="1:25" s="99" customFormat="1" ht="26.25" customHeight="1">
      <c r="A675" s="100">
        <v>4416</v>
      </c>
      <c r="B675" s="101" t="s">
        <v>11</v>
      </c>
      <c r="C675" s="105" t="s">
        <v>52</v>
      </c>
      <c r="D675" s="105" t="s">
        <v>1399</v>
      </c>
      <c r="E675" s="105" t="s">
        <v>44</v>
      </c>
      <c r="F675" s="101" t="str">
        <f t="shared" si="23"/>
        <v>-</v>
      </c>
      <c r="G675" s="106" t="s">
        <v>53</v>
      </c>
      <c r="H675" s="105"/>
      <c r="I675" s="106" t="s">
        <v>1400</v>
      </c>
      <c r="J675" s="107" t="s">
        <v>54</v>
      </c>
      <c r="K675" s="108"/>
      <c r="L675" s="106"/>
      <c r="M675" s="110"/>
      <c r="N675" s="105" t="s">
        <v>78</v>
      </c>
      <c r="O675" s="105" t="str">
        <f t="shared" si="24"/>
        <v/>
      </c>
      <c r="P675" s="105"/>
      <c r="Q675" s="105" t="s">
        <v>77</v>
      </c>
      <c r="R675" s="105" t="s">
        <v>77</v>
      </c>
      <c r="S675" s="105"/>
      <c r="T675" s="105"/>
      <c r="U675" s="105"/>
      <c r="V675" s="105"/>
      <c r="W675" s="105" t="s">
        <v>80</v>
      </c>
      <c r="X675" s="105"/>
      <c r="Y675" s="105"/>
    </row>
    <row r="676" spans="1:25" s="99" customFormat="1" ht="26.25" customHeight="1">
      <c r="A676" s="100">
        <v>4417</v>
      </c>
      <c r="B676" s="101" t="s">
        <v>11</v>
      </c>
      <c r="C676" s="105" t="s">
        <v>52</v>
      </c>
      <c r="D676" s="105" t="s">
        <v>1401</v>
      </c>
      <c r="E676" s="105" t="s">
        <v>44</v>
      </c>
      <c r="F676" s="101" t="str">
        <f t="shared" si="23"/>
        <v>-</v>
      </c>
      <c r="G676" s="106" t="s">
        <v>53</v>
      </c>
      <c r="H676" s="105"/>
      <c r="I676" s="106" t="s">
        <v>1402</v>
      </c>
      <c r="J676" s="107" t="s">
        <v>54</v>
      </c>
      <c r="K676" s="108"/>
      <c r="L676" s="106"/>
      <c r="M676" s="110"/>
      <c r="N676" s="105" t="s">
        <v>78</v>
      </c>
      <c r="O676" s="105" t="str">
        <f t="shared" si="24"/>
        <v/>
      </c>
      <c r="P676" s="105"/>
      <c r="Q676" s="105" t="s">
        <v>77</v>
      </c>
      <c r="R676" s="105" t="s">
        <v>77</v>
      </c>
      <c r="S676" s="105"/>
      <c r="T676" s="105"/>
      <c r="U676" s="105"/>
      <c r="V676" s="105"/>
      <c r="W676" s="105" t="s">
        <v>80</v>
      </c>
      <c r="X676" s="105"/>
      <c r="Y676" s="105"/>
    </row>
    <row r="677" spans="1:25" s="99" customFormat="1" ht="26.25" customHeight="1">
      <c r="A677" s="100">
        <v>4418</v>
      </c>
      <c r="B677" s="101" t="s">
        <v>11</v>
      </c>
      <c r="C677" s="105" t="s">
        <v>52</v>
      </c>
      <c r="D677" s="105" t="s">
        <v>1403</v>
      </c>
      <c r="E677" s="105" t="s">
        <v>44</v>
      </c>
      <c r="F677" s="101" t="str">
        <f t="shared" si="23"/>
        <v>-</v>
      </c>
      <c r="G677" s="106" t="s">
        <v>53</v>
      </c>
      <c r="H677" s="105"/>
      <c r="I677" s="106" t="s">
        <v>1404</v>
      </c>
      <c r="J677" s="107" t="s">
        <v>54</v>
      </c>
      <c r="K677" s="108"/>
      <c r="L677" s="106"/>
      <c r="M677" s="110"/>
      <c r="N677" s="105" t="s">
        <v>78</v>
      </c>
      <c r="O677" s="105" t="str">
        <f t="shared" si="24"/>
        <v/>
      </c>
      <c r="P677" s="105"/>
      <c r="Q677" s="105" t="s">
        <v>77</v>
      </c>
      <c r="R677" s="105" t="s">
        <v>77</v>
      </c>
      <c r="S677" s="105"/>
      <c r="T677" s="105"/>
      <c r="U677" s="105"/>
      <c r="V677" s="105"/>
      <c r="W677" s="105" t="s">
        <v>80</v>
      </c>
      <c r="X677" s="105"/>
      <c r="Y677" s="105"/>
    </row>
    <row r="678" spans="1:25" s="99" customFormat="1" ht="26.25" customHeight="1">
      <c r="A678" s="100">
        <v>4419</v>
      </c>
      <c r="B678" s="101" t="s">
        <v>11</v>
      </c>
      <c r="C678" s="105" t="s">
        <v>52</v>
      </c>
      <c r="D678" s="105" t="s">
        <v>1405</v>
      </c>
      <c r="E678" s="105" t="s">
        <v>44</v>
      </c>
      <c r="F678" s="101" t="str">
        <f t="shared" si="23"/>
        <v>-</v>
      </c>
      <c r="G678" s="106" t="s">
        <v>53</v>
      </c>
      <c r="H678" s="105"/>
      <c r="I678" s="106" t="s">
        <v>1406</v>
      </c>
      <c r="J678" s="107" t="s">
        <v>54</v>
      </c>
      <c r="K678" s="108"/>
      <c r="L678" s="106"/>
      <c r="M678" s="110"/>
      <c r="N678" s="105" t="s">
        <v>78</v>
      </c>
      <c r="O678" s="105" t="str">
        <f t="shared" si="24"/>
        <v/>
      </c>
      <c r="P678" s="105"/>
      <c r="Q678" s="105" t="s">
        <v>77</v>
      </c>
      <c r="R678" s="105" t="s">
        <v>77</v>
      </c>
      <c r="S678" s="105"/>
      <c r="T678" s="105"/>
      <c r="U678" s="105"/>
      <c r="V678" s="105"/>
      <c r="W678" s="105" t="s">
        <v>80</v>
      </c>
      <c r="X678" s="105"/>
      <c r="Y678" s="105"/>
    </row>
    <row r="679" spans="1:25" s="99" customFormat="1" ht="26.25" customHeight="1">
      <c r="A679" s="100">
        <v>4420</v>
      </c>
      <c r="B679" s="101" t="s">
        <v>11</v>
      </c>
      <c r="C679" s="105" t="s">
        <v>52</v>
      </c>
      <c r="D679" s="105" t="s">
        <v>1407</v>
      </c>
      <c r="E679" s="105" t="s">
        <v>44</v>
      </c>
      <c r="F679" s="101" t="str">
        <f t="shared" si="23"/>
        <v>-</v>
      </c>
      <c r="G679" s="106" t="s">
        <v>53</v>
      </c>
      <c r="H679" s="105"/>
      <c r="I679" s="106" t="s">
        <v>1408</v>
      </c>
      <c r="J679" s="107" t="s">
        <v>54</v>
      </c>
      <c r="K679" s="108"/>
      <c r="L679" s="106"/>
      <c r="M679" s="110"/>
      <c r="N679" s="105" t="s">
        <v>78</v>
      </c>
      <c r="O679" s="105" t="str">
        <f t="shared" si="24"/>
        <v/>
      </c>
      <c r="P679" s="105"/>
      <c r="Q679" s="105" t="s">
        <v>77</v>
      </c>
      <c r="R679" s="105" t="s">
        <v>77</v>
      </c>
      <c r="S679" s="105"/>
      <c r="T679" s="105"/>
      <c r="U679" s="105"/>
      <c r="V679" s="105"/>
      <c r="W679" s="105" t="s">
        <v>80</v>
      </c>
      <c r="X679" s="105"/>
      <c r="Y679" s="105"/>
    </row>
    <row r="680" spans="1:25" s="99" customFormat="1" ht="26.25" customHeight="1">
      <c r="A680" s="100">
        <v>4421</v>
      </c>
      <c r="B680" s="101" t="s">
        <v>11</v>
      </c>
      <c r="C680" s="105" t="s">
        <v>52</v>
      </c>
      <c r="D680" s="105" t="s">
        <v>1409</v>
      </c>
      <c r="E680" s="105" t="s">
        <v>44</v>
      </c>
      <c r="F680" s="101" t="str">
        <f t="shared" si="23"/>
        <v>-</v>
      </c>
      <c r="G680" s="106" t="s">
        <v>53</v>
      </c>
      <c r="H680" s="105"/>
      <c r="I680" s="106" t="s">
        <v>1410</v>
      </c>
      <c r="J680" s="107" t="s">
        <v>54</v>
      </c>
      <c r="K680" s="108"/>
      <c r="L680" s="106"/>
      <c r="M680" s="110"/>
      <c r="N680" s="105" t="s">
        <v>78</v>
      </c>
      <c r="O680" s="105" t="str">
        <f t="shared" si="24"/>
        <v/>
      </c>
      <c r="P680" s="105"/>
      <c r="Q680" s="105" t="s">
        <v>77</v>
      </c>
      <c r="R680" s="105" t="s">
        <v>77</v>
      </c>
      <c r="S680" s="105"/>
      <c r="T680" s="105"/>
      <c r="U680" s="105"/>
      <c r="V680" s="105"/>
      <c r="W680" s="105" t="s">
        <v>80</v>
      </c>
      <c r="X680" s="105"/>
      <c r="Y680" s="105"/>
    </row>
    <row r="681" spans="1:25" s="99" customFormat="1" ht="26.25" customHeight="1">
      <c r="A681" s="100">
        <v>4422</v>
      </c>
      <c r="B681" s="101" t="s">
        <v>11</v>
      </c>
      <c r="C681" s="105" t="s">
        <v>52</v>
      </c>
      <c r="D681" s="105" t="s">
        <v>1411</v>
      </c>
      <c r="E681" s="105" t="s">
        <v>44</v>
      </c>
      <c r="F681" s="101" t="str">
        <f t="shared" si="23"/>
        <v>-</v>
      </c>
      <c r="G681" s="106" t="s">
        <v>53</v>
      </c>
      <c r="H681" s="105"/>
      <c r="I681" s="106" t="s">
        <v>1412</v>
      </c>
      <c r="J681" s="107" t="s">
        <v>54</v>
      </c>
      <c r="K681" s="108"/>
      <c r="L681" s="106"/>
      <c r="M681" s="110"/>
      <c r="N681" s="105" t="s">
        <v>78</v>
      </c>
      <c r="O681" s="105" t="str">
        <f t="shared" si="24"/>
        <v/>
      </c>
      <c r="P681" s="105"/>
      <c r="Q681" s="105" t="s">
        <v>77</v>
      </c>
      <c r="R681" s="105" t="s">
        <v>77</v>
      </c>
      <c r="S681" s="105"/>
      <c r="T681" s="105"/>
      <c r="U681" s="105"/>
      <c r="V681" s="105"/>
      <c r="W681" s="105" t="s">
        <v>80</v>
      </c>
      <c r="X681" s="105"/>
      <c r="Y681" s="105"/>
    </row>
    <row r="682" spans="1:25" s="99" customFormat="1" ht="26.25" customHeight="1">
      <c r="A682" s="100">
        <v>4423</v>
      </c>
      <c r="B682" s="101" t="s">
        <v>11</v>
      </c>
      <c r="C682" s="105" t="s">
        <v>52</v>
      </c>
      <c r="D682" s="105" t="s">
        <v>1413</v>
      </c>
      <c r="E682" s="105" t="s">
        <v>44</v>
      </c>
      <c r="F682" s="101" t="str">
        <f t="shared" si="23"/>
        <v>-</v>
      </c>
      <c r="G682" s="106" t="s">
        <v>53</v>
      </c>
      <c r="H682" s="105"/>
      <c r="I682" s="106" t="s">
        <v>1414</v>
      </c>
      <c r="J682" s="107" t="s">
        <v>54</v>
      </c>
      <c r="K682" s="108"/>
      <c r="L682" s="106"/>
      <c r="M682" s="110"/>
      <c r="N682" s="105" t="s">
        <v>78</v>
      </c>
      <c r="O682" s="105" t="str">
        <f t="shared" si="24"/>
        <v/>
      </c>
      <c r="P682" s="105"/>
      <c r="Q682" s="105" t="s">
        <v>77</v>
      </c>
      <c r="R682" s="105" t="s">
        <v>77</v>
      </c>
      <c r="S682" s="105"/>
      <c r="T682" s="105"/>
      <c r="U682" s="105"/>
      <c r="V682" s="105"/>
      <c r="W682" s="105" t="s">
        <v>80</v>
      </c>
      <c r="X682" s="105"/>
      <c r="Y682" s="105"/>
    </row>
    <row r="683" spans="1:25" s="99" customFormat="1" ht="26.25" customHeight="1">
      <c r="A683" s="100">
        <v>4424</v>
      </c>
      <c r="B683" s="101" t="s">
        <v>11</v>
      </c>
      <c r="C683" s="105" t="s">
        <v>52</v>
      </c>
      <c r="D683" s="105" t="s">
        <v>1415</v>
      </c>
      <c r="E683" s="105" t="s">
        <v>44</v>
      </c>
      <c r="F683" s="101" t="str">
        <f t="shared" si="23"/>
        <v>-</v>
      </c>
      <c r="G683" s="106" t="s">
        <v>53</v>
      </c>
      <c r="H683" s="105"/>
      <c r="I683" s="106" t="s">
        <v>1416</v>
      </c>
      <c r="J683" s="107" t="s">
        <v>54</v>
      </c>
      <c r="K683" s="108"/>
      <c r="L683" s="106"/>
      <c r="M683" s="110"/>
      <c r="N683" s="105" t="s">
        <v>78</v>
      </c>
      <c r="O683" s="105" t="str">
        <f t="shared" si="24"/>
        <v/>
      </c>
      <c r="P683" s="105"/>
      <c r="Q683" s="105" t="s">
        <v>77</v>
      </c>
      <c r="R683" s="105" t="s">
        <v>77</v>
      </c>
      <c r="S683" s="105"/>
      <c r="T683" s="105"/>
      <c r="U683" s="105"/>
      <c r="V683" s="105"/>
      <c r="W683" s="105" t="s">
        <v>80</v>
      </c>
      <c r="X683" s="105"/>
      <c r="Y683" s="105"/>
    </row>
    <row r="684" spans="1:25" s="99" customFormat="1" ht="26.25" customHeight="1">
      <c r="A684" s="100">
        <v>4425</v>
      </c>
      <c r="B684" s="101" t="s">
        <v>11</v>
      </c>
      <c r="C684" s="105" t="s">
        <v>52</v>
      </c>
      <c r="D684" s="105" t="s">
        <v>1417</v>
      </c>
      <c r="E684" s="105" t="s">
        <v>44</v>
      </c>
      <c r="F684" s="101" t="str">
        <f t="shared" si="23"/>
        <v>-</v>
      </c>
      <c r="G684" s="106" t="s">
        <v>53</v>
      </c>
      <c r="H684" s="105"/>
      <c r="I684" s="106" t="s">
        <v>1418</v>
      </c>
      <c r="J684" s="107" t="s">
        <v>54</v>
      </c>
      <c r="K684" s="108"/>
      <c r="L684" s="106"/>
      <c r="M684" s="110"/>
      <c r="N684" s="105" t="s">
        <v>78</v>
      </c>
      <c r="O684" s="105" t="str">
        <f t="shared" si="24"/>
        <v/>
      </c>
      <c r="P684" s="105"/>
      <c r="Q684" s="105" t="s">
        <v>77</v>
      </c>
      <c r="R684" s="105" t="s">
        <v>77</v>
      </c>
      <c r="S684" s="105"/>
      <c r="T684" s="105"/>
      <c r="U684" s="105"/>
      <c r="V684" s="105"/>
      <c r="W684" s="105" t="s">
        <v>80</v>
      </c>
      <c r="X684" s="105"/>
      <c r="Y684" s="105"/>
    </row>
    <row r="685" spans="1:25" s="99" customFormat="1" ht="26.25" customHeight="1">
      <c r="A685" s="100">
        <v>4426</v>
      </c>
      <c r="B685" s="101" t="s">
        <v>11</v>
      </c>
      <c r="C685" s="105" t="s">
        <v>52</v>
      </c>
      <c r="D685" s="105" t="s">
        <v>1419</v>
      </c>
      <c r="E685" s="105" t="s">
        <v>44</v>
      </c>
      <c r="F685" s="101" t="str">
        <f t="shared" si="23"/>
        <v>-</v>
      </c>
      <c r="G685" s="106" t="s">
        <v>53</v>
      </c>
      <c r="H685" s="105"/>
      <c r="I685" s="106" t="s">
        <v>1420</v>
      </c>
      <c r="J685" s="107" t="s">
        <v>54</v>
      </c>
      <c r="K685" s="108"/>
      <c r="L685" s="106"/>
      <c r="M685" s="110"/>
      <c r="N685" s="105" t="s">
        <v>78</v>
      </c>
      <c r="O685" s="105" t="str">
        <f t="shared" si="24"/>
        <v/>
      </c>
      <c r="P685" s="105"/>
      <c r="Q685" s="105" t="s">
        <v>77</v>
      </c>
      <c r="R685" s="105" t="s">
        <v>77</v>
      </c>
      <c r="S685" s="105"/>
      <c r="T685" s="105"/>
      <c r="U685" s="105"/>
      <c r="V685" s="105"/>
      <c r="W685" s="105" t="s">
        <v>80</v>
      </c>
      <c r="X685" s="105"/>
      <c r="Y685" s="105"/>
    </row>
    <row r="686" spans="1:25" s="99" customFormat="1" ht="26.25" customHeight="1">
      <c r="A686" s="100">
        <v>4427</v>
      </c>
      <c r="B686" s="101" t="s">
        <v>11</v>
      </c>
      <c r="C686" s="105" t="s">
        <v>52</v>
      </c>
      <c r="D686" s="105" t="s">
        <v>1421</v>
      </c>
      <c r="E686" s="105" t="s">
        <v>44</v>
      </c>
      <c r="F686" s="101" t="str">
        <f t="shared" si="23"/>
        <v>-</v>
      </c>
      <c r="G686" s="106" t="s">
        <v>53</v>
      </c>
      <c r="H686" s="105"/>
      <c r="I686" s="106" t="s">
        <v>1422</v>
      </c>
      <c r="J686" s="107" t="s">
        <v>54</v>
      </c>
      <c r="K686" s="108"/>
      <c r="L686" s="106"/>
      <c r="M686" s="110"/>
      <c r="N686" s="105" t="s">
        <v>78</v>
      </c>
      <c r="O686" s="105" t="str">
        <f t="shared" si="24"/>
        <v/>
      </c>
      <c r="P686" s="105"/>
      <c r="Q686" s="105" t="s">
        <v>77</v>
      </c>
      <c r="R686" s="105" t="s">
        <v>77</v>
      </c>
      <c r="S686" s="105"/>
      <c r="T686" s="105"/>
      <c r="U686" s="105"/>
      <c r="V686" s="105"/>
      <c r="W686" s="105" t="s">
        <v>80</v>
      </c>
      <c r="X686" s="105"/>
      <c r="Y686" s="105"/>
    </row>
    <row r="687" spans="1:25" s="99" customFormat="1" ht="26.25" customHeight="1">
      <c r="A687" s="100">
        <v>4428</v>
      </c>
      <c r="B687" s="101" t="s">
        <v>11</v>
      </c>
      <c r="C687" s="105" t="s">
        <v>52</v>
      </c>
      <c r="D687" s="105" t="s">
        <v>1423</v>
      </c>
      <c r="E687" s="105" t="s">
        <v>44</v>
      </c>
      <c r="F687" s="101" t="str">
        <f t="shared" si="23"/>
        <v>-</v>
      </c>
      <c r="G687" s="106" t="s">
        <v>53</v>
      </c>
      <c r="H687" s="105"/>
      <c r="I687" s="106" t="s">
        <v>1424</v>
      </c>
      <c r="J687" s="107" t="s">
        <v>54</v>
      </c>
      <c r="K687" s="108"/>
      <c r="L687" s="106"/>
      <c r="M687" s="110"/>
      <c r="N687" s="105" t="s">
        <v>78</v>
      </c>
      <c r="O687" s="105" t="str">
        <f t="shared" si="24"/>
        <v/>
      </c>
      <c r="P687" s="105"/>
      <c r="Q687" s="105" t="s">
        <v>77</v>
      </c>
      <c r="R687" s="105" t="s">
        <v>77</v>
      </c>
      <c r="S687" s="105"/>
      <c r="T687" s="105"/>
      <c r="U687" s="105"/>
      <c r="V687" s="105"/>
      <c r="W687" s="105" t="s">
        <v>80</v>
      </c>
      <c r="X687" s="105"/>
      <c r="Y687" s="105"/>
    </row>
    <row r="688" spans="1:25" s="99" customFormat="1" ht="26.25" customHeight="1">
      <c r="A688" s="100">
        <v>4429</v>
      </c>
      <c r="B688" s="101" t="s">
        <v>11</v>
      </c>
      <c r="C688" s="105" t="s">
        <v>52</v>
      </c>
      <c r="D688" s="105" t="s">
        <v>1425</v>
      </c>
      <c r="E688" s="105" t="s">
        <v>44</v>
      </c>
      <c r="F688" s="101" t="str">
        <f t="shared" si="23"/>
        <v>-</v>
      </c>
      <c r="G688" s="106" t="s">
        <v>53</v>
      </c>
      <c r="H688" s="105"/>
      <c r="I688" s="106" t="s">
        <v>1426</v>
      </c>
      <c r="J688" s="107" t="s">
        <v>54</v>
      </c>
      <c r="K688" s="108"/>
      <c r="L688" s="106"/>
      <c r="M688" s="110"/>
      <c r="N688" s="105" t="s">
        <v>78</v>
      </c>
      <c r="O688" s="105" t="str">
        <f t="shared" si="24"/>
        <v/>
      </c>
      <c r="P688" s="105"/>
      <c r="Q688" s="105" t="s">
        <v>77</v>
      </c>
      <c r="R688" s="105" t="s">
        <v>77</v>
      </c>
      <c r="S688" s="105"/>
      <c r="T688" s="105"/>
      <c r="U688" s="105"/>
      <c r="V688" s="105"/>
      <c r="W688" s="105" t="s">
        <v>80</v>
      </c>
      <c r="X688" s="105"/>
      <c r="Y688" s="105"/>
    </row>
    <row r="689" spans="1:25" s="99" customFormat="1" ht="26.25" customHeight="1">
      <c r="A689" s="100">
        <v>4430</v>
      </c>
      <c r="B689" s="101" t="s">
        <v>11</v>
      </c>
      <c r="C689" s="105" t="s">
        <v>52</v>
      </c>
      <c r="D689" s="105" t="s">
        <v>1427</v>
      </c>
      <c r="E689" s="105" t="s">
        <v>44</v>
      </c>
      <c r="F689" s="101" t="str">
        <f t="shared" si="23"/>
        <v>-</v>
      </c>
      <c r="G689" s="106" t="s">
        <v>53</v>
      </c>
      <c r="H689" s="105"/>
      <c r="I689" s="106" t="s">
        <v>1428</v>
      </c>
      <c r="J689" s="107" t="s">
        <v>54</v>
      </c>
      <c r="K689" s="108"/>
      <c r="L689" s="106"/>
      <c r="M689" s="110"/>
      <c r="N689" s="105" t="s">
        <v>78</v>
      </c>
      <c r="O689" s="105" t="str">
        <f t="shared" si="24"/>
        <v/>
      </c>
      <c r="P689" s="105"/>
      <c r="Q689" s="105" t="s">
        <v>77</v>
      </c>
      <c r="R689" s="105" t="s">
        <v>77</v>
      </c>
      <c r="S689" s="105"/>
      <c r="T689" s="105"/>
      <c r="U689" s="105"/>
      <c r="V689" s="105"/>
      <c r="W689" s="105" t="s">
        <v>80</v>
      </c>
      <c r="X689" s="105"/>
      <c r="Y689" s="105"/>
    </row>
    <row r="690" spans="1:25" s="99" customFormat="1" ht="26.25" customHeight="1">
      <c r="A690" s="100">
        <v>4431</v>
      </c>
      <c r="B690" s="101" t="s">
        <v>11</v>
      </c>
      <c r="C690" s="105" t="s">
        <v>52</v>
      </c>
      <c r="D690" s="105" t="s">
        <v>1429</v>
      </c>
      <c r="E690" s="105" t="s">
        <v>44</v>
      </c>
      <c r="F690" s="101" t="str">
        <f t="shared" si="23"/>
        <v>-</v>
      </c>
      <c r="G690" s="106" t="s">
        <v>53</v>
      </c>
      <c r="H690" s="105"/>
      <c r="I690" s="106" t="s">
        <v>1430</v>
      </c>
      <c r="J690" s="107" t="s">
        <v>54</v>
      </c>
      <c r="K690" s="108"/>
      <c r="L690" s="106"/>
      <c r="M690" s="110"/>
      <c r="N690" s="105" t="s">
        <v>78</v>
      </c>
      <c r="O690" s="105" t="str">
        <f t="shared" si="24"/>
        <v/>
      </c>
      <c r="P690" s="105"/>
      <c r="Q690" s="105" t="s">
        <v>77</v>
      </c>
      <c r="R690" s="105" t="s">
        <v>77</v>
      </c>
      <c r="S690" s="105"/>
      <c r="T690" s="105"/>
      <c r="U690" s="105"/>
      <c r="V690" s="105"/>
      <c r="W690" s="105" t="s">
        <v>80</v>
      </c>
      <c r="X690" s="105"/>
      <c r="Y690" s="105"/>
    </row>
    <row r="691" spans="1:25" s="99" customFormat="1" ht="26.25" customHeight="1">
      <c r="A691" s="100">
        <v>4432</v>
      </c>
      <c r="B691" s="101" t="s">
        <v>11</v>
      </c>
      <c r="C691" s="105" t="s">
        <v>52</v>
      </c>
      <c r="D691" s="105" t="s">
        <v>1431</v>
      </c>
      <c r="E691" s="105" t="s">
        <v>44</v>
      </c>
      <c r="F691" s="101" t="str">
        <f t="shared" si="23"/>
        <v>-</v>
      </c>
      <c r="G691" s="106" t="s">
        <v>53</v>
      </c>
      <c r="H691" s="105"/>
      <c r="I691" s="106" t="s">
        <v>1432</v>
      </c>
      <c r="J691" s="107" t="s">
        <v>54</v>
      </c>
      <c r="K691" s="108"/>
      <c r="L691" s="106"/>
      <c r="M691" s="110"/>
      <c r="N691" s="105" t="s">
        <v>78</v>
      </c>
      <c r="O691" s="105" t="str">
        <f t="shared" si="24"/>
        <v/>
      </c>
      <c r="P691" s="105"/>
      <c r="Q691" s="105" t="s">
        <v>77</v>
      </c>
      <c r="R691" s="105" t="s">
        <v>77</v>
      </c>
      <c r="S691" s="105"/>
      <c r="T691" s="105"/>
      <c r="U691" s="105"/>
      <c r="V691" s="105"/>
      <c r="W691" s="105" t="s">
        <v>80</v>
      </c>
      <c r="X691" s="105"/>
      <c r="Y691" s="105"/>
    </row>
    <row r="692" spans="1:25" s="99" customFormat="1" ht="26.25" customHeight="1">
      <c r="A692" s="100">
        <v>4433</v>
      </c>
      <c r="B692" s="101" t="s">
        <v>11</v>
      </c>
      <c r="C692" s="105" t="s">
        <v>52</v>
      </c>
      <c r="D692" s="105" t="s">
        <v>1433</v>
      </c>
      <c r="E692" s="105" t="s">
        <v>44</v>
      </c>
      <c r="F692" s="101" t="str">
        <f t="shared" si="23"/>
        <v>-</v>
      </c>
      <c r="G692" s="106" t="s">
        <v>53</v>
      </c>
      <c r="H692" s="105"/>
      <c r="I692" s="106" t="s">
        <v>1434</v>
      </c>
      <c r="J692" s="107" t="s">
        <v>54</v>
      </c>
      <c r="K692" s="108"/>
      <c r="L692" s="106"/>
      <c r="M692" s="110"/>
      <c r="N692" s="105" t="s">
        <v>78</v>
      </c>
      <c r="O692" s="105" t="str">
        <f t="shared" si="24"/>
        <v/>
      </c>
      <c r="P692" s="105"/>
      <c r="Q692" s="105" t="s">
        <v>77</v>
      </c>
      <c r="R692" s="105" t="s">
        <v>77</v>
      </c>
      <c r="S692" s="105"/>
      <c r="T692" s="105"/>
      <c r="U692" s="105"/>
      <c r="V692" s="105"/>
      <c r="W692" s="105" t="s">
        <v>80</v>
      </c>
      <c r="X692" s="105"/>
      <c r="Y692" s="105"/>
    </row>
    <row r="693" spans="1:25" s="99" customFormat="1" ht="26.25" customHeight="1">
      <c r="A693" s="100">
        <v>4434</v>
      </c>
      <c r="B693" s="101" t="s">
        <v>11</v>
      </c>
      <c r="C693" s="105" t="s">
        <v>52</v>
      </c>
      <c r="D693" s="105" t="s">
        <v>1435</v>
      </c>
      <c r="E693" s="105" t="s">
        <v>44</v>
      </c>
      <c r="F693" s="101" t="str">
        <f t="shared" si="23"/>
        <v>-</v>
      </c>
      <c r="G693" s="106" t="s">
        <v>53</v>
      </c>
      <c r="H693" s="105"/>
      <c r="I693" s="106" t="s">
        <v>1436</v>
      </c>
      <c r="J693" s="107" t="s">
        <v>54</v>
      </c>
      <c r="K693" s="108"/>
      <c r="L693" s="106"/>
      <c r="M693" s="110"/>
      <c r="N693" s="105" t="s">
        <v>78</v>
      </c>
      <c r="O693" s="105" t="str">
        <f t="shared" si="24"/>
        <v/>
      </c>
      <c r="P693" s="105"/>
      <c r="Q693" s="105" t="s">
        <v>77</v>
      </c>
      <c r="R693" s="105" t="s">
        <v>77</v>
      </c>
      <c r="S693" s="105"/>
      <c r="T693" s="105"/>
      <c r="U693" s="105"/>
      <c r="V693" s="105"/>
      <c r="W693" s="105" t="s">
        <v>80</v>
      </c>
      <c r="X693" s="105"/>
      <c r="Y693" s="105"/>
    </row>
    <row r="694" spans="1:25" s="99" customFormat="1" ht="26.25" customHeight="1">
      <c r="A694" s="100">
        <v>4435</v>
      </c>
      <c r="B694" s="101" t="s">
        <v>11</v>
      </c>
      <c r="C694" s="105" t="s">
        <v>52</v>
      </c>
      <c r="D694" s="105" t="s">
        <v>1437</v>
      </c>
      <c r="E694" s="105" t="s">
        <v>44</v>
      </c>
      <c r="F694" s="101" t="str">
        <f t="shared" si="23"/>
        <v>-</v>
      </c>
      <c r="G694" s="106" t="s">
        <v>53</v>
      </c>
      <c r="H694" s="105"/>
      <c r="I694" s="106" t="s">
        <v>1438</v>
      </c>
      <c r="J694" s="107" t="s">
        <v>54</v>
      </c>
      <c r="K694" s="108"/>
      <c r="L694" s="106"/>
      <c r="M694" s="110"/>
      <c r="N694" s="105" t="s">
        <v>78</v>
      </c>
      <c r="O694" s="105" t="str">
        <f t="shared" si="24"/>
        <v/>
      </c>
      <c r="P694" s="105"/>
      <c r="Q694" s="105" t="s">
        <v>77</v>
      </c>
      <c r="R694" s="105" t="s">
        <v>77</v>
      </c>
      <c r="S694" s="105"/>
      <c r="T694" s="105"/>
      <c r="U694" s="105"/>
      <c r="V694" s="105"/>
      <c r="W694" s="105" t="s">
        <v>80</v>
      </c>
      <c r="X694" s="105"/>
      <c r="Y694" s="105"/>
    </row>
    <row r="695" spans="1:25" s="99" customFormat="1" ht="26.25" customHeight="1">
      <c r="A695" s="100">
        <v>4436</v>
      </c>
      <c r="B695" s="101" t="s">
        <v>11</v>
      </c>
      <c r="C695" s="105" t="s">
        <v>52</v>
      </c>
      <c r="D695" s="105" t="s">
        <v>1439</v>
      </c>
      <c r="E695" s="105" t="s">
        <v>44</v>
      </c>
      <c r="F695" s="101" t="str">
        <f t="shared" si="23"/>
        <v>-</v>
      </c>
      <c r="G695" s="106" t="s">
        <v>53</v>
      </c>
      <c r="H695" s="105"/>
      <c r="I695" s="106" t="s">
        <v>1440</v>
      </c>
      <c r="J695" s="107" t="s">
        <v>54</v>
      </c>
      <c r="K695" s="108"/>
      <c r="L695" s="106"/>
      <c r="M695" s="110"/>
      <c r="N695" s="105" t="s">
        <v>78</v>
      </c>
      <c r="O695" s="105" t="str">
        <f t="shared" si="24"/>
        <v/>
      </c>
      <c r="P695" s="105"/>
      <c r="Q695" s="105" t="s">
        <v>77</v>
      </c>
      <c r="R695" s="105" t="s">
        <v>77</v>
      </c>
      <c r="S695" s="105"/>
      <c r="T695" s="105"/>
      <c r="U695" s="105"/>
      <c r="V695" s="105"/>
      <c r="W695" s="105" t="s">
        <v>80</v>
      </c>
      <c r="X695" s="105"/>
      <c r="Y695" s="105"/>
    </row>
    <row r="696" spans="1:25" s="99" customFormat="1" ht="26.25" customHeight="1">
      <c r="A696" s="100">
        <v>4437</v>
      </c>
      <c r="B696" s="101" t="s">
        <v>11</v>
      </c>
      <c r="C696" s="105" t="s">
        <v>52</v>
      </c>
      <c r="D696" s="105" t="s">
        <v>1441</v>
      </c>
      <c r="E696" s="105" t="s">
        <v>44</v>
      </c>
      <c r="F696" s="101" t="str">
        <f t="shared" si="23"/>
        <v>-</v>
      </c>
      <c r="G696" s="106" t="s">
        <v>53</v>
      </c>
      <c r="H696" s="105"/>
      <c r="I696" s="106" t="s">
        <v>1442</v>
      </c>
      <c r="J696" s="107" t="s">
        <v>54</v>
      </c>
      <c r="K696" s="108"/>
      <c r="L696" s="106"/>
      <c r="M696" s="110"/>
      <c r="N696" s="105" t="s">
        <v>78</v>
      </c>
      <c r="O696" s="105" t="str">
        <f t="shared" si="24"/>
        <v/>
      </c>
      <c r="P696" s="105"/>
      <c r="Q696" s="105" t="s">
        <v>77</v>
      </c>
      <c r="R696" s="105" t="s">
        <v>77</v>
      </c>
      <c r="S696" s="105"/>
      <c r="T696" s="105"/>
      <c r="U696" s="105"/>
      <c r="V696" s="105"/>
      <c r="W696" s="105" t="s">
        <v>80</v>
      </c>
      <c r="X696" s="105"/>
      <c r="Y696" s="105"/>
    </row>
    <row r="697" spans="1:25" s="99" customFormat="1" ht="26.25" customHeight="1">
      <c r="A697" s="100">
        <v>4438</v>
      </c>
      <c r="B697" s="101" t="s">
        <v>11</v>
      </c>
      <c r="C697" s="105" t="s">
        <v>52</v>
      </c>
      <c r="D697" s="105" t="s">
        <v>1443</v>
      </c>
      <c r="E697" s="105" t="s">
        <v>44</v>
      </c>
      <c r="F697" s="101" t="str">
        <f t="shared" si="23"/>
        <v>-</v>
      </c>
      <c r="G697" s="106" t="s">
        <v>53</v>
      </c>
      <c r="H697" s="105"/>
      <c r="I697" s="106" t="s">
        <v>1444</v>
      </c>
      <c r="J697" s="107" t="s">
        <v>54</v>
      </c>
      <c r="K697" s="108"/>
      <c r="L697" s="106"/>
      <c r="M697" s="110"/>
      <c r="N697" s="105" t="s">
        <v>78</v>
      </c>
      <c r="O697" s="105" t="str">
        <f t="shared" si="24"/>
        <v/>
      </c>
      <c r="P697" s="105"/>
      <c r="Q697" s="105" t="s">
        <v>77</v>
      </c>
      <c r="R697" s="105" t="s">
        <v>77</v>
      </c>
      <c r="S697" s="105"/>
      <c r="T697" s="105"/>
      <c r="U697" s="105"/>
      <c r="V697" s="105"/>
      <c r="W697" s="105" t="s">
        <v>80</v>
      </c>
      <c r="X697" s="105"/>
      <c r="Y697" s="105"/>
    </row>
    <row r="698" spans="1:25" s="99" customFormat="1" ht="26.25" customHeight="1">
      <c r="A698" s="100">
        <v>4439</v>
      </c>
      <c r="B698" s="101" t="s">
        <v>11</v>
      </c>
      <c r="C698" s="105" t="s">
        <v>52</v>
      </c>
      <c r="D698" s="105" t="s">
        <v>1445</v>
      </c>
      <c r="E698" s="105" t="s">
        <v>44</v>
      </c>
      <c r="F698" s="101" t="str">
        <f t="shared" si="23"/>
        <v>-</v>
      </c>
      <c r="G698" s="106" t="s">
        <v>53</v>
      </c>
      <c r="H698" s="105"/>
      <c r="I698" s="106" t="s">
        <v>1446</v>
      </c>
      <c r="J698" s="107" t="s">
        <v>54</v>
      </c>
      <c r="K698" s="108"/>
      <c r="L698" s="106"/>
      <c r="M698" s="110"/>
      <c r="N698" s="105" t="s">
        <v>78</v>
      </c>
      <c r="O698" s="105" t="str">
        <f t="shared" si="24"/>
        <v/>
      </c>
      <c r="P698" s="105"/>
      <c r="Q698" s="105" t="s">
        <v>77</v>
      </c>
      <c r="R698" s="105" t="s">
        <v>77</v>
      </c>
      <c r="S698" s="105"/>
      <c r="T698" s="105"/>
      <c r="U698" s="105"/>
      <c r="V698" s="105"/>
      <c r="W698" s="105" t="s">
        <v>80</v>
      </c>
      <c r="X698" s="105"/>
      <c r="Y698" s="105"/>
    </row>
    <row r="699" spans="1:25" s="99" customFormat="1" ht="26.25" customHeight="1">
      <c r="A699" s="100">
        <v>4440</v>
      </c>
      <c r="B699" s="101" t="s">
        <v>11</v>
      </c>
      <c r="C699" s="105" t="s">
        <v>52</v>
      </c>
      <c r="D699" s="105" t="s">
        <v>1447</v>
      </c>
      <c r="E699" s="105" t="s">
        <v>44</v>
      </c>
      <c r="F699" s="101" t="str">
        <f t="shared" si="23"/>
        <v>-</v>
      </c>
      <c r="G699" s="106" t="s">
        <v>53</v>
      </c>
      <c r="H699" s="105"/>
      <c r="I699" s="106" t="s">
        <v>1448</v>
      </c>
      <c r="J699" s="107" t="s">
        <v>54</v>
      </c>
      <c r="K699" s="108"/>
      <c r="L699" s="106"/>
      <c r="M699" s="110"/>
      <c r="N699" s="105" t="s">
        <v>78</v>
      </c>
      <c r="O699" s="105" t="str">
        <f t="shared" si="24"/>
        <v/>
      </c>
      <c r="P699" s="105"/>
      <c r="Q699" s="105" t="s">
        <v>77</v>
      </c>
      <c r="R699" s="105" t="s">
        <v>77</v>
      </c>
      <c r="S699" s="105"/>
      <c r="T699" s="105"/>
      <c r="U699" s="105"/>
      <c r="V699" s="105"/>
      <c r="W699" s="105" t="s">
        <v>80</v>
      </c>
      <c r="X699" s="105"/>
      <c r="Y699" s="105"/>
    </row>
    <row r="700" spans="1:25" s="99" customFormat="1" ht="26.25" customHeight="1">
      <c r="A700" s="100">
        <v>4441</v>
      </c>
      <c r="B700" s="101" t="s">
        <v>11</v>
      </c>
      <c r="C700" s="105" t="s">
        <v>52</v>
      </c>
      <c r="D700" s="105" t="s">
        <v>1449</v>
      </c>
      <c r="E700" s="105" t="s">
        <v>44</v>
      </c>
      <c r="F700" s="101" t="str">
        <f t="shared" si="23"/>
        <v>-</v>
      </c>
      <c r="G700" s="106" t="s">
        <v>53</v>
      </c>
      <c r="H700" s="105"/>
      <c r="I700" s="106" t="s">
        <v>1450</v>
      </c>
      <c r="J700" s="107" t="s">
        <v>54</v>
      </c>
      <c r="K700" s="108"/>
      <c r="L700" s="106"/>
      <c r="M700" s="110"/>
      <c r="N700" s="105" t="s">
        <v>78</v>
      </c>
      <c r="O700" s="105" t="str">
        <f t="shared" si="24"/>
        <v/>
      </c>
      <c r="P700" s="105"/>
      <c r="Q700" s="105" t="s">
        <v>77</v>
      </c>
      <c r="R700" s="105" t="s">
        <v>77</v>
      </c>
      <c r="S700" s="105"/>
      <c r="T700" s="105"/>
      <c r="U700" s="105"/>
      <c r="V700" s="105"/>
      <c r="W700" s="105" t="s">
        <v>80</v>
      </c>
      <c r="X700" s="105"/>
      <c r="Y700" s="105"/>
    </row>
    <row r="701" spans="1:25" s="99" customFormat="1" ht="26.25" customHeight="1">
      <c r="A701" s="100">
        <v>4442</v>
      </c>
      <c r="B701" s="101" t="s">
        <v>11</v>
      </c>
      <c r="C701" s="105" t="s">
        <v>52</v>
      </c>
      <c r="D701" s="105" t="s">
        <v>1451</v>
      </c>
      <c r="E701" s="105" t="s">
        <v>44</v>
      </c>
      <c r="F701" s="101" t="str">
        <f t="shared" si="23"/>
        <v>-</v>
      </c>
      <c r="G701" s="106" t="s">
        <v>53</v>
      </c>
      <c r="H701" s="105"/>
      <c r="I701" s="106" t="s">
        <v>1452</v>
      </c>
      <c r="J701" s="107" t="s">
        <v>54</v>
      </c>
      <c r="K701" s="108"/>
      <c r="L701" s="106"/>
      <c r="M701" s="110"/>
      <c r="N701" s="105" t="s">
        <v>78</v>
      </c>
      <c r="O701" s="105" t="str">
        <f t="shared" si="24"/>
        <v/>
      </c>
      <c r="P701" s="105"/>
      <c r="Q701" s="105" t="s">
        <v>77</v>
      </c>
      <c r="R701" s="105" t="s">
        <v>77</v>
      </c>
      <c r="S701" s="105"/>
      <c r="T701" s="105"/>
      <c r="U701" s="105"/>
      <c r="V701" s="105"/>
      <c r="W701" s="105" t="s">
        <v>80</v>
      </c>
      <c r="X701" s="105"/>
      <c r="Y701" s="105"/>
    </row>
    <row r="702" spans="1:25" s="99" customFormat="1" ht="26.25" customHeight="1">
      <c r="A702" s="100">
        <v>4443</v>
      </c>
      <c r="B702" s="101" t="s">
        <v>11</v>
      </c>
      <c r="C702" s="105" t="s">
        <v>52</v>
      </c>
      <c r="D702" s="105" t="s">
        <v>1453</v>
      </c>
      <c r="E702" s="105" t="s">
        <v>44</v>
      </c>
      <c r="F702" s="101" t="str">
        <f t="shared" si="23"/>
        <v>-</v>
      </c>
      <c r="G702" s="106" t="s">
        <v>53</v>
      </c>
      <c r="H702" s="105"/>
      <c r="I702" s="106" t="s">
        <v>1454</v>
      </c>
      <c r="J702" s="107" t="s">
        <v>54</v>
      </c>
      <c r="K702" s="108"/>
      <c r="L702" s="106"/>
      <c r="M702" s="110"/>
      <c r="N702" s="105" t="s">
        <v>78</v>
      </c>
      <c r="O702" s="105" t="str">
        <f t="shared" si="24"/>
        <v/>
      </c>
      <c r="P702" s="105"/>
      <c r="Q702" s="105" t="s">
        <v>77</v>
      </c>
      <c r="R702" s="105" t="s">
        <v>77</v>
      </c>
      <c r="S702" s="105"/>
      <c r="T702" s="105"/>
      <c r="U702" s="105"/>
      <c r="V702" s="105"/>
      <c r="W702" s="105" t="s">
        <v>80</v>
      </c>
      <c r="X702" s="105"/>
      <c r="Y702" s="105"/>
    </row>
    <row r="703" spans="1:25" s="99" customFormat="1" ht="26.25" customHeight="1">
      <c r="A703" s="100">
        <v>4444</v>
      </c>
      <c r="B703" s="101" t="s">
        <v>11</v>
      </c>
      <c r="C703" s="105" t="s">
        <v>52</v>
      </c>
      <c r="D703" s="105" t="s">
        <v>1455</v>
      </c>
      <c r="E703" s="105" t="s">
        <v>44</v>
      </c>
      <c r="F703" s="101" t="str">
        <f t="shared" si="23"/>
        <v>-</v>
      </c>
      <c r="G703" s="106" t="s">
        <v>53</v>
      </c>
      <c r="H703" s="105"/>
      <c r="I703" s="106" t="s">
        <v>1456</v>
      </c>
      <c r="J703" s="107" t="s">
        <v>54</v>
      </c>
      <c r="K703" s="108"/>
      <c r="L703" s="106"/>
      <c r="M703" s="110"/>
      <c r="N703" s="105" t="s">
        <v>78</v>
      </c>
      <c r="O703" s="105" t="str">
        <f t="shared" si="24"/>
        <v/>
      </c>
      <c r="P703" s="105"/>
      <c r="Q703" s="105" t="s">
        <v>77</v>
      </c>
      <c r="R703" s="105" t="s">
        <v>77</v>
      </c>
      <c r="S703" s="105"/>
      <c r="T703" s="105"/>
      <c r="U703" s="105"/>
      <c r="V703" s="105"/>
      <c r="W703" s="105" t="s">
        <v>80</v>
      </c>
      <c r="X703" s="105"/>
      <c r="Y703" s="105"/>
    </row>
    <row r="704" spans="1:25" s="99" customFormat="1" ht="26.25" customHeight="1">
      <c r="A704" s="100">
        <v>4445</v>
      </c>
      <c r="B704" s="101" t="s">
        <v>11</v>
      </c>
      <c r="C704" s="105" t="s">
        <v>52</v>
      </c>
      <c r="D704" s="105" t="s">
        <v>1457</v>
      </c>
      <c r="E704" s="105" t="s">
        <v>44</v>
      </c>
      <c r="F704" s="101" t="str">
        <f t="shared" si="23"/>
        <v>-</v>
      </c>
      <c r="G704" s="106" t="s">
        <v>53</v>
      </c>
      <c r="H704" s="105"/>
      <c r="I704" s="106" t="s">
        <v>1458</v>
      </c>
      <c r="J704" s="107" t="s">
        <v>54</v>
      </c>
      <c r="K704" s="108"/>
      <c r="L704" s="106"/>
      <c r="M704" s="110"/>
      <c r="N704" s="105" t="s">
        <v>78</v>
      </c>
      <c r="O704" s="105" t="str">
        <f t="shared" si="24"/>
        <v/>
      </c>
      <c r="P704" s="105"/>
      <c r="Q704" s="105" t="s">
        <v>77</v>
      </c>
      <c r="R704" s="105" t="s">
        <v>77</v>
      </c>
      <c r="S704" s="105"/>
      <c r="T704" s="105"/>
      <c r="U704" s="105"/>
      <c r="V704" s="105"/>
      <c r="W704" s="105" t="s">
        <v>80</v>
      </c>
      <c r="X704" s="105"/>
      <c r="Y704" s="105"/>
    </row>
    <row r="705" spans="1:25" s="99" customFormat="1" ht="26.25" customHeight="1">
      <c r="A705" s="100">
        <v>4446</v>
      </c>
      <c r="B705" s="101" t="s">
        <v>11</v>
      </c>
      <c r="C705" s="105" t="s">
        <v>52</v>
      </c>
      <c r="D705" s="105" t="s">
        <v>1459</v>
      </c>
      <c r="E705" s="105" t="s">
        <v>44</v>
      </c>
      <c r="F705" s="101" t="str">
        <f t="shared" si="23"/>
        <v>-</v>
      </c>
      <c r="G705" s="106" t="s">
        <v>53</v>
      </c>
      <c r="H705" s="105"/>
      <c r="I705" s="106" t="s">
        <v>1460</v>
      </c>
      <c r="J705" s="107" t="s">
        <v>54</v>
      </c>
      <c r="K705" s="108"/>
      <c r="L705" s="106"/>
      <c r="M705" s="110"/>
      <c r="N705" s="105" t="s">
        <v>78</v>
      </c>
      <c r="O705" s="105" t="str">
        <f t="shared" si="24"/>
        <v/>
      </c>
      <c r="P705" s="105"/>
      <c r="Q705" s="105" t="s">
        <v>77</v>
      </c>
      <c r="R705" s="105" t="s">
        <v>77</v>
      </c>
      <c r="S705" s="105"/>
      <c r="T705" s="105"/>
      <c r="U705" s="105"/>
      <c r="V705" s="105"/>
      <c r="W705" s="105" t="s">
        <v>80</v>
      </c>
      <c r="X705" s="105"/>
      <c r="Y705" s="105"/>
    </row>
    <row r="706" spans="1:25" s="99" customFormat="1" ht="26.25" customHeight="1">
      <c r="A706" s="100">
        <v>4447</v>
      </c>
      <c r="B706" s="101" t="s">
        <v>11</v>
      </c>
      <c r="C706" s="105" t="s">
        <v>52</v>
      </c>
      <c r="D706" s="105" t="s">
        <v>1461</v>
      </c>
      <c r="E706" s="105" t="s">
        <v>44</v>
      </c>
      <c r="F706" s="101" t="str">
        <f t="shared" si="23"/>
        <v>-</v>
      </c>
      <c r="G706" s="106" t="s">
        <v>53</v>
      </c>
      <c r="H706" s="105"/>
      <c r="I706" s="106" t="s">
        <v>1462</v>
      </c>
      <c r="J706" s="107" t="s">
        <v>54</v>
      </c>
      <c r="K706" s="108"/>
      <c r="L706" s="106"/>
      <c r="M706" s="110"/>
      <c r="N706" s="105" t="s">
        <v>78</v>
      </c>
      <c r="O706" s="105" t="str">
        <f t="shared" si="24"/>
        <v/>
      </c>
      <c r="P706" s="105"/>
      <c r="Q706" s="105" t="s">
        <v>77</v>
      </c>
      <c r="R706" s="105" t="s">
        <v>77</v>
      </c>
      <c r="S706" s="105"/>
      <c r="T706" s="105"/>
      <c r="U706" s="105"/>
      <c r="V706" s="105"/>
      <c r="W706" s="105" t="s">
        <v>80</v>
      </c>
      <c r="X706" s="105"/>
      <c r="Y706" s="105"/>
    </row>
    <row r="707" spans="1:25" s="99" customFormat="1" ht="26.25" customHeight="1">
      <c r="A707" s="100">
        <v>4448</v>
      </c>
      <c r="B707" s="101" t="s">
        <v>11</v>
      </c>
      <c r="C707" s="105" t="s">
        <v>52</v>
      </c>
      <c r="D707" s="105" t="s">
        <v>1463</v>
      </c>
      <c r="E707" s="105" t="s">
        <v>44</v>
      </c>
      <c r="F707" s="101" t="str">
        <f t="shared" si="23"/>
        <v>-</v>
      </c>
      <c r="G707" s="106" t="s">
        <v>53</v>
      </c>
      <c r="H707" s="105"/>
      <c r="I707" s="106" t="s">
        <v>1464</v>
      </c>
      <c r="J707" s="107" t="s">
        <v>54</v>
      </c>
      <c r="K707" s="108"/>
      <c r="L707" s="106"/>
      <c r="M707" s="110"/>
      <c r="N707" s="105" t="s">
        <v>78</v>
      </c>
      <c r="O707" s="105" t="str">
        <f t="shared" si="24"/>
        <v/>
      </c>
      <c r="P707" s="105"/>
      <c r="Q707" s="105" t="s">
        <v>77</v>
      </c>
      <c r="R707" s="105" t="s">
        <v>77</v>
      </c>
      <c r="S707" s="105"/>
      <c r="T707" s="105"/>
      <c r="U707" s="105"/>
      <c r="V707" s="105"/>
      <c r="W707" s="105" t="s">
        <v>80</v>
      </c>
      <c r="X707" s="105"/>
      <c r="Y707" s="105"/>
    </row>
    <row r="708" spans="1:25" s="99" customFormat="1" ht="26.25" customHeight="1">
      <c r="A708" s="100">
        <v>4449</v>
      </c>
      <c r="B708" s="101" t="s">
        <v>11</v>
      </c>
      <c r="C708" s="105" t="s">
        <v>52</v>
      </c>
      <c r="D708" s="105" t="s">
        <v>1465</v>
      </c>
      <c r="E708" s="105" t="s">
        <v>44</v>
      </c>
      <c r="F708" s="101" t="str">
        <f t="shared" si="23"/>
        <v>-</v>
      </c>
      <c r="G708" s="106" t="s">
        <v>53</v>
      </c>
      <c r="H708" s="105"/>
      <c r="I708" s="106" t="s">
        <v>1466</v>
      </c>
      <c r="J708" s="107" t="s">
        <v>54</v>
      </c>
      <c r="K708" s="108"/>
      <c r="L708" s="106"/>
      <c r="M708" s="110"/>
      <c r="N708" s="105" t="s">
        <v>78</v>
      </c>
      <c r="O708" s="105" t="str">
        <f t="shared" si="24"/>
        <v/>
      </c>
      <c r="P708" s="105"/>
      <c r="Q708" s="105" t="s">
        <v>77</v>
      </c>
      <c r="R708" s="105" t="s">
        <v>77</v>
      </c>
      <c r="S708" s="105"/>
      <c r="T708" s="105"/>
      <c r="U708" s="105"/>
      <c r="V708" s="105"/>
      <c r="W708" s="105" t="s">
        <v>80</v>
      </c>
      <c r="X708" s="105"/>
      <c r="Y708" s="105"/>
    </row>
    <row r="709" spans="1:25" s="99" customFormat="1" ht="26.25" customHeight="1">
      <c r="A709" s="100">
        <v>4450</v>
      </c>
      <c r="B709" s="101" t="s">
        <v>11</v>
      </c>
      <c r="C709" s="105" t="s">
        <v>52</v>
      </c>
      <c r="D709" s="105" t="s">
        <v>1467</v>
      </c>
      <c r="E709" s="105" t="s">
        <v>44</v>
      </c>
      <c r="F709" s="101" t="str">
        <f t="shared" si="23"/>
        <v>-</v>
      </c>
      <c r="G709" s="106" t="s">
        <v>53</v>
      </c>
      <c r="H709" s="105"/>
      <c r="I709" s="106" t="s">
        <v>1468</v>
      </c>
      <c r="J709" s="107" t="s">
        <v>54</v>
      </c>
      <c r="K709" s="108"/>
      <c r="L709" s="106"/>
      <c r="M709" s="110"/>
      <c r="N709" s="105" t="s">
        <v>78</v>
      </c>
      <c r="O709" s="105" t="str">
        <f t="shared" si="24"/>
        <v/>
      </c>
      <c r="P709" s="105"/>
      <c r="Q709" s="105" t="s">
        <v>77</v>
      </c>
      <c r="R709" s="105" t="s">
        <v>77</v>
      </c>
      <c r="S709" s="105"/>
      <c r="T709" s="105"/>
      <c r="U709" s="105"/>
      <c r="V709" s="105"/>
      <c r="W709" s="105" t="s">
        <v>80</v>
      </c>
      <c r="X709" s="105"/>
      <c r="Y709" s="105"/>
    </row>
    <row r="710" spans="1:25" s="99" customFormat="1" ht="26.25" customHeight="1">
      <c r="A710" s="100">
        <v>4451</v>
      </c>
      <c r="B710" s="101" t="s">
        <v>11</v>
      </c>
      <c r="C710" s="105" t="s">
        <v>52</v>
      </c>
      <c r="D710" s="105" t="s">
        <v>1469</v>
      </c>
      <c r="E710" s="105" t="s">
        <v>44</v>
      </c>
      <c r="F710" s="101" t="str">
        <f t="shared" si="23"/>
        <v>-</v>
      </c>
      <c r="G710" s="106" t="s">
        <v>53</v>
      </c>
      <c r="H710" s="105"/>
      <c r="I710" s="106" t="s">
        <v>1470</v>
      </c>
      <c r="J710" s="107" t="s">
        <v>54</v>
      </c>
      <c r="K710" s="108"/>
      <c r="L710" s="106"/>
      <c r="M710" s="110"/>
      <c r="N710" s="105" t="s">
        <v>78</v>
      </c>
      <c r="O710" s="105" t="str">
        <f t="shared" si="24"/>
        <v/>
      </c>
      <c r="P710" s="105"/>
      <c r="Q710" s="105" t="s">
        <v>77</v>
      </c>
      <c r="R710" s="105" t="s">
        <v>77</v>
      </c>
      <c r="S710" s="105"/>
      <c r="T710" s="105"/>
      <c r="U710" s="105"/>
      <c r="V710" s="105"/>
      <c r="W710" s="105" t="s">
        <v>80</v>
      </c>
      <c r="X710" s="105"/>
      <c r="Y710" s="105"/>
    </row>
    <row r="711" spans="1:25" s="99" customFormat="1" ht="26.25" customHeight="1">
      <c r="A711" s="100">
        <v>4452</v>
      </c>
      <c r="B711" s="101" t="s">
        <v>11</v>
      </c>
      <c r="C711" s="105" t="s">
        <v>52</v>
      </c>
      <c r="D711" s="105" t="s">
        <v>1471</v>
      </c>
      <c r="E711" s="105" t="s">
        <v>44</v>
      </c>
      <c r="F711" s="101" t="str">
        <f t="shared" si="23"/>
        <v>-</v>
      </c>
      <c r="G711" s="106" t="s">
        <v>53</v>
      </c>
      <c r="H711" s="105"/>
      <c r="I711" s="106" t="s">
        <v>1472</v>
      </c>
      <c r="J711" s="107" t="s">
        <v>54</v>
      </c>
      <c r="K711" s="108"/>
      <c r="L711" s="106"/>
      <c r="M711" s="110"/>
      <c r="N711" s="105" t="s">
        <v>78</v>
      </c>
      <c r="O711" s="105" t="str">
        <f t="shared" si="24"/>
        <v/>
      </c>
      <c r="P711" s="105"/>
      <c r="Q711" s="105" t="s">
        <v>77</v>
      </c>
      <c r="R711" s="105" t="s">
        <v>77</v>
      </c>
      <c r="S711" s="105"/>
      <c r="T711" s="105"/>
      <c r="U711" s="105"/>
      <c r="V711" s="105"/>
      <c r="W711" s="105" t="s">
        <v>80</v>
      </c>
      <c r="X711" s="105"/>
      <c r="Y711" s="105"/>
    </row>
    <row r="712" spans="1:25" s="99" customFormat="1" ht="26.25" customHeight="1">
      <c r="A712" s="100">
        <v>4453</v>
      </c>
      <c r="B712" s="101" t="s">
        <v>11</v>
      </c>
      <c r="C712" s="105" t="s">
        <v>52</v>
      </c>
      <c r="D712" s="105" t="s">
        <v>1473</v>
      </c>
      <c r="E712" s="105" t="s">
        <v>44</v>
      </c>
      <c r="F712" s="101" t="str">
        <f t="shared" si="23"/>
        <v>-</v>
      </c>
      <c r="G712" s="106" t="s">
        <v>53</v>
      </c>
      <c r="H712" s="105"/>
      <c r="I712" s="106" t="s">
        <v>1474</v>
      </c>
      <c r="J712" s="107" t="s">
        <v>54</v>
      </c>
      <c r="K712" s="108"/>
      <c r="L712" s="106"/>
      <c r="M712" s="110"/>
      <c r="N712" s="105" t="s">
        <v>78</v>
      </c>
      <c r="O712" s="105" t="str">
        <f t="shared" si="24"/>
        <v/>
      </c>
      <c r="P712" s="105"/>
      <c r="Q712" s="105" t="s">
        <v>77</v>
      </c>
      <c r="R712" s="105" t="s">
        <v>77</v>
      </c>
      <c r="S712" s="105"/>
      <c r="T712" s="105"/>
      <c r="U712" s="105"/>
      <c r="V712" s="105"/>
      <c r="W712" s="105" t="s">
        <v>80</v>
      </c>
      <c r="X712" s="105"/>
      <c r="Y712" s="105"/>
    </row>
    <row r="713" spans="1:25" s="99" customFormat="1" ht="26.25" customHeight="1">
      <c r="A713" s="100">
        <v>4454</v>
      </c>
      <c r="B713" s="101" t="s">
        <v>11</v>
      </c>
      <c r="C713" s="105" t="s">
        <v>52</v>
      </c>
      <c r="D713" s="105" t="s">
        <v>1475</v>
      </c>
      <c r="E713" s="105" t="s">
        <v>44</v>
      </c>
      <c r="F713" s="101" t="str">
        <f t="shared" si="23"/>
        <v>-</v>
      </c>
      <c r="G713" s="106" t="s">
        <v>53</v>
      </c>
      <c r="H713" s="105"/>
      <c r="I713" s="106" t="s">
        <v>1476</v>
      </c>
      <c r="J713" s="107" t="s">
        <v>54</v>
      </c>
      <c r="K713" s="108"/>
      <c r="L713" s="106"/>
      <c r="M713" s="110"/>
      <c r="N713" s="105" t="s">
        <v>78</v>
      </c>
      <c r="O713" s="105" t="str">
        <f t="shared" si="24"/>
        <v/>
      </c>
      <c r="P713" s="105"/>
      <c r="Q713" s="105" t="s">
        <v>77</v>
      </c>
      <c r="R713" s="105" t="s">
        <v>77</v>
      </c>
      <c r="S713" s="105"/>
      <c r="T713" s="105"/>
      <c r="U713" s="105"/>
      <c r="V713" s="105"/>
      <c r="W713" s="105" t="s">
        <v>80</v>
      </c>
      <c r="X713" s="105"/>
      <c r="Y713" s="105"/>
    </row>
    <row r="714" spans="1:25" s="99" customFormat="1" ht="26.25" customHeight="1">
      <c r="A714" s="100">
        <v>4455</v>
      </c>
      <c r="B714" s="101" t="s">
        <v>11</v>
      </c>
      <c r="C714" s="105" t="s">
        <v>52</v>
      </c>
      <c r="D714" s="105" t="s">
        <v>1477</v>
      </c>
      <c r="E714" s="105" t="s">
        <v>44</v>
      </c>
      <c r="F714" s="101" t="str">
        <f t="shared" si="23"/>
        <v>-</v>
      </c>
      <c r="G714" s="106" t="s">
        <v>53</v>
      </c>
      <c r="H714" s="105"/>
      <c r="I714" s="106" t="s">
        <v>1478</v>
      </c>
      <c r="J714" s="107" t="s">
        <v>54</v>
      </c>
      <c r="K714" s="108"/>
      <c r="L714" s="106"/>
      <c r="M714" s="110"/>
      <c r="N714" s="105" t="s">
        <v>78</v>
      </c>
      <c r="O714" s="105" t="str">
        <f t="shared" si="24"/>
        <v/>
      </c>
      <c r="P714" s="105"/>
      <c r="Q714" s="105" t="s">
        <v>77</v>
      </c>
      <c r="R714" s="105" t="s">
        <v>77</v>
      </c>
      <c r="S714" s="105"/>
      <c r="T714" s="105"/>
      <c r="U714" s="105"/>
      <c r="V714" s="105"/>
      <c r="W714" s="105" t="s">
        <v>80</v>
      </c>
      <c r="X714" s="105"/>
      <c r="Y714" s="105"/>
    </row>
    <row r="715" spans="1:25" s="99" customFormat="1" ht="26.25" customHeight="1">
      <c r="A715" s="100">
        <v>4456</v>
      </c>
      <c r="B715" s="101" t="s">
        <v>11</v>
      </c>
      <c r="C715" s="105" t="s">
        <v>52</v>
      </c>
      <c r="D715" s="105" t="s">
        <v>1479</v>
      </c>
      <c r="E715" s="105" t="s">
        <v>44</v>
      </c>
      <c r="F715" s="101" t="str">
        <f t="shared" si="23"/>
        <v>-</v>
      </c>
      <c r="G715" s="106" t="s">
        <v>53</v>
      </c>
      <c r="H715" s="105"/>
      <c r="I715" s="106" t="s">
        <v>1480</v>
      </c>
      <c r="J715" s="107" t="s">
        <v>54</v>
      </c>
      <c r="K715" s="108"/>
      <c r="L715" s="106"/>
      <c r="M715" s="110"/>
      <c r="N715" s="105" t="s">
        <v>78</v>
      </c>
      <c r="O715" s="105" t="str">
        <f t="shared" si="24"/>
        <v/>
      </c>
      <c r="P715" s="105"/>
      <c r="Q715" s="105" t="s">
        <v>77</v>
      </c>
      <c r="R715" s="105" t="s">
        <v>77</v>
      </c>
      <c r="S715" s="105"/>
      <c r="T715" s="105"/>
      <c r="U715" s="105"/>
      <c r="V715" s="105"/>
      <c r="W715" s="105" t="s">
        <v>80</v>
      </c>
      <c r="X715" s="105"/>
      <c r="Y715" s="105"/>
    </row>
    <row r="716" spans="1:25" s="99" customFormat="1" ht="26.25" customHeight="1">
      <c r="A716" s="100">
        <v>4457</v>
      </c>
      <c r="B716" s="101" t="s">
        <v>11</v>
      </c>
      <c r="C716" s="105" t="s">
        <v>52</v>
      </c>
      <c r="D716" s="105" t="s">
        <v>1481</v>
      </c>
      <c r="E716" s="105" t="s">
        <v>44</v>
      </c>
      <c r="F716" s="101" t="str">
        <f t="shared" si="23"/>
        <v>-</v>
      </c>
      <c r="G716" s="106" t="s">
        <v>53</v>
      </c>
      <c r="H716" s="105"/>
      <c r="I716" s="106" t="s">
        <v>1482</v>
      </c>
      <c r="J716" s="107" t="s">
        <v>54</v>
      </c>
      <c r="K716" s="108"/>
      <c r="L716" s="106"/>
      <c r="M716" s="110"/>
      <c r="N716" s="105" t="s">
        <v>78</v>
      </c>
      <c r="O716" s="105" t="str">
        <f t="shared" si="24"/>
        <v/>
      </c>
      <c r="P716" s="105"/>
      <c r="Q716" s="105" t="s">
        <v>77</v>
      </c>
      <c r="R716" s="105" t="s">
        <v>77</v>
      </c>
      <c r="S716" s="105"/>
      <c r="T716" s="105"/>
      <c r="U716" s="105"/>
      <c r="V716" s="105"/>
      <c r="W716" s="105" t="s">
        <v>80</v>
      </c>
      <c r="X716" s="105"/>
      <c r="Y716" s="105"/>
    </row>
    <row r="717" spans="1:25" s="99" customFormat="1" ht="26.25" customHeight="1">
      <c r="A717" s="100">
        <v>4458</v>
      </c>
      <c r="B717" s="101" t="s">
        <v>11</v>
      </c>
      <c r="C717" s="105" t="s">
        <v>52</v>
      </c>
      <c r="D717" s="105" t="s">
        <v>1483</v>
      </c>
      <c r="E717" s="105" t="s">
        <v>44</v>
      </c>
      <c r="F717" s="101" t="str">
        <f t="shared" si="23"/>
        <v>-</v>
      </c>
      <c r="G717" s="106" t="s">
        <v>53</v>
      </c>
      <c r="H717" s="105"/>
      <c r="I717" s="106" t="s">
        <v>1484</v>
      </c>
      <c r="J717" s="107" t="s">
        <v>54</v>
      </c>
      <c r="K717" s="108"/>
      <c r="L717" s="106"/>
      <c r="M717" s="110"/>
      <c r="N717" s="105" t="s">
        <v>78</v>
      </c>
      <c r="O717" s="105" t="str">
        <f t="shared" si="24"/>
        <v/>
      </c>
      <c r="P717" s="105"/>
      <c r="Q717" s="105" t="s">
        <v>77</v>
      </c>
      <c r="R717" s="105" t="s">
        <v>77</v>
      </c>
      <c r="S717" s="105"/>
      <c r="T717" s="105"/>
      <c r="U717" s="105"/>
      <c r="V717" s="105"/>
      <c r="W717" s="105" t="s">
        <v>80</v>
      </c>
      <c r="X717" s="105"/>
      <c r="Y717" s="105"/>
    </row>
    <row r="718" spans="1:25" s="99" customFormat="1" ht="26.25" customHeight="1">
      <c r="A718" s="100">
        <v>4459</v>
      </c>
      <c r="B718" s="101" t="s">
        <v>11</v>
      </c>
      <c r="C718" s="105" t="s">
        <v>52</v>
      </c>
      <c r="D718" s="105" t="s">
        <v>1485</v>
      </c>
      <c r="E718" s="105" t="s">
        <v>44</v>
      </c>
      <c r="F718" s="101" t="str">
        <f t="shared" si="23"/>
        <v>-</v>
      </c>
      <c r="G718" s="106" t="s">
        <v>53</v>
      </c>
      <c r="H718" s="105"/>
      <c r="I718" s="106" t="s">
        <v>1486</v>
      </c>
      <c r="J718" s="107" t="s">
        <v>54</v>
      </c>
      <c r="K718" s="108"/>
      <c r="L718" s="106"/>
      <c r="M718" s="110"/>
      <c r="N718" s="105" t="s">
        <v>78</v>
      </c>
      <c r="O718" s="105" t="str">
        <f t="shared" si="24"/>
        <v/>
      </c>
      <c r="P718" s="105"/>
      <c r="Q718" s="105" t="s">
        <v>77</v>
      </c>
      <c r="R718" s="105" t="s">
        <v>77</v>
      </c>
      <c r="S718" s="105"/>
      <c r="T718" s="105"/>
      <c r="U718" s="105"/>
      <c r="V718" s="105"/>
      <c r="W718" s="105" t="s">
        <v>80</v>
      </c>
      <c r="X718" s="105"/>
      <c r="Y718" s="105"/>
    </row>
    <row r="719" spans="1:25" s="99" customFormat="1" ht="26.25" customHeight="1">
      <c r="A719" s="100">
        <v>4460</v>
      </c>
      <c r="B719" s="101" t="s">
        <v>11</v>
      </c>
      <c r="C719" s="105" t="s">
        <v>52</v>
      </c>
      <c r="D719" s="105" t="s">
        <v>1487</v>
      </c>
      <c r="E719" s="105" t="s">
        <v>44</v>
      </c>
      <c r="F719" s="101" t="str">
        <f t="shared" si="23"/>
        <v>-</v>
      </c>
      <c r="G719" s="106" t="s">
        <v>53</v>
      </c>
      <c r="H719" s="105"/>
      <c r="I719" s="106" t="s">
        <v>1488</v>
      </c>
      <c r="J719" s="107" t="s">
        <v>54</v>
      </c>
      <c r="K719" s="108"/>
      <c r="L719" s="106"/>
      <c r="M719" s="110"/>
      <c r="N719" s="105" t="s">
        <v>78</v>
      </c>
      <c r="O719" s="105" t="str">
        <f t="shared" si="24"/>
        <v/>
      </c>
      <c r="P719" s="105"/>
      <c r="Q719" s="105" t="s">
        <v>77</v>
      </c>
      <c r="R719" s="105" t="s">
        <v>77</v>
      </c>
      <c r="S719" s="105"/>
      <c r="T719" s="105"/>
      <c r="U719" s="105"/>
      <c r="V719" s="105"/>
      <c r="W719" s="105" t="s">
        <v>80</v>
      </c>
      <c r="X719" s="105"/>
      <c r="Y719" s="105"/>
    </row>
    <row r="720" spans="1:25" s="99" customFormat="1" ht="26.25" customHeight="1">
      <c r="A720" s="100">
        <v>4461</v>
      </c>
      <c r="B720" s="101" t="s">
        <v>11</v>
      </c>
      <c r="C720" s="105" t="s">
        <v>52</v>
      </c>
      <c r="D720" s="105" t="s">
        <v>1489</v>
      </c>
      <c r="E720" s="105" t="s">
        <v>44</v>
      </c>
      <c r="F720" s="101" t="str">
        <f t="shared" si="23"/>
        <v>-</v>
      </c>
      <c r="G720" s="106" t="s">
        <v>53</v>
      </c>
      <c r="H720" s="105"/>
      <c r="I720" s="106" t="s">
        <v>1490</v>
      </c>
      <c r="J720" s="107" t="s">
        <v>54</v>
      </c>
      <c r="K720" s="108"/>
      <c r="L720" s="106"/>
      <c r="M720" s="110"/>
      <c r="N720" s="105" t="s">
        <v>78</v>
      </c>
      <c r="O720" s="105" t="str">
        <f t="shared" si="24"/>
        <v/>
      </c>
      <c r="P720" s="105"/>
      <c r="Q720" s="105" t="s">
        <v>77</v>
      </c>
      <c r="R720" s="105" t="s">
        <v>77</v>
      </c>
      <c r="S720" s="105"/>
      <c r="T720" s="105"/>
      <c r="U720" s="105"/>
      <c r="V720" s="105"/>
      <c r="W720" s="105" t="s">
        <v>80</v>
      </c>
      <c r="X720" s="105"/>
      <c r="Y720" s="105"/>
    </row>
    <row r="721" spans="1:25" s="99" customFormat="1" ht="26.25" customHeight="1">
      <c r="A721" s="100">
        <v>4462</v>
      </c>
      <c r="B721" s="101" t="s">
        <v>11</v>
      </c>
      <c r="C721" s="105" t="s">
        <v>52</v>
      </c>
      <c r="D721" s="105" t="s">
        <v>1491</v>
      </c>
      <c r="E721" s="105" t="s">
        <v>44</v>
      </c>
      <c r="F721" s="101" t="str">
        <f t="shared" si="23"/>
        <v>-</v>
      </c>
      <c r="G721" s="106" t="s">
        <v>53</v>
      </c>
      <c r="H721" s="105"/>
      <c r="I721" s="106" t="s">
        <v>1492</v>
      </c>
      <c r="J721" s="107" t="s">
        <v>54</v>
      </c>
      <c r="K721" s="108"/>
      <c r="L721" s="106"/>
      <c r="M721" s="110"/>
      <c r="N721" s="105" t="s">
        <v>78</v>
      </c>
      <c r="O721" s="105" t="str">
        <f t="shared" si="24"/>
        <v/>
      </c>
      <c r="P721" s="105"/>
      <c r="Q721" s="105" t="s">
        <v>77</v>
      </c>
      <c r="R721" s="105" t="s">
        <v>77</v>
      </c>
      <c r="S721" s="105"/>
      <c r="T721" s="105"/>
      <c r="U721" s="105"/>
      <c r="V721" s="105"/>
      <c r="W721" s="105" t="s">
        <v>80</v>
      </c>
      <c r="X721" s="105"/>
      <c r="Y721" s="105"/>
    </row>
    <row r="722" spans="1:25" s="99" customFormat="1" ht="26.25" customHeight="1">
      <c r="A722" s="100">
        <v>4463</v>
      </c>
      <c r="B722" s="101" t="s">
        <v>11</v>
      </c>
      <c r="C722" s="105" t="s">
        <v>52</v>
      </c>
      <c r="D722" s="105" t="s">
        <v>1493</v>
      </c>
      <c r="E722" s="105" t="s">
        <v>44</v>
      </c>
      <c r="F722" s="101" t="str">
        <f t="shared" si="23"/>
        <v>-</v>
      </c>
      <c r="G722" s="106" t="s">
        <v>53</v>
      </c>
      <c r="H722" s="105"/>
      <c r="I722" s="106" t="s">
        <v>1494</v>
      </c>
      <c r="J722" s="107" t="s">
        <v>54</v>
      </c>
      <c r="K722" s="108"/>
      <c r="L722" s="106"/>
      <c r="M722" s="110"/>
      <c r="N722" s="105" t="s">
        <v>78</v>
      </c>
      <c r="O722" s="105" t="str">
        <f t="shared" si="24"/>
        <v/>
      </c>
      <c r="P722" s="105"/>
      <c r="Q722" s="105" t="s">
        <v>77</v>
      </c>
      <c r="R722" s="105" t="s">
        <v>77</v>
      </c>
      <c r="S722" s="105"/>
      <c r="T722" s="105"/>
      <c r="U722" s="105"/>
      <c r="V722" s="105"/>
      <c r="W722" s="105" t="s">
        <v>80</v>
      </c>
      <c r="X722" s="105"/>
      <c r="Y722" s="105"/>
    </row>
    <row r="723" spans="1:25" s="99" customFormat="1" ht="26.25" customHeight="1">
      <c r="A723" s="100">
        <v>4464</v>
      </c>
      <c r="B723" s="101" t="s">
        <v>11</v>
      </c>
      <c r="C723" s="105" t="s">
        <v>52</v>
      </c>
      <c r="D723" s="105" t="s">
        <v>1495</v>
      </c>
      <c r="E723" s="105" t="s">
        <v>44</v>
      </c>
      <c r="F723" s="101" t="str">
        <f t="shared" si="23"/>
        <v>-</v>
      </c>
      <c r="G723" s="106" t="s">
        <v>53</v>
      </c>
      <c r="H723" s="105"/>
      <c r="I723" s="106" t="s">
        <v>1496</v>
      </c>
      <c r="J723" s="107" t="s">
        <v>54</v>
      </c>
      <c r="K723" s="108"/>
      <c r="L723" s="106"/>
      <c r="M723" s="110"/>
      <c r="N723" s="105" t="s">
        <v>78</v>
      </c>
      <c r="O723" s="105" t="str">
        <f t="shared" si="24"/>
        <v/>
      </c>
      <c r="P723" s="105"/>
      <c r="Q723" s="105" t="s">
        <v>77</v>
      </c>
      <c r="R723" s="105" t="s">
        <v>77</v>
      </c>
      <c r="S723" s="105"/>
      <c r="T723" s="105"/>
      <c r="U723" s="105"/>
      <c r="V723" s="105"/>
      <c r="W723" s="105" t="s">
        <v>80</v>
      </c>
      <c r="X723" s="105"/>
      <c r="Y723" s="105"/>
    </row>
    <row r="724" spans="1:25" s="99" customFormat="1" ht="26.25" customHeight="1">
      <c r="A724" s="100">
        <v>4465</v>
      </c>
      <c r="B724" s="101" t="s">
        <v>11</v>
      </c>
      <c r="C724" s="105" t="s">
        <v>52</v>
      </c>
      <c r="D724" s="105" t="s">
        <v>1497</v>
      </c>
      <c r="E724" s="105" t="s">
        <v>44</v>
      </c>
      <c r="F724" s="101" t="str">
        <f t="shared" si="23"/>
        <v>-</v>
      </c>
      <c r="G724" s="106" t="s">
        <v>53</v>
      </c>
      <c r="H724" s="105"/>
      <c r="I724" s="106" t="s">
        <v>1498</v>
      </c>
      <c r="J724" s="107" t="s">
        <v>54</v>
      </c>
      <c r="K724" s="108"/>
      <c r="L724" s="106"/>
      <c r="M724" s="110"/>
      <c r="N724" s="105" t="s">
        <v>78</v>
      </c>
      <c r="O724" s="105" t="str">
        <f t="shared" si="24"/>
        <v/>
      </c>
      <c r="P724" s="105"/>
      <c r="Q724" s="105" t="s">
        <v>77</v>
      </c>
      <c r="R724" s="105" t="s">
        <v>77</v>
      </c>
      <c r="S724" s="105"/>
      <c r="T724" s="105"/>
      <c r="U724" s="105"/>
      <c r="V724" s="105"/>
      <c r="W724" s="105" t="s">
        <v>80</v>
      </c>
      <c r="X724" s="105"/>
      <c r="Y724" s="105"/>
    </row>
    <row r="725" spans="1:25" s="99" customFormat="1" ht="26.25" customHeight="1">
      <c r="A725" s="100">
        <v>4466</v>
      </c>
      <c r="B725" s="101" t="s">
        <v>11</v>
      </c>
      <c r="C725" s="105" t="s">
        <v>52</v>
      </c>
      <c r="D725" s="105" t="s">
        <v>1499</v>
      </c>
      <c r="E725" s="105" t="s">
        <v>44</v>
      </c>
      <c r="F725" s="101" t="str">
        <f t="shared" si="23"/>
        <v>-</v>
      </c>
      <c r="G725" s="106" t="s">
        <v>53</v>
      </c>
      <c r="H725" s="105"/>
      <c r="I725" s="106" t="s">
        <v>1500</v>
      </c>
      <c r="J725" s="107" t="s">
        <v>54</v>
      </c>
      <c r="K725" s="108"/>
      <c r="L725" s="106"/>
      <c r="M725" s="110"/>
      <c r="N725" s="105" t="s">
        <v>78</v>
      </c>
      <c r="O725" s="105" t="str">
        <f t="shared" si="24"/>
        <v/>
      </c>
      <c r="P725" s="105"/>
      <c r="Q725" s="105" t="s">
        <v>77</v>
      </c>
      <c r="R725" s="105" t="s">
        <v>77</v>
      </c>
      <c r="S725" s="105"/>
      <c r="T725" s="105"/>
      <c r="U725" s="105"/>
      <c r="V725" s="105"/>
      <c r="W725" s="105" t="s">
        <v>80</v>
      </c>
      <c r="X725" s="105"/>
      <c r="Y725" s="105"/>
    </row>
    <row r="726" spans="1:25" s="99" customFormat="1" ht="26.25" customHeight="1">
      <c r="A726" s="100">
        <v>4467</v>
      </c>
      <c r="B726" s="101" t="s">
        <v>11</v>
      </c>
      <c r="C726" s="105" t="s">
        <v>52</v>
      </c>
      <c r="D726" s="105" t="s">
        <v>1501</v>
      </c>
      <c r="E726" s="105" t="s">
        <v>44</v>
      </c>
      <c r="F726" s="101" t="str">
        <f t="shared" ref="F726:F789" si="25">IF(B726&lt;&gt;"","-","")</f>
        <v>-</v>
      </c>
      <c r="G726" s="106" t="s">
        <v>53</v>
      </c>
      <c r="H726" s="105"/>
      <c r="I726" s="106" t="s">
        <v>1502</v>
      </c>
      <c r="J726" s="107" t="s">
        <v>54</v>
      </c>
      <c r="K726" s="108"/>
      <c r="L726" s="106"/>
      <c r="M726" s="110"/>
      <c r="N726" s="105" t="s">
        <v>78</v>
      </c>
      <c r="O726" s="105" t="str">
        <f t="shared" ref="O726:O789" si="26">IF(OR(R726&lt;&gt;"",Q726&lt;&gt;""),"X","")</f>
        <v/>
      </c>
      <c r="P726" s="105"/>
      <c r="Q726" s="105" t="s">
        <v>77</v>
      </c>
      <c r="R726" s="105" t="s">
        <v>77</v>
      </c>
      <c r="S726" s="105"/>
      <c r="T726" s="105"/>
      <c r="U726" s="105"/>
      <c r="V726" s="105"/>
      <c r="W726" s="105" t="s">
        <v>80</v>
      </c>
      <c r="X726" s="105"/>
      <c r="Y726" s="105"/>
    </row>
    <row r="727" spans="1:25" s="99" customFormat="1" ht="26.25" customHeight="1">
      <c r="A727" s="100">
        <v>4468</v>
      </c>
      <c r="B727" s="101" t="s">
        <v>11</v>
      </c>
      <c r="C727" s="105" t="s">
        <v>52</v>
      </c>
      <c r="D727" s="105" t="s">
        <v>1503</v>
      </c>
      <c r="E727" s="105" t="s">
        <v>44</v>
      </c>
      <c r="F727" s="101" t="str">
        <f t="shared" si="25"/>
        <v>-</v>
      </c>
      <c r="G727" s="106" t="s">
        <v>53</v>
      </c>
      <c r="H727" s="105"/>
      <c r="I727" s="106" t="s">
        <v>1504</v>
      </c>
      <c r="J727" s="107" t="s">
        <v>54</v>
      </c>
      <c r="K727" s="108"/>
      <c r="L727" s="106"/>
      <c r="M727" s="110"/>
      <c r="N727" s="105" t="s">
        <v>78</v>
      </c>
      <c r="O727" s="105" t="str">
        <f t="shared" si="26"/>
        <v/>
      </c>
      <c r="P727" s="105"/>
      <c r="Q727" s="105" t="s">
        <v>77</v>
      </c>
      <c r="R727" s="105" t="s">
        <v>77</v>
      </c>
      <c r="S727" s="105"/>
      <c r="T727" s="105"/>
      <c r="U727" s="105"/>
      <c r="V727" s="105"/>
      <c r="W727" s="105" t="s">
        <v>80</v>
      </c>
      <c r="X727" s="105"/>
      <c r="Y727" s="105"/>
    </row>
    <row r="728" spans="1:25" s="99" customFormat="1" ht="26.25" customHeight="1">
      <c r="A728" s="100">
        <v>4469</v>
      </c>
      <c r="B728" s="101" t="s">
        <v>11</v>
      </c>
      <c r="C728" s="105" t="s">
        <v>52</v>
      </c>
      <c r="D728" s="105" t="s">
        <v>1505</v>
      </c>
      <c r="E728" s="105" t="s">
        <v>44</v>
      </c>
      <c r="F728" s="101" t="str">
        <f t="shared" si="25"/>
        <v>-</v>
      </c>
      <c r="G728" s="106" t="s">
        <v>53</v>
      </c>
      <c r="H728" s="105"/>
      <c r="I728" s="106" t="s">
        <v>1506</v>
      </c>
      <c r="J728" s="107" t="s">
        <v>54</v>
      </c>
      <c r="K728" s="108"/>
      <c r="L728" s="106"/>
      <c r="M728" s="110"/>
      <c r="N728" s="105" t="s">
        <v>78</v>
      </c>
      <c r="O728" s="105" t="str">
        <f t="shared" si="26"/>
        <v/>
      </c>
      <c r="P728" s="105"/>
      <c r="Q728" s="105" t="s">
        <v>77</v>
      </c>
      <c r="R728" s="105" t="s">
        <v>77</v>
      </c>
      <c r="S728" s="105"/>
      <c r="T728" s="105"/>
      <c r="U728" s="105"/>
      <c r="V728" s="105"/>
      <c r="W728" s="105" t="s">
        <v>80</v>
      </c>
      <c r="X728" s="105"/>
      <c r="Y728" s="105"/>
    </row>
    <row r="729" spans="1:25" s="99" customFormat="1" ht="26.25" customHeight="1">
      <c r="A729" s="100">
        <v>4470</v>
      </c>
      <c r="B729" s="101" t="s">
        <v>11</v>
      </c>
      <c r="C729" s="105" t="s">
        <v>52</v>
      </c>
      <c r="D729" s="105" t="s">
        <v>1507</v>
      </c>
      <c r="E729" s="105" t="s">
        <v>44</v>
      </c>
      <c r="F729" s="101" t="str">
        <f t="shared" si="25"/>
        <v>-</v>
      </c>
      <c r="G729" s="106" t="s">
        <v>53</v>
      </c>
      <c r="H729" s="105"/>
      <c r="I729" s="106" t="s">
        <v>1508</v>
      </c>
      <c r="J729" s="107" t="s">
        <v>54</v>
      </c>
      <c r="K729" s="108"/>
      <c r="L729" s="106"/>
      <c r="M729" s="110"/>
      <c r="N729" s="105" t="s">
        <v>78</v>
      </c>
      <c r="O729" s="105" t="str">
        <f t="shared" si="26"/>
        <v/>
      </c>
      <c r="P729" s="105"/>
      <c r="Q729" s="105" t="s">
        <v>77</v>
      </c>
      <c r="R729" s="105" t="s">
        <v>77</v>
      </c>
      <c r="S729" s="105"/>
      <c r="T729" s="105"/>
      <c r="U729" s="105"/>
      <c r="V729" s="105"/>
      <c r="W729" s="105" t="s">
        <v>80</v>
      </c>
      <c r="X729" s="105"/>
      <c r="Y729" s="105"/>
    </row>
    <row r="730" spans="1:25" s="99" customFormat="1" ht="26.25" customHeight="1">
      <c r="A730" s="100">
        <v>4471</v>
      </c>
      <c r="B730" s="101" t="s">
        <v>11</v>
      </c>
      <c r="C730" s="105" t="s">
        <v>52</v>
      </c>
      <c r="D730" s="105" t="s">
        <v>1509</v>
      </c>
      <c r="E730" s="105" t="s">
        <v>44</v>
      </c>
      <c r="F730" s="101" t="str">
        <f t="shared" si="25"/>
        <v>-</v>
      </c>
      <c r="G730" s="106" t="s">
        <v>53</v>
      </c>
      <c r="H730" s="105"/>
      <c r="I730" s="106" t="s">
        <v>1510</v>
      </c>
      <c r="J730" s="107" t="s">
        <v>54</v>
      </c>
      <c r="K730" s="108"/>
      <c r="L730" s="106"/>
      <c r="M730" s="110"/>
      <c r="N730" s="105" t="s">
        <v>78</v>
      </c>
      <c r="O730" s="105" t="str">
        <f t="shared" si="26"/>
        <v/>
      </c>
      <c r="P730" s="105"/>
      <c r="Q730" s="105" t="s">
        <v>77</v>
      </c>
      <c r="R730" s="105" t="s">
        <v>77</v>
      </c>
      <c r="S730" s="105"/>
      <c r="T730" s="105"/>
      <c r="U730" s="105"/>
      <c r="V730" s="105"/>
      <c r="W730" s="105" t="s">
        <v>80</v>
      </c>
      <c r="X730" s="105"/>
      <c r="Y730" s="105"/>
    </row>
    <row r="731" spans="1:25" s="99" customFormat="1" ht="26.25" customHeight="1">
      <c r="A731" s="100">
        <v>4472</v>
      </c>
      <c r="B731" s="101" t="s">
        <v>11</v>
      </c>
      <c r="C731" s="105" t="s">
        <v>52</v>
      </c>
      <c r="D731" s="105" t="s">
        <v>1511</v>
      </c>
      <c r="E731" s="105" t="s">
        <v>44</v>
      </c>
      <c r="F731" s="101" t="str">
        <f t="shared" si="25"/>
        <v>-</v>
      </c>
      <c r="G731" s="106" t="s">
        <v>53</v>
      </c>
      <c r="H731" s="105"/>
      <c r="I731" s="106" t="s">
        <v>1512</v>
      </c>
      <c r="J731" s="107" t="s">
        <v>54</v>
      </c>
      <c r="K731" s="108"/>
      <c r="L731" s="106"/>
      <c r="M731" s="110"/>
      <c r="N731" s="105" t="s">
        <v>78</v>
      </c>
      <c r="O731" s="105" t="str">
        <f t="shared" si="26"/>
        <v/>
      </c>
      <c r="P731" s="105"/>
      <c r="Q731" s="105" t="s">
        <v>77</v>
      </c>
      <c r="R731" s="105" t="s">
        <v>77</v>
      </c>
      <c r="S731" s="105"/>
      <c r="T731" s="105"/>
      <c r="U731" s="105"/>
      <c r="V731" s="105"/>
      <c r="W731" s="105" t="s">
        <v>80</v>
      </c>
      <c r="X731" s="105"/>
      <c r="Y731" s="105"/>
    </row>
    <row r="732" spans="1:25" s="99" customFormat="1" ht="26.25" customHeight="1">
      <c r="A732" s="100">
        <v>4473</v>
      </c>
      <c r="B732" s="101" t="s">
        <v>11</v>
      </c>
      <c r="C732" s="105" t="s">
        <v>52</v>
      </c>
      <c r="D732" s="105" t="s">
        <v>1513</v>
      </c>
      <c r="E732" s="105" t="s">
        <v>44</v>
      </c>
      <c r="F732" s="101" t="str">
        <f t="shared" si="25"/>
        <v>-</v>
      </c>
      <c r="G732" s="106" t="s">
        <v>53</v>
      </c>
      <c r="H732" s="105"/>
      <c r="I732" s="106" t="s">
        <v>1514</v>
      </c>
      <c r="J732" s="107" t="s">
        <v>54</v>
      </c>
      <c r="K732" s="108"/>
      <c r="L732" s="106"/>
      <c r="M732" s="110"/>
      <c r="N732" s="105" t="s">
        <v>78</v>
      </c>
      <c r="O732" s="105" t="str">
        <f t="shared" si="26"/>
        <v/>
      </c>
      <c r="P732" s="105"/>
      <c r="Q732" s="105" t="s">
        <v>77</v>
      </c>
      <c r="R732" s="105" t="s">
        <v>77</v>
      </c>
      <c r="S732" s="105"/>
      <c r="T732" s="105"/>
      <c r="U732" s="105"/>
      <c r="V732" s="105"/>
      <c r="W732" s="105" t="s">
        <v>80</v>
      </c>
      <c r="X732" s="105"/>
      <c r="Y732" s="105"/>
    </row>
    <row r="733" spans="1:25" s="99" customFormat="1" ht="26.25" customHeight="1">
      <c r="A733" s="100">
        <v>4474</v>
      </c>
      <c r="B733" s="101" t="s">
        <v>11</v>
      </c>
      <c r="C733" s="105" t="s">
        <v>52</v>
      </c>
      <c r="D733" s="105" t="s">
        <v>1515</v>
      </c>
      <c r="E733" s="105" t="s">
        <v>44</v>
      </c>
      <c r="F733" s="101" t="str">
        <f t="shared" si="25"/>
        <v>-</v>
      </c>
      <c r="G733" s="106" t="s">
        <v>53</v>
      </c>
      <c r="H733" s="105"/>
      <c r="I733" s="106" t="s">
        <v>1516</v>
      </c>
      <c r="J733" s="107" t="s">
        <v>54</v>
      </c>
      <c r="K733" s="108"/>
      <c r="L733" s="106"/>
      <c r="M733" s="110"/>
      <c r="N733" s="105" t="s">
        <v>78</v>
      </c>
      <c r="O733" s="105" t="str">
        <f t="shared" si="26"/>
        <v/>
      </c>
      <c r="P733" s="105"/>
      <c r="Q733" s="105" t="s">
        <v>77</v>
      </c>
      <c r="R733" s="105" t="s">
        <v>77</v>
      </c>
      <c r="S733" s="105"/>
      <c r="T733" s="105"/>
      <c r="U733" s="105"/>
      <c r="V733" s="105"/>
      <c r="W733" s="105" t="s">
        <v>80</v>
      </c>
      <c r="X733" s="105"/>
      <c r="Y733" s="105"/>
    </row>
    <row r="734" spans="1:25" s="99" customFormat="1" ht="26.25" customHeight="1">
      <c r="A734" s="100">
        <v>4475</v>
      </c>
      <c r="B734" s="101" t="s">
        <v>11</v>
      </c>
      <c r="C734" s="105" t="s">
        <v>52</v>
      </c>
      <c r="D734" s="105" t="s">
        <v>1517</v>
      </c>
      <c r="E734" s="105" t="s">
        <v>44</v>
      </c>
      <c r="F734" s="101" t="str">
        <f t="shared" si="25"/>
        <v>-</v>
      </c>
      <c r="G734" s="106" t="s">
        <v>53</v>
      </c>
      <c r="H734" s="105"/>
      <c r="I734" s="106" t="s">
        <v>1518</v>
      </c>
      <c r="J734" s="107" t="s">
        <v>54</v>
      </c>
      <c r="K734" s="108"/>
      <c r="L734" s="106"/>
      <c r="M734" s="110"/>
      <c r="N734" s="105" t="s">
        <v>78</v>
      </c>
      <c r="O734" s="105" t="str">
        <f t="shared" si="26"/>
        <v/>
      </c>
      <c r="P734" s="105"/>
      <c r="Q734" s="105" t="s">
        <v>77</v>
      </c>
      <c r="R734" s="105" t="s">
        <v>77</v>
      </c>
      <c r="S734" s="105"/>
      <c r="T734" s="105"/>
      <c r="U734" s="105"/>
      <c r="V734" s="105"/>
      <c r="W734" s="105" t="s">
        <v>80</v>
      </c>
      <c r="X734" s="105"/>
      <c r="Y734" s="105"/>
    </row>
    <row r="735" spans="1:25" s="99" customFormat="1" ht="26.25" customHeight="1">
      <c r="A735" s="100">
        <v>4476</v>
      </c>
      <c r="B735" s="101" t="s">
        <v>11</v>
      </c>
      <c r="C735" s="105" t="s">
        <v>52</v>
      </c>
      <c r="D735" s="105" t="s">
        <v>1519</v>
      </c>
      <c r="E735" s="105" t="s">
        <v>44</v>
      </c>
      <c r="F735" s="101" t="str">
        <f t="shared" si="25"/>
        <v>-</v>
      </c>
      <c r="G735" s="106" t="s">
        <v>53</v>
      </c>
      <c r="H735" s="105"/>
      <c r="I735" s="106" t="s">
        <v>1520</v>
      </c>
      <c r="J735" s="107" t="s">
        <v>54</v>
      </c>
      <c r="K735" s="108"/>
      <c r="L735" s="106"/>
      <c r="M735" s="110"/>
      <c r="N735" s="105" t="s">
        <v>78</v>
      </c>
      <c r="O735" s="105" t="str">
        <f t="shared" si="26"/>
        <v/>
      </c>
      <c r="P735" s="105"/>
      <c r="Q735" s="105" t="s">
        <v>77</v>
      </c>
      <c r="R735" s="105" t="s">
        <v>77</v>
      </c>
      <c r="S735" s="105"/>
      <c r="T735" s="105"/>
      <c r="U735" s="105"/>
      <c r="V735" s="105"/>
      <c r="W735" s="105" t="s">
        <v>80</v>
      </c>
      <c r="X735" s="105"/>
      <c r="Y735" s="105"/>
    </row>
    <row r="736" spans="1:25" s="99" customFormat="1" ht="26.25" customHeight="1">
      <c r="A736" s="100">
        <v>4477</v>
      </c>
      <c r="B736" s="101" t="s">
        <v>11</v>
      </c>
      <c r="C736" s="105" t="s">
        <v>52</v>
      </c>
      <c r="D736" s="105" t="s">
        <v>1521</v>
      </c>
      <c r="E736" s="105" t="s">
        <v>44</v>
      </c>
      <c r="F736" s="101" t="str">
        <f t="shared" si="25"/>
        <v>-</v>
      </c>
      <c r="G736" s="106" t="s">
        <v>53</v>
      </c>
      <c r="H736" s="105"/>
      <c r="I736" s="106" t="s">
        <v>1522</v>
      </c>
      <c r="J736" s="107" t="s">
        <v>54</v>
      </c>
      <c r="K736" s="108"/>
      <c r="L736" s="106"/>
      <c r="M736" s="110"/>
      <c r="N736" s="105" t="s">
        <v>78</v>
      </c>
      <c r="O736" s="105" t="str">
        <f t="shared" si="26"/>
        <v/>
      </c>
      <c r="P736" s="105"/>
      <c r="Q736" s="105" t="s">
        <v>77</v>
      </c>
      <c r="R736" s="105" t="s">
        <v>77</v>
      </c>
      <c r="S736" s="105"/>
      <c r="T736" s="105"/>
      <c r="U736" s="105"/>
      <c r="V736" s="105"/>
      <c r="W736" s="105" t="s">
        <v>80</v>
      </c>
      <c r="X736" s="105"/>
      <c r="Y736" s="105"/>
    </row>
    <row r="737" spans="1:25" s="99" customFormat="1" ht="26.25" customHeight="1">
      <c r="A737" s="100">
        <v>4478</v>
      </c>
      <c r="B737" s="101" t="s">
        <v>11</v>
      </c>
      <c r="C737" s="105" t="s">
        <v>52</v>
      </c>
      <c r="D737" s="105" t="s">
        <v>1523</v>
      </c>
      <c r="E737" s="105" t="s">
        <v>44</v>
      </c>
      <c r="F737" s="101" t="str">
        <f t="shared" si="25"/>
        <v>-</v>
      </c>
      <c r="G737" s="106" t="s">
        <v>53</v>
      </c>
      <c r="H737" s="105"/>
      <c r="I737" s="106" t="s">
        <v>1524</v>
      </c>
      <c r="J737" s="107" t="s">
        <v>54</v>
      </c>
      <c r="K737" s="108"/>
      <c r="L737" s="106"/>
      <c r="M737" s="110"/>
      <c r="N737" s="105" t="s">
        <v>78</v>
      </c>
      <c r="O737" s="105" t="str">
        <f t="shared" si="26"/>
        <v/>
      </c>
      <c r="P737" s="105"/>
      <c r="Q737" s="105" t="s">
        <v>77</v>
      </c>
      <c r="R737" s="105" t="s">
        <v>77</v>
      </c>
      <c r="S737" s="105"/>
      <c r="T737" s="105"/>
      <c r="U737" s="105"/>
      <c r="V737" s="105"/>
      <c r="W737" s="105" t="s">
        <v>80</v>
      </c>
      <c r="X737" s="105"/>
      <c r="Y737" s="105"/>
    </row>
    <row r="738" spans="1:25" s="99" customFormat="1" ht="26.25" customHeight="1">
      <c r="A738" s="100">
        <v>4479</v>
      </c>
      <c r="B738" s="101" t="s">
        <v>11</v>
      </c>
      <c r="C738" s="105" t="s">
        <v>52</v>
      </c>
      <c r="D738" s="105" t="s">
        <v>1525</v>
      </c>
      <c r="E738" s="105" t="s">
        <v>44</v>
      </c>
      <c r="F738" s="101" t="str">
        <f t="shared" si="25"/>
        <v>-</v>
      </c>
      <c r="G738" s="106" t="s">
        <v>53</v>
      </c>
      <c r="H738" s="105"/>
      <c r="I738" s="106" t="s">
        <v>1526</v>
      </c>
      <c r="J738" s="107" t="s">
        <v>54</v>
      </c>
      <c r="K738" s="108"/>
      <c r="L738" s="106"/>
      <c r="M738" s="110"/>
      <c r="N738" s="105" t="s">
        <v>78</v>
      </c>
      <c r="O738" s="105" t="str">
        <f t="shared" si="26"/>
        <v/>
      </c>
      <c r="P738" s="105"/>
      <c r="Q738" s="105" t="s">
        <v>77</v>
      </c>
      <c r="R738" s="105" t="s">
        <v>77</v>
      </c>
      <c r="S738" s="105"/>
      <c r="T738" s="105"/>
      <c r="U738" s="105"/>
      <c r="V738" s="105"/>
      <c r="W738" s="105" t="s">
        <v>80</v>
      </c>
      <c r="X738" s="105"/>
      <c r="Y738" s="105"/>
    </row>
    <row r="739" spans="1:25" s="99" customFormat="1" ht="26.25" customHeight="1">
      <c r="A739" s="100">
        <v>4480</v>
      </c>
      <c r="B739" s="101" t="s">
        <v>11</v>
      </c>
      <c r="C739" s="105" t="s">
        <v>52</v>
      </c>
      <c r="D739" s="105" t="s">
        <v>1527</v>
      </c>
      <c r="E739" s="105" t="s">
        <v>44</v>
      </c>
      <c r="F739" s="101" t="str">
        <f t="shared" si="25"/>
        <v>-</v>
      </c>
      <c r="G739" s="106" t="s">
        <v>53</v>
      </c>
      <c r="H739" s="105"/>
      <c r="I739" s="106" t="s">
        <v>1528</v>
      </c>
      <c r="J739" s="107" t="s">
        <v>54</v>
      </c>
      <c r="K739" s="108"/>
      <c r="L739" s="106"/>
      <c r="M739" s="110"/>
      <c r="N739" s="105" t="s">
        <v>78</v>
      </c>
      <c r="O739" s="105" t="str">
        <f t="shared" si="26"/>
        <v/>
      </c>
      <c r="P739" s="105"/>
      <c r="Q739" s="105" t="s">
        <v>77</v>
      </c>
      <c r="R739" s="105" t="s">
        <v>77</v>
      </c>
      <c r="S739" s="105"/>
      <c r="T739" s="105"/>
      <c r="U739" s="105"/>
      <c r="V739" s="105"/>
      <c r="W739" s="105" t="s">
        <v>80</v>
      </c>
      <c r="X739" s="105"/>
      <c r="Y739" s="105"/>
    </row>
    <row r="740" spans="1:25" s="99" customFormat="1" ht="26.25" customHeight="1">
      <c r="A740" s="100">
        <v>4481</v>
      </c>
      <c r="B740" s="101" t="s">
        <v>11</v>
      </c>
      <c r="C740" s="105" t="s">
        <v>52</v>
      </c>
      <c r="D740" s="105" t="s">
        <v>1529</v>
      </c>
      <c r="E740" s="105" t="s">
        <v>44</v>
      </c>
      <c r="F740" s="101" t="str">
        <f t="shared" si="25"/>
        <v>-</v>
      </c>
      <c r="G740" s="106" t="s">
        <v>53</v>
      </c>
      <c r="H740" s="105"/>
      <c r="I740" s="106" t="s">
        <v>1530</v>
      </c>
      <c r="J740" s="107" t="s">
        <v>54</v>
      </c>
      <c r="K740" s="108"/>
      <c r="L740" s="106"/>
      <c r="M740" s="110"/>
      <c r="N740" s="105" t="s">
        <v>78</v>
      </c>
      <c r="O740" s="105" t="str">
        <f t="shared" si="26"/>
        <v/>
      </c>
      <c r="P740" s="105"/>
      <c r="Q740" s="105" t="s">
        <v>77</v>
      </c>
      <c r="R740" s="105" t="s">
        <v>77</v>
      </c>
      <c r="S740" s="105"/>
      <c r="T740" s="105"/>
      <c r="U740" s="105"/>
      <c r="V740" s="105"/>
      <c r="W740" s="105" t="s">
        <v>80</v>
      </c>
      <c r="X740" s="105"/>
      <c r="Y740" s="105"/>
    </row>
    <row r="741" spans="1:25" s="99" customFormat="1" ht="26.25" customHeight="1">
      <c r="A741" s="100">
        <v>4482</v>
      </c>
      <c r="B741" s="101" t="s">
        <v>11</v>
      </c>
      <c r="C741" s="105" t="s">
        <v>52</v>
      </c>
      <c r="D741" s="105" t="s">
        <v>1531</v>
      </c>
      <c r="E741" s="105" t="s">
        <v>44</v>
      </c>
      <c r="F741" s="101" t="str">
        <f t="shared" si="25"/>
        <v>-</v>
      </c>
      <c r="G741" s="106" t="s">
        <v>53</v>
      </c>
      <c r="H741" s="105"/>
      <c r="I741" s="106" t="s">
        <v>1532</v>
      </c>
      <c r="J741" s="107" t="s">
        <v>54</v>
      </c>
      <c r="K741" s="108"/>
      <c r="L741" s="106"/>
      <c r="M741" s="110"/>
      <c r="N741" s="105" t="s">
        <v>78</v>
      </c>
      <c r="O741" s="105" t="str">
        <f t="shared" si="26"/>
        <v/>
      </c>
      <c r="P741" s="105"/>
      <c r="Q741" s="105" t="s">
        <v>77</v>
      </c>
      <c r="R741" s="105" t="s">
        <v>77</v>
      </c>
      <c r="S741" s="105"/>
      <c r="T741" s="105"/>
      <c r="U741" s="105"/>
      <c r="V741" s="105"/>
      <c r="W741" s="105" t="s">
        <v>80</v>
      </c>
      <c r="X741" s="105"/>
      <c r="Y741" s="105"/>
    </row>
    <row r="742" spans="1:25" s="99" customFormat="1" ht="26.25" customHeight="1">
      <c r="A742" s="100">
        <v>4483</v>
      </c>
      <c r="B742" s="101" t="s">
        <v>11</v>
      </c>
      <c r="C742" s="105" t="s">
        <v>52</v>
      </c>
      <c r="D742" s="105" t="s">
        <v>1533</v>
      </c>
      <c r="E742" s="105" t="s">
        <v>44</v>
      </c>
      <c r="F742" s="101" t="str">
        <f t="shared" si="25"/>
        <v>-</v>
      </c>
      <c r="G742" s="106" t="s">
        <v>53</v>
      </c>
      <c r="H742" s="105"/>
      <c r="I742" s="106" t="s">
        <v>1534</v>
      </c>
      <c r="J742" s="107" t="s">
        <v>54</v>
      </c>
      <c r="K742" s="108"/>
      <c r="L742" s="106"/>
      <c r="M742" s="110"/>
      <c r="N742" s="105" t="s">
        <v>78</v>
      </c>
      <c r="O742" s="105" t="str">
        <f t="shared" si="26"/>
        <v/>
      </c>
      <c r="P742" s="105"/>
      <c r="Q742" s="105" t="s">
        <v>77</v>
      </c>
      <c r="R742" s="105" t="s">
        <v>77</v>
      </c>
      <c r="S742" s="105"/>
      <c r="T742" s="105"/>
      <c r="U742" s="105"/>
      <c r="V742" s="105"/>
      <c r="W742" s="105" t="s">
        <v>80</v>
      </c>
      <c r="X742" s="105"/>
      <c r="Y742" s="105"/>
    </row>
    <row r="743" spans="1:25" s="99" customFormat="1" ht="26.25" customHeight="1">
      <c r="A743" s="100">
        <v>4484</v>
      </c>
      <c r="B743" s="101" t="s">
        <v>11</v>
      </c>
      <c r="C743" s="105" t="s">
        <v>52</v>
      </c>
      <c r="D743" s="105" t="s">
        <v>1535</v>
      </c>
      <c r="E743" s="105" t="s">
        <v>44</v>
      </c>
      <c r="F743" s="101" t="str">
        <f t="shared" si="25"/>
        <v>-</v>
      </c>
      <c r="G743" s="106" t="s">
        <v>53</v>
      </c>
      <c r="H743" s="105"/>
      <c r="I743" s="106" t="s">
        <v>1536</v>
      </c>
      <c r="J743" s="107" t="s">
        <v>54</v>
      </c>
      <c r="K743" s="108"/>
      <c r="L743" s="106"/>
      <c r="M743" s="110"/>
      <c r="N743" s="105" t="s">
        <v>78</v>
      </c>
      <c r="O743" s="105" t="str">
        <f t="shared" si="26"/>
        <v/>
      </c>
      <c r="P743" s="105"/>
      <c r="Q743" s="105" t="s">
        <v>77</v>
      </c>
      <c r="R743" s="105" t="s">
        <v>77</v>
      </c>
      <c r="S743" s="105"/>
      <c r="T743" s="105"/>
      <c r="U743" s="105"/>
      <c r="V743" s="105"/>
      <c r="W743" s="105" t="s">
        <v>80</v>
      </c>
      <c r="X743" s="105"/>
      <c r="Y743" s="105"/>
    </row>
    <row r="744" spans="1:25" s="99" customFormat="1" ht="26.25" customHeight="1">
      <c r="A744" s="100">
        <v>4485</v>
      </c>
      <c r="B744" s="101" t="s">
        <v>11</v>
      </c>
      <c r="C744" s="105" t="s">
        <v>52</v>
      </c>
      <c r="D744" s="105" t="s">
        <v>1537</v>
      </c>
      <c r="E744" s="105" t="s">
        <v>44</v>
      </c>
      <c r="F744" s="101" t="str">
        <f t="shared" si="25"/>
        <v>-</v>
      </c>
      <c r="G744" s="106" t="s">
        <v>53</v>
      </c>
      <c r="H744" s="105"/>
      <c r="I744" s="106" t="s">
        <v>1538</v>
      </c>
      <c r="J744" s="107" t="s">
        <v>54</v>
      </c>
      <c r="K744" s="108"/>
      <c r="L744" s="106"/>
      <c r="M744" s="110"/>
      <c r="N744" s="105" t="s">
        <v>78</v>
      </c>
      <c r="O744" s="105" t="str">
        <f t="shared" si="26"/>
        <v/>
      </c>
      <c r="P744" s="105"/>
      <c r="Q744" s="105" t="s">
        <v>77</v>
      </c>
      <c r="R744" s="105" t="s">
        <v>77</v>
      </c>
      <c r="S744" s="105"/>
      <c r="T744" s="105"/>
      <c r="U744" s="105"/>
      <c r="V744" s="105"/>
      <c r="W744" s="105" t="s">
        <v>80</v>
      </c>
      <c r="X744" s="105"/>
      <c r="Y744" s="105"/>
    </row>
    <row r="745" spans="1:25" s="99" customFormat="1" ht="26.25" customHeight="1">
      <c r="A745" s="100">
        <v>4486</v>
      </c>
      <c r="B745" s="101" t="s">
        <v>11</v>
      </c>
      <c r="C745" s="105" t="s">
        <v>52</v>
      </c>
      <c r="D745" s="105" t="s">
        <v>1539</v>
      </c>
      <c r="E745" s="105" t="s">
        <v>44</v>
      </c>
      <c r="F745" s="101" t="str">
        <f t="shared" si="25"/>
        <v>-</v>
      </c>
      <c r="G745" s="106" t="s">
        <v>53</v>
      </c>
      <c r="H745" s="105"/>
      <c r="I745" s="106" t="s">
        <v>1540</v>
      </c>
      <c r="J745" s="107" t="s">
        <v>54</v>
      </c>
      <c r="K745" s="108"/>
      <c r="L745" s="106"/>
      <c r="M745" s="110"/>
      <c r="N745" s="105" t="s">
        <v>78</v>
      </c>
      <c r="O745" s="105" t="str">
        <f t="shared" si="26"/>
        <v/>
      </c>
      <c r="P745" s="105"/>
      <c r="Q745" s="105" t="s">
        <v>77</v>
      </c>
      <c r="R745" s="105" t="s">
        <v>77</v>
      </c>
      <c r="S745" s="105"/>
      <c r="T745" s="105"/>
      <c r="U745" s="105"/>
      <c r="V745" s="105"/>
      <c r="W745" s="105" t="s">
        <v>80</v>
      </c>
      <c r="X745" s="105"/>
      <c r="Y745" s="105"/>
    </row>
    <row r="746" spans="1:25" s="99" customFormat="1" ht="26.25" customHeight="1">
      <c r="A746" s="100">
        <v>4487</v>
      </c>
      <c r="B746" s="101" t="s">
        <v>11</v>
      </c>
      <c r="C746" s="105" t="s">
        <v>52</v>
      </c>
      <c r="D746" s="105" t="s">
        <v>1541</v>
      </c>
      <c r="E746" s="105" t="s">
        <v>44</v>
      </c>
      <c r="F746" s="101" t="str">
        <f t="shared" si="25"/>
        <v>-</v>
      </c>
      <c r="G746" s="106" t="s">
        <v>53</v>
      </c>
      <c r="H746" s="105"/>
      <c r="I746" s="106" t="s">
        <v>1542</v>
      </c>
      <c r="J746" s="107" t="s">
        <v>54</v>
      </c>
      <c r="K746" s="108"/>
      <c r="L746" s="106"/>
      <c r="M746" s="110"/>
      <c r="N746" s="105" t="s">
        <v>78</v>
      </c>
      <c r="O746" s="105" t="str">
        <f t="shared" si="26"/>
        <v/>
      </c>
      <c r="P746" s="105"/>
      <c r="Q746" s="105" t="s">
        <v>77</v>
      </c>
      <c r="R746" s="105" t="s">
        <v>77</v>
      </c>
      <c r="S746" s="105"/>
      <c r="T746" s="105"/>
      <c r="U746" s="105"/>
      <c r="V746" s="105"/>
      <c r="W746" s="105" t="s">
        <v>80</v>
      </c>
      <c r="X746" s="105"/>
      <c r="Y746" s="105"/>
    </row>
    <row r="747" spans="1:25" s="99" customFormat="1" ht="26.25" customHeight="1">
      <c r="A747" s="100">
        <v>4488</v>
      </c>
      <c r="B747" s="101" t="s">
        <v>11</v>
      </c>
      <c r="C747" s="105" t="s">
        <v>52</v>
      </c>
      <c r="D747" s="105" t="s">
        <v>1543</v>
      </c>
      <c r="E747" s="105" t="s">
        <v>44</v>
      </c>
      <c r="F747" s="101" t="str">
        <f t="shared" si="25"/>
        <v>-</v>
      </c>
      <c r="G747" s="106" t="s">
        <v>53</v>
      </c>
      <c r="H747" s="105"/>
      <c r="I747" s="106" t="s">
        <v>1544</v>
      </c>
      <c r="J747" s="107" t="s">
        <v>54</v>
      </c>
      <c r="K747" s="108"/>
      <c r="L747" s="106"/>
      <c r="M747" s="110"/>
      <c r="N747" s="105" t="s">
        <v>78</v>
      </c>
      <c r="O747" s="105" t="str">
        <f t="shared" si="26"/>
        <v/>
      </c>
      <c r="P747" s="105"/>
      <c r="Q747" s="105" t="s">
        <v>77</v>
      </c>
      <c r="R747" s="105" t="s">
        <v>77</v>
      </c>
      <c r="S747" s="105"/>
      <c r="T747" s="105"/>
      <c r="U747" s="105"/>
      <c r="V747" s="105"/>
      <c r="W747" s="105" t="s">
        <v>80</v>
      </c>
      <c r="X747" s="105"/>
      <c r="Y747" s="105"/>
    </row>
    <row r="748" spans="1:25" s="99" customFormat="1" ht="26.25" customHeight="1">
      <c r="A748" s="100">
        <v>4489</v>
      </c>
      <c r="B748" s="101" t="s">
        <v>11</v>
      </c>
      <c r="C748" s="105" t="s">
        <v>52</v>
      </c>
      <c r="D748" s="105" t="s">
        <v>1545</v>
      </c>
      <c r="E748" s="105" t="s">
        <v>44</v>
      </c>
      <c r="F748" s="101" t="str">
        <f t="shared" si="25"/>
        <v>-</v>
      </c>
      <c r="G748" s="106" t="s">
        <v>53</v>
      </c>
      <c r="H748" s="105"/>
      <c r="I748" s="106" t="s">
        <v>1546</v>
      </c>
      <c r="J748" s="107" t="s">
        <v>54</v>
      </c>
      <c r="K748" s="108"/>
      <c r="L748" s="106"/>
      <c r="M748" s="110"/>
      <c r="N748" s="105" t="s">
        <v>78</v>
      </c>
      <c r="O748" s="105" t="str">
        <f t="shared" si="26"/>
        <v/>
      </c>
      <c r="P748" s="105"/>
      <c r="Q748" s="105" t="s">
        <v>77</v>
      </c>
      <c r="R748" s="105" t="s">
        <v>77</v>
      </c>
      <c r="S748" s="105"/>
      <c r="T748" s="105"/>
      <c r="U748" s="105"/>
      <c r="V748" s="105"/>
      <c r="W748" s="105" t="s">
        <v>80</v>
      </c>
      <c r="X748" s="105"/>
      <c r="Y748" s="105"/>
    </row>
    <row r="749" spans="1:25" s="99" customFormat="1" ht="26.25" customHeight="1">
      <c r="A749" s="100">
        <v>4490</v>
      </c>
      <c r="B749" s="101" t="s">
        <v>11</v>
      </c>
      <c r="C749" s="105" t="s">
        <v>52</v>
      </c>
      <c r="D749" s="105" t="s">
        <v>1547</v>
      </c>
      <c r="E749" s="105" t="s">
        <v>44</v>
      </c>
      <c r="F749" s="101" t="str">
        <f t="shared" si="25"/>
        <v>-</v>
      </c>
      <c r="G749" s="106" t="s">
        <v>53</v>
      </c>
      <c r="H749" s="105"/>
      <c r="I749" s="106" t="s">
        <v>1548</v>
      </c>
      <c r="J749" s="107" t="s">
        <v>54</v>
      </c>
      <c r="K749" s="108"/>
      <c r="L749" s="106"/>
      <c r="M749" s="110"/>
      <c r="N749" s="105" t="s">
        <v>78</v>
      </c>
      <c r="O749" s="105" t="str">
        <f t="shared" si="26"/>
        <v/>
      </c>
      <c r="P749" s="105"/>
      <c r="Q749" s="105" t="s">
        <v>77</v>
      </c>
      <c r="R749" s="105" t="s">
        <v>77</v>
      </c>
      <c r="S749" s="105"/>
      <c r="T749" s="105"/>
      <c r="U749" s="105"/>
      <c r="V749" s="105"/>
      <c r="W749" s="105" t="s">
        <v>80</v>
      </c>
      <c r="X749" s="105"/>
      <c r="Y749" s="105"/>
    </row>
    <row r="750" spans="1:25" s="99" customFormat="1" ht="26.25" customHeight="1">
      <c r="A750" s="100">
        <v>4491</v>
      </c>
      <c r="B750" s="101" t="s">
        <v>11</v>
      </c>
      <c r="C750" s="105" t="s">
        <v>52</v>
      </c>
      <c r="D750" s="105" t="s">
        <v>1549</v>
      </c>
      <c r="E750" s="105" t="s">
        <v>44</v>
      </c>
      <c r="F750" s="101" t="str">
        <f t="shared" si="25"/>
        <v>-</v>
      </c>
      <c r="G750" s="106" t="s">
        <v>53</v>
      </c>
      <c r="H750" s="105"/>
      <c r="I750" s="106" t="s">
        <v>1550</v>
      </c>
      <c r="J750" s="107" t="s">
        <v>54</v>
      </c>
      <c r="K750" s="108"/>
      <c r="L750" s="106"/>
      <c r="M750" s="110"/>
      <c r="N750" s="105" t="s">
        <v>78</v>
      </c>
      <c r="O750" s="105" t="str">
        <f t="shared" si="26"/>
        <v/>
      </c>
      <c r="P750" s="105"/>
      <c r="Q750" s="105" t="s">
        <v>77</v>
      </c>
      <c r="R750" s="105" t="s">
        <v>77</v>
      </c>
      <c r="S750" s="105"/>
      <c r="T750" s="105"/>
      <c r="U750" s="105"/>
      <c r="V750" s="105"/>
      <c r="W750" s="105" t="s">
        <v>80</v>
      </c>
      <c r="X750" s="105"/>
      <c r="Y750" s="105"/>
    </row>
    <row r="751" spans="1:25" s="99" customFormat="1" ht="26.25" customHeight="1">
      <c r="A751" s="100">
        <v>4492</v>
      </c>
      <c r="B751" s="101" t="s">
        <v>11</v>
      </c>
      <c r="C751" s="105" t="s">
        <v>52</v>
      </c>
      <c r="D751" s="105" t="s">
        <v>1551</v>
      </c>
      <c r="E751" s="105" t="s">
        <v>44</v>
      </c>
      <c r="F751" s="101" t="str">
        <f t="shared" si="25"/>
        <v>-</v>
      </c>
      <c r="G751" s="106" t="s">
        <v>53</v>
      </c>
      <c r="H751" s="105"/>
      <c r="I751" s="106" t="s">
        <v>1552</v>
      </c>
      <c r="J751" s="107" t="s">
        <v>54</v>
      </c>
      <c r="K751" s="108"/>
      <c r="L751" s="106"/>
      <c r="M751" s="110"/>
      <c r="N751" s="105" t="s">
        <v>78</v>
      </c>
      <c r="O751" s="105" t="str">
        <f t="shared" si="26"/>
        <v/>
      </c>
      <c r="P751" s="105"/>
      <c r="Q751" s="105" t="s">
        <v>77</v>
      </c>
      <c r="R751" s="105" t="s">
        <v>77</v>
      </c>
      <c r="S751" s="105"/>
      <c r="T751" s="105"/>
      <c r="U751" s="105"/>
      <c r="V751" s="105"/>
      <c r="W751" s="105" t="s">
        <v>80</v>
      </c>
      <c r="X751" s="105"/>
      <c r="Y751" s="105"/>
    </row>
    <row r="752" spans="1:25" s="99" customFormat="1" ht="26.25" customHeight="1">
      <c r="A752" s="100">
        <v>4493</v>
      </c>
      <c r="B752" s="101" t="s">
        <v>11</v>
      </c>
      <c r="C752" s="105" t="s">
        <v>52</v>
      </c>
      <c r="D752" s="105" t="s">
        <v>1553</v>
      </c>
      <c r="E752" s="105" t="s">
        <v>44</v>
      </c>
      <c r="F752" s="101" t="str">
        <f t="shared" si="25"/>
        <v>-</v>
      </c>
      <c r="G752" s="106" t="s">
        <v>53</v>
      </c>
      <c r="H752" s="105"/>
      <c r="I752" s="106" t="s">
        <v>1554</v>
      </c>
      <c r="J752" s="107" t="s">
        <v>54</v>
      </c>
      <c r="K752" s="108"/>
      <c r="L752" s="106"/>
      <c r="M752" s="110"/>
      <c r="N752" s="105" t="s">
        <v>78</v>
      </c>
      <c r="O752" s="105" t="str">
        <f t="shared" si="26"/>
        <v/>
      </c>
      <c r="P752" s="105"/>
      <c r="Q752" s="105" t="s">
        <v>77</v>
      </c>
      <c r="R752" s="105" t="s">
        <v>77</v>
      </c>
      <c r="S752" s="105"/>
      <c r="T752" s="105"/>
      <c r="U752" s="105"/>
      <c r="V752" s="105"/>
      <c r="W752" s="105" t="s">
        <v>80</v>
      </c>
      <c r="X752" s="105"/>
      <c r="Y752" s="105"/>
    </row>
    <row r="753" spans="1:25" s="99" customFormat="1" ht="26.25" customHeight="1">
      <c r="A753" s="100">
        <v>4494</v>
      </c>
      <c r="B753" s="101" t="s">
        <v>11</v>
      </c>
      <c r="C753" s="105" t="s">
        <v>52</v>
      </c>
      <c r="D753" s="105" t="s">
        <v>1555</v>
      </c>
      <c r="E753" s="105" t="s">
        <v>44</v>
      </c>
      <c r="F753" s="101" t="str">
        <f t="shared" si="25"/>
        <v>-</v>
      </c>
      <c r="G753" s="106" t="s">
        <v>53</v>
      </c>
      <c r="H753" s="105"/>
      <c r="I753" s="106" t="s">
        <v>1556</v>
      </c>
      <c r="J753" s="107" t="s">
        <v>54</v>
      </c>
      <c r="K753" s="108"/>
      <c r="L753" s="106"/>
      <c r="M753" s="110"/>
      <c r="N753" s="105" t="s">
        <v>78</v>
      </c>
      <c r="O753" s="105" t="str">
        <f t="shared" si="26"/>
        <v/>
      </c>
      <c r="P753" s="105"/>
      <c r="Q753" s="105" t="s">
        <v>77</v>
      </c>
      <c r="R753" s="105" t="s">
        <v>77</v>
      </c>
      <c r="S753" s="105"/>
      <c r="T753" s="105"/>
      <c r="U753" s="105"/>
      <c r="V753" s="105"/>
      <c r="W753" s="105" t="s">
        <v>80</v>
      </c>
      <c r="X753" s="105"/>
      <c r="Y753" s="105"/>
    </row>
    <row r="754" spans="1:25" s="99" customFormat="1" ht="26.25" customHeight="1">
      <c r="A754" s="100">
        <v>4495</v>
      </c>
      <c r="B754" s="101" t="s">
        <v>11</v>
      </c>
      <c r="C754" s="105" t="s">
        <v>52</v>
      </c>
      <c r="D754" s="105" t="s">
        <v>1557</v>
      </c>
      <c r="E754" s="105" t="s">
        <v>44</v>
      </c>
      <c r="F754" s="101" t="str">
        <f t="shared" si="25"/>
        <v>-</v>
      </c>
      <c r="G754" s="106" t="s">
        <v>53</v>
      </c>
      <c r="H754" s="105"/>
      <c r="I754" s="106" t="s">
        <v>1558</v>
      </c>
      <c r="J754" s="107" t="s">
        <v>54</v>
      </c>
      <c r="K754" s="108"/>
      <c r="L754" s="106"/>
      <c r="M754" s="110"/>
      <c r="N754" s="105" t="s">
        <v>78</v>
      </c>
      <c r="O754" s="105" t="str">
        <f t="shared" si="26"/>
        <v/>
      </c>
      <c r="P754" s="105"/>
      <c r="Q754" s="105" t="s">
        <v>77</v>
      </c>
      <c r="R754" s="105" t="s">
        <v>77</v>
      </c>
      <c r="S754" s="105"/>
      <c r="T754" s="105"/>
      <c r="U754" s="105"/>
      <c r="V754" s="105"/>
      <c r="W754" s="105" t="s">
        <v>80</v>
      </c>
      <c r="X754" s="105"/>
      <c r="Y754" s="105"/>
    </row>
    <row r="755" spans="1:25" s="99" customFormat="1" ht="26.25" customHeight="1">
      <c r="A755" s="100">
        <v>4496</v>
      </c>
      <c r="B755" s="101" t="s">
        <v>11</v>
      </c>
      <c r="C755" s="105" t="s">
        <v>52</v>
      </c>
      <c r="D755" s="105" t="s">
        <v>1559</v>
      </c>
      <c r="E755" s="105" t="s">
        <v>44</v>
      </c>
      <c r="F755" s="101" t="str">
        <f t="shared" si="25"/>
        <v>-</v>
      </c>
      <c r="G755" s="106" t="s">
        <v>53</v>
      </c>
      <c r="H755" s="105"/>
      <c r="I755" s="106" t="s">
        <v>1560</v>
      </c>
      <c r="J755" s="107" t="s">
        <v>54</v>
      </c>
      <c r="K755" s="108"/>
      <c r="L755" s="106"/>
      <c r="M755" s="110"/>
      <c r="N755" s="105" t="s">
        <v>78</v>
      </c>
      <c r="O755" s="105" t="str">
        <f t="shared" si="26"/>
        <v/>
      </c>
      <c r="P755" s="105"/>
      <c r="Q755" s="105" t="s">
        <v>77</v>
      </c>
      <c r="R755" s="105" t="s">
        <v>77</v>
      </c>
      <c r="S755" s="105"/>
      <c r="T755" s="105"/>
      <c r="U755" s="105"/>
      <c r="V755" s="105"/>
      <c r="W755" s="105" t="s">
        <v>80</v>
      </c>
      <c r="X755" s="105"/>
      <c r="Y755" s="105"/>
    </row>
    <row r="756" spans="1:25" s="99" customFormat="1" ht="26.25" customHeight="1">
      <c r="A756" s="100">
        <v>4497</v>
      </c>
      <c r="B756" s="101" t="s">
        <v>11</v>
      </c>
      <c r="C756" s="105" t="s">
        <v>52</v>
      </c>
      <c r="D756" s="105" t="s">
        <v>1561</v>
      </c>
      <c r="E756" s="105" t="s">
        <v>44</v>
      </c>
      <c r="F756" s="101" t="str">
        <f t="shared" si="25"/>
        <v>-</v>
      </c>
      <c r="G756" s="106" t="s">
        <v>53</v>
      </c>
      <c r="H756" s="105"/>
      <c r="I756" s="106" t="s">
        <v>1562</v>
      </c>
      <c r="J756" s="107" t="s">
        <v>54</v>
      </c>
      <c r="K756" s="108"/>
      <c r="L756" s="106"/>
      <c r="M756" s="110"/>
      <c r="N756" s="105" t="s">
        <v>78</v>
      </c>
      <c r="O756" s="105" t="str">
        <f t="shared" si="26"/>
        <v/>
      </c>
      <c r="P756" s="105"/>
      <c r="Q756" s="105" t="s">
        <v>77</v>
      </c>
      <c r="R756" s="105" t="s">
        <v>77</v>
      </c>
      <c r="S756" s="105"/>
      <c r="T756" s="105"/>
      <c r="U756" s="105"/>
      <c r="V756" s="105"/>
      <c r="W756" s="105" t="s">
        <v>80</v>
      </c>
      <c r="X756" s="105"/>
      <c r="Y756" s="105"/>
    </row>
    <row r="757" spans="1:25" s="99" customFormat="1" ht="26.25" customHeight="1">
      <c r="A757" s="100">
        <v>4498</v>
      </c>
      <c r="B757" s="101" t="s">
        <v>11</v>
      </c>
      <c r="C757" s="105" t="s">
        <v>52</v>
      </c>
      <c r="D757" s="105" t="s">
        <v>1563</v>
      </c>
      <c r="E757" s="105" t="s">
        <v>44</v>
      </c>
      <c r="F757" s="101" t="str">
        <f t="shared" si="25"/>
        <v>-</v>
      </c>
      <c r="G757" s="106" t="s">
        <v>53</v>
      </c>
      <c r="H757" s="105"/>
      <c r="I757" s="106" t="s">
        <v>1564</v>
      </c>
      <c r="J757" s="107" t="s">
        <v>54</v>
      </c>
      <c r="K757" s="108"/>
      <c r="L757" s="106"/>
      <c r="M757" s="110"/>
      <c r="N757" s="105" t="s">
        <v>78</v>
      </c>
      <c r="O757" s="105" t="str">
        <f t="shared" si="26"/>
        <v/>
      </c>
      <c r="P757" s="105"/>
      <c r="Q757" s="105" t="s">
        <v>77</v>
      </c>
      <c r="R757" s="105" t="s">
        <v>77</v>
      </c>
      <c r="S757" s="105"/>
      <c r="T757" s="105"/>
      <c r="U757" s="105"/>
      <c r="V757" s="105"/>
      <c r="W757" s="105" t="s">
        <v>80</v>
      </c>
      <c r="X757" s="105"/>
      <c r="Y757" s="105"/>
    </row>
    <row r="758" spans="1:25" s="99" customFormat="1" ht="26.25" customHeight="1">
      <c r="A758" s="100">
        <v>4499</v>
      </c>
      <c r="B758" s="101" t="s">
        <v>11</v>
      </c>
      <c r="C758" s="105" t="s">
        <v>52</v>
      </c>
      <c r="D758" s="105" t="s">
        <v>1565</v>
      </c>
      <c r="E758" s="105" t="s">
        <v>44</v>
      </c>
      <c r="F758" s="101" t="str">
        <f t="shared" si="25"/>
        <v>-</v>
      </c>
      <c r="G758" s="106" t="s">
        <v>53</v>
      </c>
      <c r="H758" s="105"/>
      <c r="I758" s="106" t="s">
        <v>1566</v>
      </c>
      <c r="J758" s="107" t="s">
        <v>54</v>
      </c>
      <c r="K758" s="108"/>
      <c r="L758" s="106"/>
      <c r="M758" s="110"/>
      <c r="N758" s="105" t="s">
        <v>78</v>
      </c>
      <c r="O758" s="105" t="str">
        <f t="shared" si="26"/>
        <v/>
      </c>
      <c r="P758" s="105"/>
      <c r="Q758" s="105" t="s">
        <v>77</v>
      </c>
      <c r="R758" s="105" t="s">
        <v>77</v>
      </c>
      <c r="S758" s="105"/>
      <c r="T758" s="105"/>
      <c r="U758" s="105"/>
      <c r="V758" s="105"/>
      <c r="W758" s="105" t="s">
        <v>80</v>
      </c>
      <c r="X758" s="105"/>
      <c r="Y758" s="105"/>
    </row>
    <row r="759" spans="1:25" s="99" customFormat="1" ht="26.25" customHeight="1">
      <c r="A759" s="100">
        <v>4500</v>
      </c>
      <c r="B759" s="101" t="s">
        <v>11</v>
      </c>
      <c r="C759" s="105" t="s">
        <v>52</v>
      </c>
      <c r="D759" s="105" t="s">
        <v>1567</v>
      </c>
      <c r="E759" s="105" t="s">
        <v>44</v>
      </c>
      <c r="F759" s="101" t="str">
        <f t="shared" si="25"/>
        <v>-</v>
      </c>
      <c r="G759" s="106" t="s">
        <v>53</v>
      </c>
      <c r="H759" s="105"/>
      <c r="I759" s="106" t="s">
        <v>1568</v>
      </c>
      <c r="J759" s="107" t="s">
        <v>54</v>
      </c>
      <c r="K759" s="108"/>
      <c r="L759" s="106"/>
      <c r="M759" s="110"/>
      <c r="N759" s="105" t="s">
        <v>78</v>
      </c>
      <c r="O759" s="105" t="str">
        <f t="shared" si="26"/>
        <v/>
      </c>
      <c r="P759" s="105"/>
      <c r="Q759" s="105" t="s">
        <v>77</v>
      </c>
      <c r="R759" s="105" t="s">
        <v>77</v>
      </c>
      <c r="S759" s="105"/>
      <c r="T759" s="105"/>
      <c r="U759" s="105"/>
      <c r="V759" s="105"/>
      <c r="W759" s="105" t="s">
        <v>80</v>
      </c>
      <c r="X759" s="105"/>
      <c r="Y759" s="105"/>
    </row>
    <row r="760" spans="1:25" s="99" customFormat="1" ht="26.25" customHeight="1">
      <c r="A760" s="100">
        <v>4501</v>
      </c>
      <c r="B760" s="101" t="s">
        <v>11</v>
      </c>
      <c r="C760" s="105" t="s">
        <v>52</v>
      </c>
      <c r="D760" s="105" t="s">
        <v>1569</v>
      </c>
      <c r="E760" s="105" t="s">
        <v>44</v>
      </c>
      <c r="F760" s="101" t="str">
        <f t="shared" si="25"/>
        <v>-</v>
      </c>
      <c r="G760" s="106" t="s">
        <v>53</v>
      </c>
      <c r="H760" s="105"/>
      <c r="I760" s="106" t="s">
        <v>1570</v>
      </c>
      <c r="J760" s="107" t="s">
        <v>54</v>
      </c>
      <c r="K760" s="108"/>
      <c r="L760" s="106"/>
      <c r="M760" s="110"/>
      <c r="N760" s="105" t="s">
        <v>78</v>
      </c>
      <c r="O760" s="105" t="str">
        <f t="shared" si="26"/>
        <v/>
      </c>
      <c r="P760" s="105"/>
      <c r="Q760" s="105" t="s">
        <v>77</v>
      </c>
      <c r="R760" s="105" t="s">
        <v>77</v>
      </c>
      <c r="S760" s="105"/>
      <c r="T760" s="105"/>
      <c r="U760" s="105"/>
      <c r="V760" s="105"/>
      <c r="W760" s="105" t="s">
        <v>80</v>
      </c>
      <c r="X760" s="105"/>
      <c r="Y760" s="105"/>
    </row>
    <row r="761" spans="1:25" s="99" customFormat="1" ht="26.25" customHeight="1">
      <c r="A761" s="100">
        <v>4502</v>
      </c>
      <c r="B761" s="101" t="s">
        <v>11</v>
      </c>
      <c r="C761" s="105" t="s">
        <v>52</v>
      </c>
      <c r="D761" s="105" t="s">
        <v>1571</v>
      </c>
      <c r="E761" s="105" t="s">
        <v>44</v>
      </c>
      <c r="F761" s="101" t="str">
        <f t="shared" si="25"/>
        <v>-</v>
      </c>
      <c r="G761" s="106" t="s">
        <v>53</v>
      </c>
      <c r="H761" s="105"/>
      <c r="I761" s="106" t="s">
        <v>1572</v>
      </c>
      <c r="J761" s="107" t="s">
        <v>54</v>
      </c>
      <c r="K761" s="108"/>
      <c r="L761" s="106"/>
      <c r="M761" s="110"/>
      <c r="N761" s="105" t="s">
        <v>78</v>
      </c>
      <c r="O761" s="105" t="str">
        <f t="shared" si="26"/>
        <v/>
      </c>
      <c r="P761" s="105"/>
      <c r="Q761" s="105" t="s">
        <v>77</v>
      </c>
      <c r="R761" s="105" t="s">
        <v>77</v>
      </c>
      <c r="S761" s="105"/>
      <c r="T761" s="105"/>
      <c r="U761" s="105"/>
      <c r="V761" s="105"/>
      <c r="W761" s="105" t="s">
        <v>80</v>
      </c>
      <c r="X761" s="105"/>
      <c r="Y761" s="105"/>
    </row>
    <row r="762" spans="1:25" s="99" customFormat="1" ht="26.25" customHeight="1">
      <c r="A762" s="100">
        <v>4503</v>
      </c>
      <c r="B762" s="101" t="s">
        <v>11</v>
      </c>
      <c r="C762" s="105" t="s">
        <v>52</v>
      </c>
      <c r="D762" s="105" t="s">
        <v>1573</v>
      </c>
      <c r="E762" s="105" t="s">
        <v>44</v>
      </c>
      <c r="F762" s="101" t="str">
        <f t="shared" si="25"/>
        <v>-</v>
      </c>
      <c r="G762" s="106" t="s">
        <v>53</v>
      </c>
      <c r="H762" s="105"/>
      <c r="I762" s="106" t="s">
        <v>1574</v>
      </c>
      <c r="J762" s="107" t="s">
        <v>54</v>
      </c>
      <c r="K762" s="108"/>
      <c r="L762" s="106"/>
      <c r="M762" s="110"/>
      <c r="N762" s="105" t="s">
        <v>78</v>
      </c>
      <c r="O762" s="105" t="str">
        <f t="shared" si="26"/>
        <v/>
      </c>
      <c r="P762" s="105"/>
      <c r="Q762" s="105" t="s">
        <v>77</v>
      </c>
      <c r="R762" s="105" t="s">
        <v>77</v>
      </c>
      <c r="S762" s="105"/>
      <c r="T762" s="105"/>
      <c r="U762" s="105"/>
      <c r="V762" s="105"/>
      <c r="W762" s="105" t="s">
        <v>80</v>
      </c>
      <c r="X762" s="105"/>
      <c r="Y762" s="105"/>
    </row>
    <row r="763" spans="1:25" s="99" customFormat="1" ht="26.25" customHeight="1">
      <c r="A763" s="100">
        <v>4504</v>
      </c>
      <c r="B763" s="101" t="s">
        <v>11</v>
      </c>
      <c r="C763" s="105" t="s">
        <v>52</v>
      </c>
      <c r="D763" s="105" t="s">
        <v>1575</v>
      </c>
      <c r="E763" s="105" t="s">
        <v>44</v>
      </c>
      <c r="F763" s="101" t="str">
        <f t="shared" si="25"/>
        <v>-</v>
      </c>
      <c r="G763" s="106" t="s">
        <v>53</v>
      </c>
      <c r="H763" s="105"/>
      <c r="I763" s="106" t="s">
        <v>1576</v>
      </c>
      <c r="J763" s="107" t="s">
        <v>54</v>
      </c>
      <c r="K763" s="108"/>
      <c r="L763" s="106"/>
      <c r="M763" s="110"/>
      <c r="N763" s="105" t="s">
        <v>78</v>
      </c>
      <c r="O763" s="105" t="str">
        <f t="shared" si="26"/>
        <v/>
      </c>
      <c r="P763" s="105"/>
      <c r="Q763" s="105" t="s">
        <v>77</v>
      </c>
      <c r="R763" s="105" t="s">
        <v>77</v>
      </c>
      <c r="S763" s="105"/>
      <c r="T763" s="105"/>
      <c r="U763" s="105"/>
      <c r="V763" s="105"/>
      <c r="W763" s="105" t="s">
        <v>80</v>
      </c>
      <c r="X763" s="105"/>
      <c r="Y763" s="105"/>
    </row>
    <row r="764" spans="1:25" s="99" customFormat="1" ht="26.25" customHeight="1">
      <c r="A764" s="100">
        <v>4505</v>
      </c>
      <c r="B764" s="101" t="s">
        <v>11</v>
      </c>
      <c r="C764" s="105" t="s">
        <v>52</v>
      </c>
      <c r="D764" s="105" t="s">
        <v>1577</v>
      </c>
      <c r="E764" s="105" t="s">
        <v>44</v>
      </c>
      <c r="F764" s="101" t="str">
        <f t="shared" si="25"/>
        <v>-</v>
      </c>
      <c r="G764" s="106" t="s">
        <v>53</v>
      </c>
      <c r="H764" s="105"/>
      <c r="I764" s="106" t="s">
        <v>1578</v>
      </c>
      <c r="J764" s="107" t="s">
        <v>54</v>
      </c>
      <c r="K764" s="108"/>
      <c r="L764" s="106"/>
      <c r="M764" s="110"/>
      <c r="N764" s="105" t="s">
        <v>78</v>
      </c>
      <c r="O764" s="105" t="str">
        <f t="shared" si="26"/>
        <v/>
      </c>
      <c r="P764" s="105"/>
      <c r="Q764" s="105" t="s">
        <v>77</v>
      </c>
      <c r="R764" s="105" t="s">
        <v>77</v>
      </c>
      <c r="S764" s="105"/>
      <c r="T764" s="105"/>
      <c r="U764" s="105"/>
      <c r="V764" s="105"/>
      <c r="W764" s="105" t="s">
        <v>80</v>
      </c>
      <c r="X764" s="105"/>
      <c r="Y764" s="105"/>
    </row>
    <row r="765" spans="1:25" s="99" customFormat="1" ht="26.25" customHeight="1">
      <c r="A765" s="100">
        <v>4506</v>
      </c>
      <c r="B765" s="101" t="s">
        <v>11</v>
      </c>
      <c r="C765" s="105" t="s">
        <v>52</v>
      </c>
      <c r="D765" s="105" t="s">
        <v>1579</v>
      </c>
      <c r="E765" s="105" t="s">
        <v>44</v>
      </c>
      <c r="F765" s="101" t="str">
        <f t="shared" si="25"/>
        <v>-</v>
      </c>
      <c r="G765" s="106" t="s">
        <v>53</v>
      </c>
      <c r="H765" s="105"/>
      <c r="I765" s="106" t="s">
        <v>1580</v>
      </c>
      <c r="J765" s="107" t="s">
        <v>54</v>
      </c>
      <c r="K765" s="108"/>
      <c r="L765" s="106"/>
      <c r="M765" s="110"/>
      <c r="N765" s="105" t="s">
        <v>78</v>
      </c>
      <c r="O765" s="105" t="str">
        <f t="shared" si="26"/>
        <v/>
      </c>
      <c r="P765" s="105"/>
      <c r="Q765" s="105" t="s">
        <v>77</v>
      </c>
      <c r="R765" s="105" t="s">
        <v>77</v>
      </c>
      <c r="S765" s="105"/>
      <c r="T765" s="105"/>
      <c r="U765" s="105"/>
      <c r="V765" s="105"/>
      <c r="W765" s="105" t="s">
        <v>80</v>
      </c>
      <c r="X765" s="105"/>
      <c r="Y765" s="105"/>
    </row>
    <row r="766" spans="1:25" s="99" customFormat="1" ht="26.25" customHeight="1">
      <c r="A766" s="100">
        <v>4507</v>
      </c>
      <c r="B766" s="101" t="s">
        <v>11</v>
      </c>
      <c r="C766" s="105" t="s">
        <v>52</v>
      </c>
      <c r="D766" s="105" t="s">
        <v>1581</v>
      </c>
      <c r="E766" s="105" t="s">
        <v>44</v>
      </c>
      <c r="F766" s="101" t="str">
        <f t="shared" si="25"/>
        <v>-</v>
      </c>
      <c r="G766" s="106" t="s">
        <v>53</v>
      </c>
      <c r="H766" s="105"/>
      <c r="I766" s="106" t="s">
        <v>1582</v>
      </c>
      <c r="J766" s="107" t="s">
        <v>54</v>
      </c>
      <c r="K766" s="108"/>
      <c r="L766" s="106"/>
      <c r="M766" s="110"/>
      <c r="N766" s="105" t="s">
        <v>78</v>
      </c>
      <c r="O766" s="105" t="str">
        <f t="shared" si="26"/>
        <v/>
      </c>
      <c r="P766" s="105"/>
      <c r="Q766" s="105" t="s">
        <v>77</v>
      </c>
      <c r="R766" s="105" t="s">
        <v>77</v>
      </c>
      <c r="S766" s="105"/>
      <c r="T766" s="105"/>
      <c r="U766" s="105"/>
      <c r="V766" s="105"/>
      <c r="W766" s="105" t="s">
        <v>80</v>
      </c>
      <c r="X766" s="105"/>
      <c r="Y766" s="105"/>
    </row>
    <row r="767" spans="1:25" s="99" customFormat="1" ht="26.25" customHeight="1">
      <c r="A767" s="100">
        <v>4508</v>
      </c>
      <c r="B767" s="101" t="s">
        <v>11</v>
      </c>
      <c r="C767" s="105" t="s">
        <v>52</v>
      </c>
      <c r="D767" s="105" t="s">
        <v>1583</v>
      </c>
      <c r="E767" s="105" t="s">
        <v>44</v>
      </c>
      <c r="F767" s="101" t="str">
        <f t="shared" si="25"/>
        <v>-</v>
      </c>
      <c r="G767" s="106" t="s">
        <v>53</v>
      </c>
      <c r="H767" s="105"/>
      <c r="I767" s="106" t="s">
        <v>1584</v>
      </c>
      <c r="J767" s="107" t="s">
        <v>54</v>
      </c>
      <c r="K767" s="108"/>
      <c r="L767" s="106"/>
      <c r="M767" s="110"/>
      <c r="N767" s="105" t="s">
        <v>78</v>
      </c>
      <c r="O767" s="105" t="str">
        <f t="shared" si="26"/>
        <v/>
      </c>
      <c r="P767" s="105"/>
      <c r="Q767" s="105" t="s">
        <v>77</v>
      </c>
      <c r="R767" s="105" t="s">
        <v>77</v>
      </c>
      <c r="S767" s="105"/>
      <c r="T767" s="105"/>
      <c r="U767" s="105"/>
      <c r="V767" s="105"/>
      <c r="W767" s="105" t="s">
        <v>80</v>
      </c>
      <c r="X767" s="105"/>
      <c r="Y767" s="105"/>
    </row>
    <row r="768" spans="1:25" s="99" customFormat="1" ht="26.25" customHeight="1">
      <c r="A768" s="100">
        <v>4509</v>
      </c>
      <c r="B768" s="101" t="s">
        <v>11</v>
      </c>
      <c r="C768" s="105" t="s">
        <v>52</v>
      </c>
      <c r="D768" s="105" t="s">
        <v>1585</v>
      </c>
      <c r="E768" s="105" t="s">
        <v>44</v>
      </c>
      <c r="F768" s="101" t="str">
        <f t="shared" si="25"/>
        <v>-</v>
      </c>
      <c r="G768" s="106" t="s">
        <v>53</v>
      </c>
      <c r="H768" s="105"/>
      <c r="I768" s="106" t="s">
        <v>1586</v>
      </c>
      <c r="J768" s="107" t="s">
        <v>54</v>
      </c>
      <c r="K768" s="108"/>
      <c r="L768" s="106"/>
      <c r="M768" s="110"/>
      <c r="N768" s="105" t="s">
        <v>78</v>
      </c>
      <c r="O768" s="105" t="str">
        <f t="shared" si="26"/>
        <v/>
      </c>
      <c r="P768" s="105"/>
      <c r="Q768" s="105" t="s">
        <v>77</v>
      </c>
      <c r="R768" s="105" t="s">
        <v>77</v>
      </c>
      <c r="S768" s="105"/>
      <c r="T768" s="105"/>
      <c r="U768" s="105"/>
      <c r="V768" s="105"/>
      <c r="W768" s="105" t="s">
        <v>80</v>
      </c>
      <c r="X768" s="105"/>
      <c r="Y768" s="105"/>
    </row>
    <row r="769" spans="1:25" s="99" customFormat="1" ht="26.25" customHeight="1">
      <c r="A769" s="100">
        <v>4510</v>
      </c>
      <c r="B769" s="101" t="s">
        <v>11</v>
      </c>
      <c r="C769" s="105" t="s">
        <v>52</v>
      </c>
      <c r="D769" s="105" t="s">
        <v>1587</v>
      </c>
      <c r="E769" s="105" t="s">
        <v>44</v>
      </c>
      <c r="F769" s="101" t="str">
        <f t="shared" si="25"/>
        <v>-</v>
      </c>
      <c r="G769" s="106" t="s">
        <v>53</v>
      </c>
      <c r="H769" s="105"/>
      <c r="I769" s="106" t="s">
        <v>1588</v>
      </c>
      <c r="J769" s="107" t="s">
        <v>54</v>
      </c>
      <c r="K769" s="108"/>
      <c r="L769" s="106"/>
      <c r="M769" s="110"/>
      <c r="N769" s="105" t="s">
        <v>78</v>
      </c>
      <c r="O769" s="105" t="str">
        <f t="shared" si="26"/>
        <v/>
      </c>
      <c r="P769" s="105"/>
      <c r="Q769" s="105" t="s">
        <v>77</v>
      </c>
      <c r="R769" s="105" t="s">
        <v>77</v>
      </c>
      <c r="S769" s="105"/>
      <c r="T769" s="105"/>
      <c r="U769" s="105"/>
      <c r="V769" s="105"/>
      <c r="W769" s="105" t="s">
        <v>80</v>
      </c>
      <c r="X769" s="105"/>
      <c r="Y769" s="105"/>
    </row>
    <row r="770" spans="1:25" s="99" customFormat="1" ht="26.25" customHeight="1">
      <c r="A770" s="100">
        <v>4511</v>
      </c>
      <c r="B770" s="101" t="s">
        <v>11</v>
      </c>
      <c r="C770" s="105" t="s">
        <v>52</v>
      </c>
      <c r="D770" s="105" t="s">
        <v>1589</v>
      </c>
      <c r="E770" s="105" t="s">
        <v>44</v>
      </c>
      <c r="F770" s="101" t="str">
        <f t="shared" si="25"/>
        <v>-</v>
      </c>
      <c r="G770" s="106" t="s">
        <v>53</v>
      </c>
      <c r="H770" s="105"/>
      <c r="I770" s="106" t="s">
        <v>1590</v>
      </c>
      <c r="J770" s="107" t="s">
        <v>54</v>
      </c>
      <c r="K770" s="108"/>
      <c r="L770" s="106"/>
      <c r="M770" s="110"/>
      <c r="N770" s="105" t="s">
        <v>78</v>
      </c>
      <c r="O770" s="105" t="str">
        <f t="shared" si="26"/>
        <v/>
      </c>
      <c r="P770" s="105"/>
      <c r="Q770" s="105" t="s">
        <v>77</v>
      </c>
      <c r="R770" s="105" t="s">
        <v>77</v>
      </c>
      <c r="S770" s="105"/>
      <c r="T770" s="105"/>
      <c r="U770" s="105"/>
      <c r="V770" s="105"/>
      <c r="W770" s="105" t="s">
        <v>80</v>
      </c>
      <c r="X770" s="105"/>
      <c r="Y770" s="105"/>
    </row>
    <row r="771" spans="1:25" s="99" customFormat="1" ht="26.25" customHeight="1">
      <c r="A771" s="100">
        <v>4512</v>
      </c>
      <c r="B771" s="101" t="s">
        <v>11</v>
      </c>
      <c r="C771" s="105" t="s">
        <v>52</v>
      </c>
      <c r="D771" s="105" t="s">
        <v>1591</v>
      </c>
      <c r="E771" s="105" t="s">
        <v>44</v>
      </c>
      <c r="F771" s="101" t="str">
        <f t="shared" si="25"/>
        <v>-</v>
      </c>
      <c r="G771" s="106" t="s">
        <v>53</v>
      </c>
      <c r="H771" s="105"/>
      <c r="I771" s="106" t="s">
        <v>1592</v>
      </c>
      <c r="J771" s="107" t="s">
        <v>54</v>
      </c>
      <c r="K771" s="108"/>
      <c r="L771" s="106"/>
      <c r="M771" s="110"/>
      <c r="N771" s="105" t="s">
        <v>78</v>
      </c>
      <c r="O771" s="105" t="str">
        <f t="shared" si="26"/>
        <v/>
      </c>
      <c r="P771" s="105"/>
      <c r="Q771" s="105" t="s">
        <v>77</v>
      </c>
      <c r="R771" s="105" t="s">
        <v>77</v>
      </c>
      <c r="S771" s="105"/>
      <c r="T771" s="105"/>
      <c r="U771" s="105"/>
      <c r="V771" s="105"/>
      <c r="W771" s="105" t="s">
        <v>80</v>
      </c>
      <c r="X771" s="105"/>
      <c r="Y771" s="105"/>
    </row>
    <row r="772" spans="1:25" s="99" customFormat="1" ht="26.25" customHeight="1">
      <c r="A772" s="100">
        <v>4513</v>
      </c>
      <c r="B772" s="101" t="s">
        <v>11</v>
      </c>
      <c r="C772" s="105" t="s">
        <v>52</v>
      </c>
      <c r="D772" s="105" t="s">
        <v>1593</v>
      </c>
      <c r="E772" s="105" t="s">
        <v>44</v>
      </c>
      <c r="F772" s="101" t="str">
        <f t="shared" si="25"/>
        <v>-</v>
      </c>
      <c r="G772" s="106" t="s">
        <v>53</v>
      </c>
      <c r="H772" s="105"/>
      <c r="I772" s="106" t="s">
        <v>1594</v>
      </c>
      <c r="J772" s="107" t="s">
        <v>54</v>
      </c>
      <c r="K772" s="108"/>
      <c r="L772" s="106"/>
      <c r="M772" s="110"/>
      <c r="N772" s="105" t="s">
        <v>78</v>
      </c>
      <c r="O772" s="105" t="str">
        <f t="shared" si="26"/>
        <v/>
      </c>
      <c r="P772" s="105"/>
      <c r="Q772" s="105" t="s">
        <v>77</v>
      </c>
      <c r="R772" s="105" t="s">
        <v>77</v>
      </c>
      <c r="S772" s="105"/>
      <c r="T772" s="105"/>
      <c r="U772" s="105"/>
      <c r="V772" s="105"/>
      <c r="W772" s="105" t="s">
        <v>80</v>
      </c>
      <c r="X772" s="105"/>
      <c r="Y772" s="105"/>
    </row>
    <row r="773" spans="1:25" s="99" customFormat="1" ht="26.25" customHeight="1">
      <c r="A773" s="100">
        <v>4514</v>
      </c>
      <c r="B773" s="101" t="s">
        <v>11</v>
      </c>
      <c r="C773" s="105" t="s">
        <v>52</v>
      </c>
      <c r="D773" s="105" t="s">
        <v>1595</v>
      </c>
      <c r="E773" s="105" t="s">
        <v>44</v>
      </c>
      <c r="F773" s="101" t="str">
        <f t="shared" si="25"/>
        <v>-</v>
      </c>
      <c r="G773" s="106" t="s">
        <v>53</v>
      </c>
      <c r="H773" s="105"/>
      <c r="I773" s="106" t="s">
        <v>1596</v>
      </c>
      <c r="J773" s="107" t="s">
        <v>54</v>
      </c>
      <c r="K773" s="108"/>
      <c r="L773" s="106"/>
      <c r="M773" s="110"/>
      <c r="N773" s="105" t="s">
        <v>78</v>
      </c>
      <c r="O773" s="105" t="str">
        <f t="shared" si="26"/>
        <v/>
      </c>
      <c r="P773" s="105"/>
      <c r="Q773" s="105" t="s">
        <v>77</v>
      </c>
      <c r="R773" s="105" t="s">
        <v>77</v>
      </c>
      <c r="S773" s="105"/>
      <c r="T773" s="105"/>
      <c r="U773" s="105"/>
      <c r="V773" s="105"/>
      <c r="W773" s="105" t="s">
        <v>80</v>
      </c>
      <c r="X773" s="105"/>
      <c r="Y773" s="105"/>
    </row>
    <row r="774" spans="1:25" s="99" customFormat="1" ht="26.25" customHeight="1">
      <c r="A774" s="100">
        <v>4515</v>
      </c>
      <c r="B774" s="101" t="s">
        <v>11</v>
      </c>
      <c r="C774" s="105" t="s">
        <v>52</v>
      </c>
      <c r="D774" s="105" t="s">
        <v>1597</v>
      </c>
      <c r="E774" s="105" t="s">
        <v>44</v>
      </c>
      <c r="F774" s="101" t="str">
        <f t="shared" si="25"/>
        <v>-</v>
      </c>
      <c r="G774" s="106" t="s">
        <v>53</v>
      </c>
      <c r="H774" s="105"/>
      <c r="I774" s="106" t="s">
        <v>1598</v>
      </c>
      <c r="J774" s="107" t="s">
        <v>54</v>
      </c>
      <c r="K774" s="108"/>
      <c r="L774" s="106"/>
      <c r="M774" s="110"/>
      <c r="N774" s="105" t="s">
        <v>78</v>
      </c>
      <c r="O774" s="105" t="str">
        <f t="shared" si="26"/>
        <v/>
      </c>
      <c r="P774" s="105"/>
      <c r="Q774" s="105" t="s">
        <v>77</v>
      </c>
      <c r="R774" s="105" t="s">
        <v>77</v>
      </c>
      <c r="S774" s="105"/>
      <c r="T774" s="105"/>
      <c r="U774" s="105"/>
      <c r="V774" s="105"/>
      <c r="W774" s="105" t="s">
        <v>80</v>
      </c>
      <c r="X774" s="105"/>
      <c r="Y774" s="105"/>
    </row>
    <row r="775" spans="1:25" s="99" customFormat="1" ht="26.25" customHeight="1">
      <c r="A775" s="100">
        <v>4516</v>
      </c>
      <c r="B775" s="101" t="s">
        <v>11</v>
      </c>
      <c r="C775" s="105" t="s">
        <v>52</v>
      </c>
      <c r="D775" s="105" t="s">
        <v>1599</v>
      </c>
      <c r="E775" s="105" t="s">
        <v>44</v>
      </c>
      <c r="F775" s="101" t="str">
        <f t="shared" si="25"/>
        <v>-</v>
      </c>
      <c r="G775" s="106" t="s">
        <v>53</v>
      </c>
      <c r="H775" s="105"/>
      <c r="I775" s="106" t="s">
        <v>1600</v>
      </c>
      <c r="J775" s="107" t="s">
        <v>54</v>
      </c>
      <c r="K775" s="108"/>
      <c r="L775" s="106"/>
      <c r="M775" s="110"/>
      <c r="N775" s="105" t="s">
        <v>78</v>
      </c>
      <c r="O775" s="105" t="str">
        <f t="shared" si="26"/>
        <v/>
      </c>
      <c r="P775" s="105"/>
      <c r="Q775" s="105" t="s">
        <v>77</v>
      </c>
      <c r="R775" s="105" t="s">
        <v>77</v>
      </c>
      <c r="S775" s="105"/>
      <c r="T775" s="105"/>
      <c r="U775" s="105"/>
      <c r="V775" s="105"/>
      <c r="W775" s="105" t="s">
        <v>80</v>
      </c>
      <c r="X775" s="105"/>
      <c r="Y775" s="105"/>
    </row>
    <row r="776" spans="1:25" s="99" customFormat="1" ht="26.25" customHeight="1">
      <c r="A776" s="100">
        <v>4517</v>
      </c>
      <c r="B776" s="101" t="s">
        <v>11</v>
      </c>
      <c r="C776" s="105" t="s">
        <v>52</v>
      </c>
      <c r="D776" s="105" t="s">
        <v>1601</v>
      </c>
      <c r="E776" s="105" t="s">
        <v>44</v>
      </c>
      <c r="F776" s="101" t="str">
        <f t="shared" si="25"/>
        <v>-</v>
      </c>
      <c r="G776" s="106" t="s">
        <v>53</v>
      </c>
      <c r="H776" s="105"/>
      <c r="I776" s="106" t="s">
        <v>1602</v>
      </c>
      <c r="J776" s="107" t="s">
        <v>54</v>
      </c>
      <c r="K776" s="108"/>
      <c r="L776" s="106"/>
      <c r="M776" s="110"/>
      <c r="N776" s="105" t="s">
        <v>78</v>
      </c>
      <c r="O776" s="105" t="str">
        <f t="shared" si="26"/>
        <v/>
      </c>
      <c r="P776" s="105"/>
      <c r="Q776" s="105" t="s">
        <v>77</v>
      </c>
      <c r="R776" s="105" t="s">
        <v>77</v>
      </c>
      <c r="S776" s="105"/>
      <c r="T776" s="105"/>
      <c r="U776" s="105"/>
      <c r="V776" s="105"/>
      <c r="W776" s="105" t="s">
        <v>80</v>
      </c>
      <c r="X776" s="105"/>
      <c r="Y776" s="105"/>
    </row>
    <row r="777" spans="1:25" s="99" customFormat="1" ht="26.25" customHeight="1">
      <c r="A777" s="100">
        <v>4518</v>
      </c>
      <c r="B777" s="101" t="s">
        <v>11</v>
      </c>
      <c r="C777" s="105" t="s">
        <v>52</v>
      </c>
      <c r="D777" s="105" t="s">
        <v>1603</v>
      </c>
      <c r="E777" s="105" t="s">
        <v>44</v>
      </c>
      <c r="F777" s="101" t="str">
        <f t="shared" si="25"/>
        <v>-</v>
      </c>
      <c r="G777" s="106" t="s">
        <v>53</v>
      </c>
      <c r="H777" s="105"/>
      <c r="I777" s="106" t="s">
        <v>1604</v>
      </c>
      <c r="J777" s="107" t="s">
        <v>54</v>
      </c>
      <c r="K777" s="108"/>
      <c r="L777" s="106"/>
      <c r="M777" s="110"/>
      <c r="N777" s="105" t="s">
        <v>78</v>
      </c>
      <c r="O777" s="105" t="str">
        <f t="shared" si="26"/>
        <v/>
      </c>
      <c r="P777" s="105"/>
      <c r="Q777" s="105" t="s">
        <v>77</v>
      </c>
      <c r="R777" s="105" t="s">
        <v>77</v>
      </c>
      <c r="S777" s="105"/>
      <c r="T777" s="105"/>
      <c r="U777" s="105"/>
      <c r="V777" s="105"/>
      <c r="W777" s="105" t="s">
        <v>80</v>
      </c>
      <c r="X777" s="105"/>
      <c r="Y777" s="105"/>
    </row>
    <row r="778" spans="1:25" s="99" customFormat="1" ht="26.25" customHeight="1">
      <c r="A778" s="100">
        <v>4519</v>
      </c>
      <c r="B778" s="101" t="s">
        <v>11</v>
      </c>
      <c r="C778" s="105" t="s">
        <v>52</v>
      </c>
      <c r="D778" s="105" t="s">
        <v>1605</v>
      </c>
      <c r="E778" s="105" t="s">
        <v>44</v>
      </c>
      <c r="F778" s="101" t="str">
        <f t="shared" si="25"/>
        <v>-</v>
      </c>
      <c r="G778" s="106" t="s">
        <v>53</v>
      </c>
      <c r="H778" s="105"/>
      <c r="I778" s="106" t="s">
        <v>1606</v>
      </c>
      <c r="J778" s="107" t="s">
        <v>54</v>
      </c>
      <c r="K778" s="108"/>
      <c r="L778" s="106"/>
      <c r="M778" s="110"/>
      <c r="N778" s="105" t="s">
        <v>78</v>
      </c>
      <c r="O778" s="105" t="str">
        <f t="shared" si="26"/>
        <v/>
      </c>
      <c r="P778" s="105"/>
      <c r="Q778" s="105" t="s">
        <v>77</v>
      </c>
      <c r="R778" s="105" t="s">
        <v>77</v>
      </c>
      <c r="S778" s="105"/>
      <c r="T778" s="105"/>
      <c r="U778" s="105"/>
      <c r="V778" s="105"/>
      <c r="W778" s="105" t="s">
        <v>80</v>
      </c>
      <c r="X778" s="105"/>
      <c r="Y778" s="105"/>
    </row>
    <row r="779" spans="1:25" s="99" customFormat="1" ht="26.25" customHeight="1">
      <c r="A779" s="100">
        <v>4520</v>
      </c>
      <c r="B779" s="101" t="s">
        <v>11</v>
      </c>
      <c r="C779" s="105" t="s">
        <v>52</v>
      </c>
      <c r="D779" s="105" t="s">
        <v>1607</v>
      </c>
      <c r="E779" s="105" t="s">
        <v>44</v>
      </c>
      <c r="F779" s="101" t="str">
        <f t="shared" si="25"/>
        <v>-</v>
      </c>
      <c r="G779" s="106" t="s">
        <v>53</v>
      </c>
      <c r="H779" s="105"/>
      <c r="I779" s="106" t="s">
        <v>1608</v>
      </c>
      <c r="J779" s="107" t="s">
        <v>54</v>
      </c>
      <c r="K779" s="108"/>
      <c r="L779" s="106"/>
      <c r="M779" s="110"/>
      <c r="N779" s="105" t="s">
        <v>78</v>
      </c>
      <c r="O779" s="105" t="str">
        <f t="shared" si="26"/>
        <v/>
      </c>
      <c r="P779" s="105"/>
      <c r="Q779" s="105" t="s">
        <v>77</v>
      </c>
      <c r="R779" s="105" t="s">
        <v>77</v>
      </c>
      <c r="S779" s="105"/>
      <c r="T779" s="105"/>
      <c r="U779" s="105"/>
      <c r="V779" s="105"/>
      <c r="W779" s="105" t="s">
        <v>80</v>
      </c>
      <c r="X779" s="105"/>
      <c r="Y779" s="105"/>
    </row>
    <row r="780" spans="1:25" s="99" customFormat="1" ht="26.25" customHeight="1">
      <c r="A780" s="100">
        <v>4521</v>
      </c>
      <c r="B780" s="101" t="s">
        <v>11</v>
      </c>
      <c r="C780" s="105" t="s">
        <v>52</v>
      </c>
      <c r="D780" s="105" t="s">
        <v>1609</v>
      </c>
      <c r="E780" s="105" t="s">
        <v>44</v>
      </c>
      <c r="F780" s="101" t="str">
        <f t="shared" si="25"/>
        <v>-</v>
      </c>
      <c r="G780" s="106" t="s">
        <v>53</v>
      </c>
      <c r="H780" s="105"/>
      <c r="I780" s="106" t="s">
        <v>1610</v>
      </c>
      <c r="J780" s="107" t="s">
        <v>54</v>
      </c>
      <c r="K780" s="108"/>
      <c r="L780" s="106"/>
      <c r="M780" s="110"/>
      <c r="N780" s="105" t="s">
        <v>78</v>
      </c>
      <c r="O780" s="105" t="str">
        <f t="shared" si="26"/>
        <v/>
      </c>
      <c r="P780" s="105"/>
      <c r="Q780" s="105" t="s">
        <v>77</v>
      </c>
      <c r="R780" s="105" t="s">
        <v>77</v>
      </c>
      <c r="S780" s="105"/>
      <c r="T780" s="105"/>
      <c r="U780" s="105"/>
      <c r="V780" s="105"/>
      <c r="W780" s="105" t="s">
        <v>80</v>
      </c>
      <c r="X780" s="105"/>
      <c r="Y780" s="105"/>
    </row>
    <row r="781" spans="1:25" s="99" customFormat="1" ht="26.25" customHeight="1">
      <c r="A781" s="100">
        <v>4522</v>
      </c>
      <c r="B781" s="101" t="s">
        <v>11</v>
      </c>
      <c r="C781" s="105" t="s">
        <v>52</v>
      </c>
      <c r="D781" s="105" t="s">
        <v>1611</v>
      </c>
      <c r="E781" s="105" t="s">
        <v>44</v>
      </c>
      <c r="F781" s="101" t="str">
        <f t="shared" si="25"/>
        <v>-</v>
      </c>
      <c r="G781" s="106" t="s">
        <v>53</v>
      </c>
      <c r="H781" s="105"/>
      <c r="I781" s="106" t="s">
        <v>1612</v>
      </c>
      <c r="J781" s="107" t="s">
        <v>54</v>
      </c>
      <c r="K781" s="108"/>
      <c r="L781" s="106"/>
      <c r="M781" s="110"/>
      <c r="N781" s="105" t="s">
        <v>78</v>
      </c>
      <c r="O781" s="105" t="str">
        <f t="shared" si="26"/>
        <v/>
      </c>
      <c r="P781" s="105"/>
      <c r="Q781" s="105" t="s">
        <v>77</v>
      </c>
      <c r="R781" s="105" t="s">
        <v>77</v>
      </c>
      <c r="S781" s="105"/>
      <c r="T781" s="105"/>
      <c r="U781" s="105"/>
      <c r="V781" s="105"/>
      <c r="W781" s="105" t="s">
        <v>80</v>
      </c>
      <c r="X781" s="105"/>
      <c r="Y781" s="105"/>
    </row>
    <row r="782" spans="1:25" s="99" customFormat="1" ht="26.25" customHeight="1">
      <c r="A782" s="100">
        <v>4523</v>
      </c>
      <c r="B782" s="101" t="s">
        <v>11</v>
      </c>
      <c r="C782" s="105" t="s">
        <v>52</v>
      </c>
      <c r="D782" s="105" t="s">
        <v>1613</v>
      </c>
      <c r="E782" s="105" t="s">
        <v>44</v>
      </c>
      <c r="F782" s="101" t="str">
        <f t="shared" si="25"/>
        <v>-</v>
      </c>
      <c r="G782" s="106" t="s">
        <v>53</v>
      </c>
      <c r="H782" s="105"/>
      <c r="I782" s="106" t="s">
        <v>1614</v>
      </c>
      <c r="J782" s="107" t="s">
        <v>54</v>
      </c>
      <c r="K782" s="108"/>
      <c r="L782" s="106"/>
      <c r="M782" s="110"/>
      <c r="N782" s="105" t="s">
        <v>78</v>
      </c>
      <c r="O782" s="105" t="str">
        <f t="shared" si="26"/>
        <v/>
      </c>
      <c r="P782" s="105"/>
      <c r="Q782" s="105" t="s">
        <v>77</v>
      </c>
      <c r="R782" s="105" t="s">
        <v>77</v>
      </c>
      <c r="S782" s="105"/>
      <c r="T782" s="105"/>
      <c r="U782" s="105"/>
      <c r="V782" s="105"/>
      <c r="W782" s="105" t="s">
        <v>80</v>
      </c>
      <c r="X782" s="105"/>
      <c r="Y782" s="105"/>
    </row>
    <row r="783" spans="1:25" s="99" customFormat="1" ht="26.25" customHeight="1">
      <c r="A783" s="100">
        <v>4524</v>
      </c>
      <c r="B783" s="101" t="s">
        <v>11</v>
      </c>
      <c r="C783" s="105" t="s">
        <v>52</v>
      </c>
      <c r="D783" s="105" t="s">
        <v>1615</v>
      </c>
      <c r="E783" s="105" t="s">
        <v>44</v>
      </c>
      <c r="F783" s="101" t="str">
        <f t="shared" si="25"/>
        <v>-</v>
      </c>
      <c r="G783" s="106" t="s">
        <v>53</v>
      </c>
      <c r="H783" s="105"/>
      <c r="I783" s="106" t="s">
        <v>1616</v>
      </c>
      <c r="J783" s="107" t="s">
        <v>54</v>
      </c>
      <c r="K783" s="108"/>
      <c r="L783" s="106"/>
      <c r="M783" s="110"/>
      <c r="N783" s="105" t="s">
        <v>78</v>
      </c>
      <c r="O783" s="105" t="str">
        <f t="shared" si="26"/>
        <v/>
      </c>
      <c r="P783" s="105"/>
      <c r="Q783" s="105" t="s">
        <v>77</v>
      </c>
      <c r="R783" s="105" t="s">
        <v>77</v>
      </c>
      <c r="S783" s="105"/>
      <c r="T783" s="105"/>
      <c r="U783" s="105"/>
      <c r="V783" s="105"/>
      <c r="W783" s="105" t="s">
        <v>80</v>
      </c>
      <c r="X783" s="105"/>
      <c r="Y783" s="105"/>
    </row>
    <row r="784" spans="1:25" s="99" customFormat="1" ht="26.25" customHeight="1">
      <c r="A784" s="100">
        <v>4525</v>
      </c>
      <c r="B784" s="101" t="s">
        <v>11</v>
      </c>
      <c r="C784" s="105" t="s">
        <v>52</v>
      </c>
      <c r="D784" s="105" t="s">
        <v>1617</v>
      </c>
      <c r="E784" s="105" t="s">
        <v>44</v>
      </c>
      <c r="F784" s="101" t="str">
        <f t="shared" si="25"/>
        <v>-</v>
      </c>
      <c r="G784" s="106" t="s">
        <v>53</v>
      </c>
      <c r="H784" s="105"/>
      <c r="I784" s="106" t="s">
        <v>1618</v>
      </c>
      <c r="J784" s="107" t="s">
        <v>54</v>
      </c>
      <c r="K784" s="108"/>
      <c r="L784" s="106"/>
      <c r="M784" s="110"/>
      <c r="N784" s="105" t="s">
        <v>78</v>
      </c>
      <c r="O784" s="105" t="str">
        <f t="shared" si="26"/>
        <v/>
      </c>
      <c r="P784" s="105"/>
      <c r="Q784" s="105" t="s">
        <v>77</v>
      </c>
      <c r="R784" s="105" t="s">
        <v>77</v>
      </c>
      <c r="S784" s="105"/>
      <c r="T784" s="105"/>
      <c r="U784" s="105"/>
      <c r="V784" s="105"/>
      <c r="W784" s="105" t="s">
        <v>80</v>
      </c>
      <c r="X784" s="105"/>
      <c r="Y784" s="105"/>
    </row>
    <row r="785" spans="1:25" s="99" customFormat="1" ht="26.25" customHeight="1">
      <c r="A785" s="100">
        <v>4526</v>
      </c>
      <c r="B785" s="101" t="s">
        <v>11</v>
      </c>
      <c r="C785" s="105" t="s">
        <v>52</v>
      </c>
      <c r="D785" s="105" t="s">
        <v>1619</v>
      </c>
      <c r="E785" s="105" t="s">
        <v>44</v>
      </c>
      <c r="F785" s="101" t="str">
        <f t="shared" si="25"/>
        <v>-</v>
      </c>
      <c r="G785" s="106" t="s">
        <v>53</v>
      </c>
      <c r="H785" s="105"/>
      <c r="I785" s="106" t="s">
        <v>1620</v>
      </c>
      <c r="J785" s="107" t="s">
        <v>54</v>
      </c>
      <c r="K785" s="108"/>
      <c r="L785" s="106"/>
      <c r="M785" s="110"/>
      <c r="N785" s="105" t="s">
        <v>78</v>
      </c>
      <c r="O785" s="105" t="str">
        <f t="shared" si="26"/>
        <v/>
      </c>
      <c r="P785" s="105"/>
      <c r="Q785" s="105" t="s">
        <v>77</v>
      </c>
      <c r="R785" s="105" t="s">
        <v>77</v>
      </c>
      <c r="S785" s="105"/>
      <c r="T785" s="105"/>
      <c r="U785" s="105"/>
      <c r="V785" s="105"/>
      <c r="W785" s="105" t="s">
        <v>80</v>
      </c>
      <c r="X785" s="105"/>
      <c r="Y785" s="105"/>
    </row>
    <row r="786" spans="1:25" s="99" customFormat="1" ht="26.25" customHeight="1">
      <c r="A786" s="100">
        <v>4527</v>
      </c>
      <c r="B786" s="101" t="s">
        <v>11</v>
      </c>
      <c r="C786" s="105" t="s">
        <v>52</v>
      </c>
      <c r="D786" s="105" t="s">
        <v>1621</v>
      </c>
      <c r="E786" s="105" t="s">
        <v>44</v>
      </c>
      <c r="F786" s="101" t="str">
        <f t="shared" si="25"/>
        <v>-</v>
      </c>
      <c r="G786" s="106" t="s">
        <v>53</v>
      </c>
      <c r="H786" s="105"/>
      <c r="I786" s="106" t="s">
        <v>1622</v>
      </c>
      <c r="J786" s="107" t="s">
        <v>54</v>
      </c>
      <c r="K786" s="108"/>
      <c r="L786" s="106"/>
      <c r="M786" s="110"/>
      <c r="N786" s="105" t="s">
        <v>78</v>
      </c>
      <c r="O786" s="105" t="str">
        <f t="shared" si="26"/>
        <v/>
      </c>
      <c r="P786" s="105"/>
      <c r="Q786" s="105" t="s">
        <v>77</v>
      </c>
      <c r="R786" s="105" t="s">
        <v>77</v>
      </c>
      <c r="S786" s="105"/>
      <c r="T786" s="105"/>
      <c r="U786" s="105"/>
      <c r="V786" s="105"/>
      <c r="W786" s="105" t="s">
        <v>80</v>
      </c>
      <c r="X786" s="105"/>
      <c r="Y786" s="105"/>
    </row>
    <row r="787" spans="1:25" s="99" customFormat="1" ht="26.25" customHeight="1">
      <c r="A787" s="100">
        <v>4528</v>
      </c>
      <c r="B787" s="101" t="s">
        <v>11</v>
      </c>
      <c r="C787" s="105" t="s">
        <v>52</v>
      </c>
      <c r="D787" s="105" t="s">
        <v>1623</v>
      </c>
      <c r="E787" s="105" t="s">
        <v>44</v>
      </c>
      <c r="F787" s="101" t="str">
        <f t="shared" si="25"/>
        <v>-</v>
      </c>
      <c r="G787" s="106" t="s">
        <v>53</v>
      </c>
      <c r="H787" s="105"/>
      <c r="I787" s="106" t="s">
        <v>1624</v>
      </c>
      <c r="J787" s="107" t="s">
        <v>54</v>
      </c>
      <c r="K787" s="108"/>
      <c r="L787" s="106"/>
      <c r="M787" s="110"/>
      <c r="N787" s="105" t="s">
        <v>78</v>
      </c>
      <c r="O787" s="105" t="str">
        <f t="shared" si="26"/>
        <v/>
      </c>
      <c r="P787" s="105"/>
      <c r="Q787" s="105" t="s">
        <v>77</v>
      </c>
      <c r="R787" s="105" t="s">
        <v>77</v>
      </c>
      <c r="S787" s="105"/>
      <c r="T787" s="105"/>
      <c r="U787" s="105"/>
      <c r="V787" s="105"/>
      <c r="W787" s="105" t="s">
        <v>80</v>
      </c>
      <c r="X787" s="105"/>
      <c r="Y787" s="105"/>
    </row>
    <row r="788" spans="1:25" s="99" customFormat="1" ht="26.25" customHeight="1">
      <c r="A788" s="100">
        <v>4529</v>
      </c>
      <c r="B788" s="101" t="s">
        <v>11</v>
      </c>
      <c r="C788" s="105" t="s">
        <v>52</v>
      </c>
      <c r="D788" s="105" t="s">
        <v>1625</v>
      </c>
      <c r="E788" s="105" t="s">
        <v>44</v>
      </c>
      <c r="F788" s="101" t="str">
        <f t="shared" si="25"/>
        <v>-</v>
      </c>
      <c r="G788" s="106" t="s">
        <v>53</v>
      </c>
      <c r="H788" s="105"/>
      <c r="I788" s="106" t="s">
        <v>1626</v>
      </c>
      <c r="J788" s="107" t="s">
        <v>54</v>
      </c>
      <c r="K788" s="108"/>
      <c r="L788" s="106"/>
      <c r="M788" s="110"/>
      <c r="N788" s="105" t="s">
        <v>78</v>
      </c>
      <c r="O788" s="105" t="str">
        <f t="shared" si="26"/>
        <v/>
      </c>
      <c r="P788" s="105"/>
      <c r="Q788" s="105" t="s">
        <v>77</v>
      </c>
      <c r="R788" s="105" t="s">
        <v>77</v>
      </c>
      <c r="S788" s="105"/>
      <c r="T788" s="105"/>
      <c r="U788" s="105"/>
      <c r="V788" s="105"/>
      <c r="W788" s="105" t="s">
        <v>80</v>
      </c>
      <c r="X788" s="105"/>
      <c r="Y788" s="105"/>
    </row>
    <row r="789" spans="1:25" s="99" customFormat="1" ht="26.25" customHeight="1">
      <c r="A789" s="100">
        <v>4530</v>
      </c>
      <c r="B789" s="101" t="s">
        <v>11</v>
      </c>
      <c r="C789" s="105" t="s">
        <v>52</v>
      </c>
      <c r="D789" s="105" t="s">
        <v>1627</v>
      </c>
      <c r="E789" s="105" t="s">
        <v>44</v>
      </c>
      <c r="F789" s="101" t="str">
        <f t="shared" si="25"/>
        <v>-</v>
      </c>
      <c r="G789" s="106" t="s">
        <v>53</v>
      </c>
      <c r="H789" s="105"/>
      <c r="I789" s="106" t="s">
        <v>1628</v>
      </c>
      <c r="J789" s="107" t="s">
        <v>54</v>
      </c>
      <c r="K789" s="108"/>
      <c r="L789" s="106"/>
      <c r="M789" s="110"/>
      <c r="N789" s="105" t="s">
        <v>78</v>
      </c>
      <c r="O789" s="105" t="str">
        <f t="shared" si="26"/>
        <v/>
      </c>
      <c r="P789" s="105"/>
      <c r="Q789" s="105" t="s">
        <v>77</v>
      </c>
      <c r="R789" s="105" t="s">
        <v>77</v>
      </c>
      <c r="S789" s="105"/>
      <c r="T789" s="105"/>
      <c r="U789" s="105"/>
      <c r="V789" s="105"/>
      <c r="W789" s="105" t="s">
        <v>80</v>
      </c>
      <c r="X789" s="105"/>
      <c r="Y789" s="105"/>
    </row>
    <row r="790" spans="1:25" s="99" customFormat="1" ht="26.25" customHeight="1">
      <c r="A790" s="100">
        <v>4531</v>
      </c>
      <c r="B790" s="101" t="s">
        <v>11</v>
      </c>
      <c r="C790" s="105" t="s">
        <v>52</v>
      </c>
      <c r="D790" s="105" t="s">
        <v>1629</v>
      </c>
      <c r="E790" s="105" t="s">
        <v>44</v>
      </c>
      <c r="F790" s="101" t="str">
        <f t="shared" ref="F790:F820" si="27">IF(B790&lt;&gt;"","-","")</f>
        <v>-</v>
      </c>
      <c r="G790" s="106" t="s">
        <v>53</v>
      </c>
      <c r="H790" s="105"/>
      <c r="I790" s="106" t="s">
        <v>1630</v>
      </c>
      <c r="J790" s="107" t="s">
        <v>54</v>
      </c>
      <c r="K790" s="108"/>
      <c r="L790" s="106"/>
      <c r="M790" s="110"/>
      <c r="N790" s="105" t="s">
        <v>78</v>
      </c>
      <c r="O790" s="105" t="str">
        <f t="shared" ref="O790:O820" si="28">IF(OR(R790&lt;&gt;"",Q790&lt;&gt;""),"X","")</f>
        <v/>
      </c>
      <c r="P790" s="105"/>
      <c r="Q790" s="105" t="s">
        <v>77</v>
      </c>
      <c r="R790" s="105" t="s">
        <v>77</v>
      </c>
      <c r="S790" s="105"/>
      <c r="T790" s="105"/>
      <c r="U790" s="105"/>
      <c r="V790" s="105"/>
      <c r="W790" s="105" t="s">
        <v>80</v>
      </c>
      <c r="X790" s="105"/>
      <c r="Y790" s="105"/>
    </row>
    <row r="791" spans="1:25" s="99" customFormat="1" ht="26.25" customHeight="1">
      <c r="A791" s="100">
        <v>4532</v>
      </c>
      <c r="B791" s="101" t="s">
        <v>11</v>
      </c>
      <c r="C791" s="105" t="s">
        <v>52</v>
      </c>
      <c r="D791" s="105" t="s">
        <v>1631</v>
      </c>
      <c r="E791" s="105" t="s">
        <v>44</v>
      </c>
      <c r="F791" s="101" t="str">
        <f t="shared" si="27"/>
        <v>-</v>
      </c>
      <c r="G791" s="106" t="s">
        <v>53</v>
      </c>
      <c r="H791" s="105"/>
      <c r="I791" s="106" t="s">
        <v>1632</v>
      </c>
      <c r="J791" s="107" t="s">
        <v>54</v>
      </c>
      <c r="K791" s="108"/>
      <c r="L791" s="106"/>
      <c r="M791" s="110"/>
      <c r="N791" s="105" t="s">
        <v>78</v>
      </c>
      <c r="O791" s="105" t="str">
        <f t="shared" si="28"/>
        <v/>
      </c>
      <c r="P791" s="105"/>
      <c r="Q791" s="105" t="s">
        <v>77</v>
      </c>
      <c r="R791" s="105" t="s">
        <v>77</v>
      </c>
      <c r="S791" s="105"/>
      <c r="T791" s="105"/>
      <c r="U791" s="105"/>
      <c r="V791" s="105"/>
      <c r="W791" s="105" t="s">
        <v>80</v>
      </c>
      <c r="X791" s="105"/>
      <c r="Y791" s="105"/>
    </row>
    <row r="792" spans="1:25" s="99" customFormat="1" ht="26.25" customHeight="1">
      <c r="A792" s="100">
        <v>4533</v>
      </c>
      <c r="B792" s="101" t="s">
        <v>11</v>
      </c>
      <c r="C792" s="105" t="s">
        <v>52</v>
      </c>
      <c r="D792" s="105" t="s">
        <v>1633</v>
      </c>
      <c r="E792" s="105" t="s">
        <v>44</v>
      </c>
      <c r="F792" s="101" t="str">
        <f t="shared" si="27"/>
        <v>-</v>
      </c>
      <c r="G792" s="106" t="s">
        <v>53</v>
      </c>
      <c r="H792" s="105"/>
      <c r="I792" s="106" t="s">
        <v>1634</v>
      </c>
      <c r="J792" s="107" t="s">
        <v>54</v>
      </c>
      <c r="K792" s="108"/>
      <c r="L792" s="106"/>
      <c r="M792" s="110"/>
      <c r="N792" s="105" t="s">
        <v>78</v>
      </c>
      <c r="O792" s="105" t="str">
        <f t="shared" si="28"/>
        <v/>
      </c>
      <c r="P792" s="105"/>
      <c r="Q792" s="105" t="s">
        <v>77</v>
      </c>
      <c r="R792" s="105" t="s">
        <v>77</v>
      </c>
      <c r="S792" s="105"/>
      <c r="T792" s="105"/>
      <c r="U792" s="105"/>
      <c r="V792" s="105"/>
      <c r="W792" s="105" t="s">
        <v>80</v>
      </c>
      <c r="X792" s="105"/>
      <c r="Y792" s="105"/>
    </row>
    <row r="793" spans="1:25" s="99" customFormat="1" ht="26.25" customHeight="1">
      <c r="A793" s="100">
        <v>4534</v>
      </c>
      <c r="B793" s="101" t="s">
        <v>11</v>
      </c>
      <c r="C793" s="105" t="s">
        <v>52</v>
      </c>
      <c r="D793" s="105" t="s">
        <v>1635</v>
      </c>
      <c r="E793" s="105" t="s">
        <v>44</v>
      </c>
      <c r="F793" s="101" t="str">
        <f t="shared" si="27"/>
        <v>-</v>
      </c>
      <c r="G793" s="106" t="s">
        <v>53</v>
      </c>
      <c r="H793" s="105"/>
      <c r="I793" s="106" t="s">
        <v>1636</v>
      </c>
      <c r="J793" s="107" t="s">
        <v>54</v>
      </c>
      <c r="K793" s="108"/>
      <c r="L793" s="106"/>
      <c r="M793" s="110"/>
      <c r="N793" s="105" t="s">
        <v>78</v>
      </c>
      <c r="O793" s="105" t="str">
        <f t="shared" si="28"/>
        <v/>
      </c>
      <c r="P793" s="105"/>
      <c r="Q793" s="105" t="s">
        <v>77</v>
      </c>
      <c r="R793" s="105" t="s">
        <v>77</v>
      </c>
      <c r="S793" s="105"/>
      <c r="T793" s="105"/>
      <c r="U793" s="105"/>
      <c r="V793" s="105"/>
      <c r="W793" s="105" t="s">
        <v>80</v>
      </c>
      <c r="X793" s="105"/>
      <c r="Y793" s="105"/>
    </row>
    <row r="794" spans="1:25" s="99" customFormat="1" ht="26.25" customHeight="1">
      <c r="A794" s="100">
        <v>4535</v>
      </c>
      <c r="B794" s="101" t="s">
        <v>11</v>
      </c>
      <c r="C794" s="105" t="s">
        <v>52</v>
      </c>
      <c r="D794" s="105" t="s">
        <v>1637</v>
      </c>
      <c r="E794" s="105" t="s">
        <v>44</v>
      </c>
      <c r="F794" s="101" t="str">
        <f t="shared" si="27"/>
        <v>-</v>
      </c>
      <c r="G794" s="106" t="s">
        <v>53</v>
      </c>
      <c r="H794" s="105"/>
      <c r="I794" s="106" t="s">
        <v>1638</v>
      </c>
      <c r="J794" s="107" t="s">
        <v>54</v>
      </c>
      <c r="K794" s="108"/>
      <c r="L794" s="106"/>
      <c r="M794" s="110"/>
      <c r="N794" s="105" t="s">
        <v>78</v>
      </c>
      <c r="O794" s="105" t="str">
        <f t="shared" si="28"/>
        <v/>
      </c>
      <c r="P794" s="105"/>
      <c r="Q794" s="105" t="s">
        <v>77</v>
      </c>
      <c r="R794" s="105" t="s">
        <v>77</v>
      </c>
      <c r="S794" s="105"/>
      <c r="T794" s="105"/>
      <c r="U794" s="105"/>
      <c r="V794" s="105"/>
      <c r="W794" s="105" t="s">
        <v>80</v>
      </c>
      <c r="X794" s="105"/>
      <c r="Y794" s="105"/>
    </row>
    <row r="795" spans="1:25" s="99" customFormat="1" ht="26.25" customHeight="1">
      <c r="A795" s="100">
        <v>4536</v>
      </c>
      <c r="B795" s="101" t="s">
        <v>11</v>
      </c>
      <c r="C795" s="105" t="s">
        <v>52</v>
      </c>
      <c r="D795" s="105" t="s">
        <v>1639</v>
      </c>
      <c r="E795" s="105" t="s">
        <v>44</v>
      </c>
      <c r="F795" s="101" t="str">
        <f t="shared" si="27"/>
        <v>-</v>
      </c>
      <c r="G795" s="106" t="s">
        <v>53</v>
      </c>
      <c r="H795" s="105"/>
      <c r="I795" s="106" t="s">
        <v>1640</v>
      </c>
      <c r="J795" s="107" t="s">
        <v>54</v>
      </c>
      <c r="K795" s="108"/>
      <c r="L795" s="106"/>
      <c r="M795" s="110"/>
      <c r="N795" s="105" t="s">
        <v>78</v>
      </c>
      <c r="O795" s="105" t="str">
        <f t="shared" si="28"/>
        <v/>
      </c>
      <c r="P795" s="105"/>
      <c r="Q795" s="105" t="s">
        <v>77</v>
      </c>
      <c r="R795" s="105" t="s">
        <v>77</v>
      </c>
      <c r="S795" s="105"/>
      <c r="T795" s="105"/>
      <c r="U795" s="105"/>
      <c r="V795" s="105"/>
      <c r="W795" s="105" t="s">
        <v>80</v>
      </c>
      <c r="X795" s="105"/>
      <c r="Y795" s="105"/>
    </row>
    <row r="796" spans="1:25" s="99" customFormat="1" ht="26.25" customHeight="1">
      <c r="A796" s="100">
        <v>4537</v>
      </c>
      <c r="B796" s="101" t="s">
        <v>11</v>
      </c>
      <c r="C796" s="105" t="s">
        <v>52</v>
      </c>
      <c r="D796" s="105" t="s">
        <v>1641</v>
      </c>
      <c r="E796" s="105" t="s">
        <v>44</v>
      </c>
      <c r="F796" s="101" t="str">
        <f t="shared" si="27"/>
        <v>-</v>
      </c>
      <c r="G796" s="106" t="s">
        <v>53</v>
      </c>
      <c r="H796" s="105"/>
      <c r="I796" s="106" t="s">
        <v>1642</v>
      </c>
      <c r="J796" s="107" t="s">
        <v>54</v>
      </c>
      <c r="K796" s="108"/>
      <c r="L796" s="106"/>
      <c r="M796" s="110"/>
      <c r="N796" s="105" t="s">
        <v>78</v>
      </c>
      <c r="O796" s="105" t="str">
        <f t="shared" si="28"/>
        <v/>
      </c>
      <c r="P796" s="105"/>
      <c r="Q796" s="105" t="s">
        <v>77</v>
      </c>
      <c r="R796" s="105" t="s">
        <v>77</v>
      </c>
      <c r="S796" s="105"/>
      <c r="T796" s="105"/>
      <c r="U796" s="105"/>
      <c r="V796" s="105"/>
      <c r="W796" s="105" t="s">
        <v>80</v>
      </c>
      <c r="X796" s="105"/>
      <c r="Y796" s="105"/>
    </row>
    <row r="797" spans="1:25" s="99" customFormat="1" ht="26.25" customHeight="1">
      <c r="A797" s="100">
        <v>4538</v>
      </c>
      <c r="B797" s="101" t="s">
        <v>11</v>
      </c>
      <c r="C797" s="105" t="s">
        <v>52</v>
      </c>
      <c r="D797" s="105" t="s">
        <v>1643</v>
      </c>
      <c r="E797" s="105" t="s">
        <v>44</v>
      </c>
      <c r="F797" s="101" t="str">
        <f t="shared" si="27"/>
        <v>-</v>
      </c>
      <c r="G797" s="106" t="s">
        <v>53</v>
      </c>
      <c r="H797" s="105"/>
      <c r="I797" s="106" t="s">
        <v>1644</v>
      </c>
      <c r="J797" s="107" t="s">
        <v>54</v>
      </c>
      <c r="K797" s="108"/>
      <c r="L797" s="106"/>
      <c r="M797" s="110"/>
      <c r="N797" s="105" t="s">
        <v>78</v>
      </c>
      <c r="O797" s="105" t="str">
        <f t="shared" si="28"/>
        <v/>
      </c>
      <c r="P797" s="105"/>
      <c r="Q797" s="105" t="s">
        <v>77</v>
      </c>
      <c r="R797" s="105" t="s">
        <v>77</v>
      </c>
      <c r="S797" s="105"/>
      <c r="T797" s="105"/>
      <c r="U797" s="105"/>
      <c r="V797" s="105"/>
      <c r="W797" s="105" t="s">
        <v>80</v>
      </c>
      <c r="X797" s="105"/>
      <c r="Y797" s="105"/>
    </row>
    <row r="798" spans="1:25" s="99" customFormat="1" ht="26.25" customHeight="1">
      <c r="A798" s="100">
        <v>4539</v>
      </c>
      <c r="B798" s="101" t="s">
        <v>11</v>
      </c>
      <c r="C798" s="105" t="s">
        <v>52</v>
      </c>
      <c r="D798" s="105" t="s">
        <v>1645</v>
      </c>
      <c r="E798" s="105" t="s">
        <v>44</v>
      </c>
      <c r="F798" s="101" t="str">
        <f t="shared" si="27"/>
        <v>-</v>
      </c>
      <c r="G798" s="106" t="s">
        <v>53</v>
      </c>
      <c r="H798" s="105"/>
      <c r="I798" s="106" t="s">
        <v>1646</v>
      </c>
      <c r="J798" s="107" t="s">
        <v>54</v>
      </c>
      <c r="K798" s="108"/>
      <c r="L798" s="106"/>
      <c r="M798" s="110"/>
      <c r="N798" s="105" t="s">
        <v>78</v>
      </c>
      <c r="O798" s="105" t="str">
        <f t="shared" si="28"/>
        <v/>
      </c>
      <c r="P798" s="105"/>
      <c r="Q798" s="105" t="s">
        <v>77</v>
      </c>
      <c r="R798" s="105" t="s">
        <v>77</v>
      </c>
      <c r="S798" s="105"/>
      <c r="T798" s="105"/>
      <c r="U798" s="105"/>
      <c r="V798" s="105"/>
      <c r="W798" s="105" t="s">
        <v>80</v>
      </c>
      <c r="X798" s="105"/>
      <c r="Y798" s="105"/>
    </row>
    <row r="799" spans="1:25" s="99" customFormat="1" ht="26.25" customHeight="1">
      <c r="A799" s="100">
        <v>4540</v>
      </c>
      <c r="B799" s="101" t="s">
        <v>11</v>
      </c>
      <c r="C799" s="105" t="s">
        <v>52</v>
      </c>
      <c r="D799" s="105" t="s">
        <v>1647</v>
      </c>
      <c r="E799" s="105" t="s">
        <v>44</v>
      </c>
      <c r="F799" s="101" t="str">
        <f t="shared" si="27"/>
        <v>-</v>
      </c>
      <c r="G799" s="106" t="s">
        <v>53</v>
      </c>
      <c r="H799" s="105"/>
      <c r="I799" s="106" t="s">
        <v>1648</v>
      </c>
      <c r="J799" s="107" t="s">
        <v>54</v>
      </c>
      <c r="K799" s="108"/>
      <c r="L799" s="106"/>
      <c r="M799" s="110"/>
      <c r="N799" s="105" t="s">
        <v>78</v>
      </c>
      <c r="O799" s="105" t="str">
        <f t="shared" si="28"/>
        <v/>
      </c>
      <c r="P799" s="105"/>
      <c r="Q799" s="105" t="s">
        <v>77</v>
      </c>
      <c r="R799" s="105" t="s">
        <v>77</v>
      </c>
      <c r="S799" s="105"/>
      <c r="T799" s="105"/>
      <c r="U799" s="105"/>
      <c r="V799" s="105"/>
      <c r="W799" s="105" t="s">
        <v>80</v>
      </c>
      <c r="X799" s="105"/>
      <c r="Y799" s="105"/>
    </row>
    <row r="800" spans="1:25" s="99" customFormat="1" ht="26.25" customHeight="1">
      <c r="A800" s="100">
        <v>4541</v>
      </c>
      <c r="B800" s="101" t="s">
        <v>11</v>
      </c>
      <c r="C800" s="105" t="s">
        <v>52</v>
      </c>
      <c r="D800" s="105" t="s">
        <v>1649</v>
      </c>
      <c r="E800" s="105" t="s">
        <v>44</v>
      </c>
      <c r="F800" s="101" t="str">
        <f t="shared" si="27"/>
        <v>-</v>
      </c>
      <c r="G800" s="106" t="s">
        <v>53</v>
      </c>
      <c r="H800" s="105"/>
      <c r="I800" s="106" t="s">
        <v>1650</v>
      </c>
      <c r="J800" s="107" t="s">
        <v>54</v>
      </c>
      <c r="K800" s="108"/>
      <c r="L800" s="106"/>
      <c r="M800" s="110"/>
      <c r="N800" s="105" t="s">
        <v>78</v>
      </c>
      <c r="O800" s="105" t="str">
        <f t="shared" si="28"/>
        <v/>
      </c>
      <c r="P800" s="105"/>
      <c r="Q800" s="105" t="s">
        <v>77</v>
      </c>
      <c r="R800" s="105" t="s">
        <v>77</v>
      </c>
      <c r="S800" s="105"/>
      <c r="T800" s="105"/>
      <c r="U800" s="105"/>
      <c r="V800" s="105"/>
      <c r="W800" s="105" t="s">
        <v>80</v>
      </c>
      <c r="X800" s="105"/>
      <c r="Y800" s="105"/>
    </row>
    <row r="801" spans="1:25" s="99" customFormat="1" ht="26.25" customHeight="1">
      <c r="A801" s="100">
        <v>4542</v>
      </c>
      <c r="B801" s="101" t="s">
        <v>11</v>
      </c>
      <c r="C801" s="105" t="s">
        <v>52</v>
      </c>
      <c r="D801" s="105" t="s">
        <v>1651</v>
      </c>
      <c r="E801" s="105" t="s">
        <v>44</v>
      </c>
      <c r="F801" s="101" t="str">
        <f t="shared" si="27"/>
        <v>-</v>
      </c>
      <c r="G801" s="106" t="s">
        <v>53</v>
      </c>
      <c r="H801" s="105"/>
      <c r="I801" s="106" t="s">
        <v>1652</v>
      </c>
      <c r="J801" s="107" t="s">
        <v>54</v>
      </c>
      <c r="K801" s="108"/>
      <c r="L801" s="106"/>
      <c r="M801" s="110"/>
      <c r="N801" s="105" t="s">
        <v>78</v>
      </c>
      <c r="O801" s="105" t="str">
        <f t="shared" si="28"/>
        <v/>
      </c>
      <c r="P801" s="105"/>
      <c r="Q801" s="105" t="s">
        <v>77</v>
      </c>
      <c r="R801" s="105" t="s">
        <v>77</v>
      </c>
      <c r="S801" s="105"/>
      <c r="T801" s="105"/>
      <c r="U801" s="105"/>
      <c r="V801" s="105"/>
      <c r="W801" s="105" t="s">
        <v>80</v>
      </c>
      <c r="X801" s="105"/>
      <c r="Y801" s="105"/>
    </row>
    <row r="802" spans="1:25" s="99" customFormat="1" ht="26.25" customHeight="1">
      <c r="A802" s="100">
        <v>4543</v>
      </c>
      <c r="B802" s="101" t="s">
        <v>11</v>
      </c>
      <c r="C802" s="105" t="s">
        <v>52</v>
      </c>
      <c r="D802" s="105" t="s">
        <v>1653</v>
      </c>
      <c r="E802" s="105" t="s">
        <v>44</v>
      </c>
      <c r="F802" s="101" t="str">
        <f t="shared" si="27"/>
        <v>-</v>
      </c>
      <c r="G802" s="106" t="s">
        <v>53</v>
      </c>
      <c r="H802" s="105"/>
      <c r="I802" s="106" t="s">
        <v>1654</v>
      </c>
      <c r="J802" s="107" t="s">
        <v>54</v>
      </c>
      <c r="K802" s="108"/>
      <c r="L802" s="106"/>
      <c r="M802" s="110"/>
      <c r="N802" s="105" t="s">
        <v>78</v>
      </c>
      <c r="O802" s="105" t="str">
        <f t="shared" si="28"/>
        <v/>
      </c>
      <c r="P802" s="105"/>
      <c r="Q802" s="105" t="s">
        <v>77</v>
      </c>
      <c r="R802" s="105" t="s">
        <v>77</v>
      </c>
      <c r="S802" s="105"/>
      <c r="T802" s="105"/>
      <c r="U802" s="105"/>
      <c r="V802" s="105"/>
      <c r="W802" s="105" t="s">
        <v>80</v>
      </c>
      <c r="X802" s="105"/>
      <c r="Y802" s="105"/>
    </row>
    <row r="803" spans="1:25" s="99" customFormat="1" ht="26.25" customHeight="1">
      <c r="A803" s="100">
        <v>4544</v>
      </c>
      <c r="B803" s="101" t="s">
        <v>11</v>
      </c>
      <c r="C803" s="105" t="s">
        <v>52</v>
      </c>
      <c r="D803" s="105" t="s">
        <v>1655</v>
      </c>
      <c r="E803" s="105" t="s">
        <v>44</v>
      </c>
      <c r="F803" s="101" t="str">
        <f t="shared" si="27"/>
        <v>-</v>
      </c>
      <c r="G803" s="106" t="s">
        <v>53</v>
      </c>
      <c r="H803" s="105"/>
      <c r="I803" s="106" t="s">
        <v>1656</v>
      </c>
      <c r="J803" s="107" t="s">
        <v>54</v>
      </c>
      <c r="K803" s="108"/>
      <c r="L803" s="106"/>
      <c r="M803" s="110"/>
      <c r="N803" s="105" t="s">
        <v>78</v>
      </c>
      <c r="O803" s="105" t="str">
        <f t="shared" si="28"/>
        <v/>
      </c>
      <c r="P803" s="105"/>
      <c r="Q803" s="105" t="s">
        <v>77</v>
      </c>
      <c r="R803" s="105" t="s">
        <v>77</v>
      </c>
      <c r="S803" s="105"/>
      <c r="T803" s="105"/>
      <c r="U803" s="105"/>
      <c r="V803" s="105"/>
      <c r="W803" s="105" t="s">
        <v>80</v>
      </c>
      <c r="X803" s="105"/>
      <c r="Y803" s="105"/>
    </row>
    <row r="804" spans="1:25" s="99" customFormat="1" ht="26.25" customHeight="1">
      <c r="A804" s="100">
        <v>4545</v>
      </c>
      <c r="B804" s="101" t="s">
        <v>11</v>
      </c>
      <c r="C804" s="105" t="s">
        <v>52</v>
      </c>
      <c r="D804" s="105" t="s">
        <v>1657</v>
      </c>
      <c r="E804" s="105" t="s">
        <v>44</v>
      </c>
      <c r="F804" s="101" t="str">
        <f t="shared" si="27"/>
        <v>-</v>
      </c>
      <c r="G804" s="106" t="s">
        <v>53</v>
      </c>
      <c r="H804" s="105"/>
      <c r="I804" s="106" t="s">
        <v>1658</v>
      </c>
      <c r="J804" s="107" t="s">
        <v>54</v>
      </c>
      <c r="K804" s="108"/>
      <c r="L804" s="106"/>
      <c r="M804" s="110"/>
      <c r="N804" s="105" t="s">
        <v>78</v>
      </c>
      <c r="O804" s="105" t="str">
        <f t="shared" si="28"/>
        <v/>
      </c>
      <c r="P804" s="105"/>
      <c r="Q804" s="105" t="s">
        <v>77</v>
      </c>
      <c r="R804" s="105" t="s">
        <v>77</v>
      </c>
      <c r="S804" s="105"/>
      <c r="T804" s="105"/>
      <c r="U804" s="105"/>
      <c r="V804" s="105"/>
      <c r="W804" s="105" t="s">
        <v>80</v>
      </c>
      <c r="X804" s="105"/>
      <c r="Y804" s="105"/>
    </row>
    <row r="805" spans="1:25" s="99" customFormat="1" ht="26.25" customHeight="1">
      <c r="A805" s="100">
        <v>4546</v>
      </c>
      <c r="B805" s="101" t="s">
        <v>11</v>
      </c>
      <c r="C805" s="105" t="s">
        <v>52</v>
      </c>
      <c r="D805" s="105" t="s">
        <v>1659</v>
      </c>
      <c r="E805" s="105" t="s">
        <v>44</v>
      </c>
      <c r="F805" s="101" t="str">
        <f t="shared" si="27"/>
        <v>-</v>
      </c>
      <c r="G805" s="106" t="s">
        <v>53</v>
      </c>
      <c r="H805" s="105"/>
      <c r="I805" s="106" t="s">
        <v>1660</v>
      </c>
      <c r="J805" s="107" t="s">
        <v>54</v>
      </c>
      <c r="K805" s="108"/>
      <c r="L805" s="106"/>
      <c r="M805" s="110"/>
      <c r="N805" s="105" t="s">
        <v>78</v>
      </c>
      <c r="O805" s="105" t="str">
        <f t="shared" si="28"/>
        <v/>
      </c>
      <c r="P805" s="105"/>
      <c r="Q805" s="105" t="s">
        <v>77</v>
      </c>
      <c r="R805" s="105" t="s">
        <v>77</v>
      </c>
      <c r="S805" s="105"/>
      <c r="T805" s="105"/>
      <c r="U805" s="105"/>
      <c r="V805" s="105"/>
      <c r="W805" s="105" t="s">
        <v>80</v>
      </c>
      <c r="X805" s="105"/>
      <c r="Y805" s="105"/>
    </row>
    <row r="806" spans="1:25" s="99" customFormat="1" ht="26.25" customHeight="1">
      <c r="A806" s="100">
        <v>4547</v>
      </c>
      <c r="B806" s="101" t="s">
        <v>11</v>
      </c>
      <c r="C806" s="105" t="s">
        <v>52</v>
      </c>
      <c r="D806" s="105" t="s">
        <v>1661</v>
      </c>
      <c r="E806" s="105" t="s">
        <v>44</v>
      </c>
      <c r="F806" s="101" t="str">
        <f t="shared" si="27"/>
        <v>-</v>
      </c>
      <c r="G806" s="106" t="s">
        <v>53</v>
      </c>
      <c r="H806" s="105"/>
      <c r="I806" s="106" t="s">
        <v>1662</v>
      </c>
      <c r="J806" s="107" t="s">
        <v>54</v>
      </c>
      <c r="K806" s="108"/>
      <c r="L806" s="106"/>
      <c r="M806" s="110"/>
      <c r="N806" s="105" t="s">
        <v>78</v>
      </c>
      <c r="O806" s="105" t="str">
        <f t="shared" si="28"/>
        <v/>
      </c>
      <c r="P806" s="105"/>
      <c r="Q806" s="105" t="s">
        <v>77</v>
      </c>
      <c r="R806" s="105" t="s">
        <v>77</v>
      </c>
      <c r="S806" s="105"/>
      <c r="T806" s="105"/>
      <c r="U806" s="105"/>
      <c r="V806" s="105"/>
      <c r="W806" s="105" t="s">
        <v>80</v>
      </c>
      <c r="X806" s="105"/>
      <c r="Y806" s="105"/>
    </row>
    <row r="807" spans="1:25" s="99" customFormat="1" ht="26.25" customHeight="1">
      <c r="A807" s="100">
        <v>4548</v>
      </c>
      <c r="B807" s="101" t="s">
        <v>11</v>
      </c>
      <c r="C807" s="105" t="s">
        <v>52</v>
      </c>
      <c r="D807" s="105" t="s">
        <v>1663</v>
      </c>
      <c r="E807" s="105" t="s">
        <v>44</v>
      </c>
      <c r="F807" s="101" t="str">
        <f t="shared" si="27"/>
        <v>-</v>
      </c>
      <c r="G807" s="106" t="s">
        <v>53</v>
      </c>
      <c r="H807" s="105"/>
      <c r="I807" s="106" t="s">
        <v>1664</v>
      </c>
      <c r="J807" s="107" t="s">
        <v>54</v>
      </c>
      <c r="K807" s="108"/>
      <c r="L807" s="106"/>
      <c r="M807" s="110"/>
      <c r="N807" s="105" t="s">
        <v>78</v>
      </c>
      <c r="O807" s="105" t="str">
        <f t="shared" si="28"/>
        <v/>
      </c>
      <c r="P807" s="105"/>
      <c r="Q807" s="105" t="s">
        <v>77</v>
      </c>
      <c r="R807" s="105" t="s">
        <v>77</v>
      </c>
      <c r="S807" s="105"/>
      <c r="T807" s="105"/>
      <c r="U807" s="105"/>
      <c r="V807" s="105"/>
      <c r="W807" s="105" t="s">
        <v>80</v>
      </c>
      <c r="X807" s="105"/>
      <c r="Y807" s="105"/>
    </row>
    <row r="808" spans="1:25" s="99" customFormat="1" ht="26.25" customHeight="1">
      <c r="A808" s="100">
        <v>4549</v>
      </c>
      <c r="B808" s="101" t="s">
        <v>11</v>
      </c>
      <c r="C808" s="105" t="s">
        <v>52</v>
      </c>
      <c r="D808" s="105" t="s">
        <v>1665</v>
      </c>
      <c r="E808" s="105" t="s">
        <v>44</v>
      </c>
      <c r="F808" s="101" t="str">
        <f t="shared" si="27"/>
        <v>-</v>
      </c>
      <c r="G808" s="106" t="s">
        <v>53</v>
      </c>
      <c r="H808" s="105"/>
      <c r="I808" s="106" t="s">
        <v>1666</v>
      </c>
      <c r="J808" s="107" t="s">
        <v>54</v>
      </c>
      <c r="K808" s="108"/>
      <c r="L808" s="106"/>
      <c r="M808" s="110"/>
      <c r="N808" s="105" t="s">
        <v>78</v>
      </c>
      <c r="O808" s="105" t="str">
        <f t="shared" si="28"/>
        <v/>
      </c>
      <c r="P808" s="105"/>
      <c r="Q808" s="105" t="s">
        <v>77</v>
      </c>
      <c r="R808" s="105" t="s">
        <v>77</v>
      </c>
      <c r="S808" s="105"/>
      <c r="T808" s="105"/>
      <c r="U808" s="105"/>
      <c r="V808" s="105"/>
      <c r="W808" s="105" t="s">
        <v>80</v>
      </c>
      <c r="X808" s="105"/>
      <c r="Y808" s="105"/>
    </row>
    <row r="809" spans="1:25" s="99" customFormat="1" ht="26.25" customHeight="1">
      <c r="A809" s="100">
        <v>4550</v>
      </c>
      <c r="B809" s="101" t="s">
        <v>11</v>
      </c>
      <c r="C809" s="105" t="s">
        <v>52</v>
      </c>
      <c r="D809" s="105" t="s">
        <v>1667</v>
      </c>
      <c r="E809" s="105" t="s">
        <v>44</v>
      </c>
      <c r="F809" s="101" t="str">
        <f t="shared" si="27"/>
        <v>-</v>
      </c>
      <c r="G809" s="106" t="s">
        <v>53</v>
      </c>
      <c r="H809" s="105"/>
      <c r="I809" s="106" t="s">
        <v>1668</v>
      </c>
      <c r="J809" s="107" t="s">
        <v>54</v>
      </c>
      <c r="K809" s="108"/>
      <c r="L809" s="106"/>
      <c r="M809" s="110"/>
      <c r="N809" s="105" t="s">
        <v>78</v>
      </c>
      <c r="O809" s="105" t="str">
        <f t="shared" si="28"/>
        <v/>
      </c>
      <c r="P809" s="105"/>
      <c r="Q809" s="105" t="s">
        <v>77</v>
      </c>
      <c r="R809" s="105" t="s">
        <v>77</v>
      </c>
      <c r="S809" s="105"/>
      <c r="T809" s="105"/>
      <c r="U809" s="105"/>
      <c r="V809" s="105"/>
      <c r="W809" s="105" t="s">
        <v>80</v>
      </c>
      <c r="X809" s="105"/>
      <c r="Y809" s="105"/>
    </row>
    <row r="810" spans="1:25" s="99" customFormat="1" ht="26.25" customHeight="1">
      <c r="A810" s="100">
        <v>4551</v>
      </c>
      <c r="B810" s="101" t="s">
        <v>11</v>
      </c>
      <c r="C810" s="105" t="s">
        <v>52</v>
      </c>
      <c r="D810" s="105" t="s">
        <v>1669</v>
      </c>
      <c r="E810" s="105" t="s">
        <v>44</v>
      </c>
      <c r="F810" s="101" t="str">
        <f t="shared" si="27"/>
        <v>-</v>
      </c>
      <c r="G810" s="106" t="s">
        <v>53</v>
      </c>
      <c r="H810" s="105"/>
      <c r="I810" s="106" t="s">
        <v>1670</v>
      </c>
      <c r="J810" s="107" t="s">
        <v>54</v>
      </c>
      <c r="K810" s="108"/>
      <c r="L810" s="106"/>
      <c r="M810" s="110"/>
      <c r="N810" s="105" t="s">
        <v>78</v>
      </c>
      <c r="O810" s="105" t="str">
        <f t="shared" si="28"/>
        <v/>
      </c>
      <c r="P810" s="105"/>
      <c r="Q810" s="105" t="s">
        <v>77</v>
      </c>
      <c r="R810" s="105" t="s">
        <v>77</v>
      </c>
      <c r="S810" s="105"/>
      <c r="T810" s="105"/>
      <c r="U810" s="105"/>
      <c r="V810" s="105"/>
      <c r="W810" s="105" t="s">
        <v>80</v>
      </c>
      <c r="X810" s="105"/>
      <c r="Y810" s="105"/>
    </row>
    <row r="811" spans="1:25" s="99" customFormat="1" ht="26.25" customHeight="1">
      <c r="A811" s="100">
        <v>4552</v>
      </c>
      <c r="B811" s="101" t="s">
        <v>11</v>
      </c>
      <c r="C811" s="105" t="s">
        <v>52</v>
      </c>
      <c r="D811" s="105" t="s">
        <v>1671</v>
      </c>
      <c r="E811" s="105" t="s">
        <v>44</v>
      </c>
      <c r="F811" s="101" t="str">
        <f t="shared" si="27"/>
        <v>-</v>
      </c>
      <c r="G811" s="106" t="s">
        <v>53</v>
      </c>
      <c r="H811" s="105"/>
      <c r="I811" s="106" t="s">
        <v>1672</v>
      </c>
      <c r="J811" s="107" t="s">
        <v>54</v>
      </c>
      <c r="K811" s="108"/>
      <c r="L811" s="106"/>
      <c r="M811" s="110"/>
      <c r="N811" s="105" t="s">
        <v>78</v>
      </c>
      <c r="O811" s="105" t="str">
        <f t="shared" si="28"/>
        <v/>
      </c>
      <c r="P811" s="105"/>
      <c r="Q811" s="105" t="s">
        <v>77</v>
      </c>
      <c r="R811" s="105" t="s">
        <v>77</v>
      </c>
      <c r="S811" s="105"/>
      <c r="T811" s="105"/>
      <c r="U811" s="105"/>
      <c r="V811" s="105"/>
      <c r="W811" s="105" t="s">
        <v>80</v>
      </c>
      <c r="X811" s="105"/>
      <c r="Y811" s="105"/>
    </row>
    <row r="812" spans="1:25" s="99" customFormat="1" ht="26.25" customHeight="1">
      <c r="A812" s="100">
        <v>4553</v>
      </c>
      <c r="B812" s="101" t="s">
        <v>11</v>
      </c>
      <c r="C812" s="105" t="s">
        <v>52</v>
      </c>
      <c r="D812" s="105" t="s">
        <v>1673</v>
      </c>
      <c r="E812" s="105" t="s">
        <v>44</v>
      </c>
      <c r="F812" s="101" t="str">
        <f t="shared" si="27"/>
        <v>-</v>
      </c>
      <c r="G812" s="106" t="s">
        <v>53</v>
      </c>
      <c r="H812" s="105"/>
      <c r="I812" s="106" t="s">
        <v>1674</v>
      </c>
      <c r="J812" s="107" t="s">
        <v>54</v>
      </c>
      <c r="K812" s="108"/>
      <c r="L812" s="106"/>
      <c r="M812" s="110"/>
      <c r="N812" s="105" t="s">
        <v>78</v>
      </c>
      <c r="O812" s="105" t="str">
        <f t="shared" si="28"/>
        <v/>
      </c>
      <c r="P812" s="105"/>
      <c r="Q812" s="105" t="s">
        <v>77</v>
      </c>
      <c r="R812" s="105" t="s">
        <v>77</v>
      </c>
      <c r="S812" s="105"/>
      <c r="T812" s="105"/>
      <c r="U812" s="105"/>
      <c r="V812" s="105"/>
      <c r="W812" s="105" t="s">
        <v>80</v>
      </c>
      <c r="X812" s="105"/>
      <c r="Y812" s="105"/>
    </row>
    <row r="813" spans="1:25" s="99" customFormat="1" ht="26.25" customHeight="1">
      <c r="A813" s="100">
        <v>4554</v>
      </c>
      <c r="B813" s="101" t="s">
        <v>11</v>
      </c>
      <c r="C813" s="105" t="s">
        <v>52</v>
      </c>
      <c r="D813" s="105" t="s">
        <v>1675</v>
      </c>
      <c r="E813" s="105" t="s">
        <v>44</v>
      </c>
      <c r="F813" s="101" t="str">
        <f t="shared" si="27"/>
        <v>-</v>
      </c>
      <c r="G813" s="106" t="s">
        <v>53</v>
      </c>
      <c r="H813" s="105"/>
      <c r="I813" s="106" t="s">
        <v>1676</v>
      </c>
      <c r="J813" s="107" t="s">
        <v>54</v>
      </c>
      <c r="K813" s="108"/>
      <c r="L813" s="106"/>
      <c r="M813" s="110"/>
      <c r="N813" s="105" t="s">
        <v>78</v>
      </c>
      <c r="O813" s="105" t="str">
        <f t="shared" si="28"/>
        <v/>
      </c>
      <c r="P813" s="105"/>
      <c r="Q813" s="105" t="s">
        <v>77</v>
      </c>
      <c r="R813" s="105" t="s">
        <v>77</v>
      </c>
      <c r="S813" s="105"/>
      <c r="T813" s="105"/>
      <c r="U813" s="105"/>
      <c r="V813" s="105"/>
      <c r="W813" s="105" t="s">
        <v>80</v>
      </c>
      <c r="X813" s="105"/>
      <c r="Y813" s="105"/>
    </row>
    <row r="814" spans="1:25" s="99" customFormat="1" ht="26.25" customHeight="1">
      <c r="A814" s="100">
        <v>4555</v>
      </c>
      <c r="B814" s="101" t="s">
        <v>11</v>
      </c>
      <c r="C814" s="105" t="s">
        <v>52</v>
      </c>
      <c r="D814" s="105" t="s">
        <v>1677</v>
      </c>
      <c r="E814" s="105" t="s">
        <v>44</v>
      </c>
      <c r="F814" s="101" t="str">
        <f t="shared" si="27"/>
        <v>-</v>
      </c>
      <c r="G814" s="106" t="s">
        <v>53</v>
      </c>
      <c r="H814" s="105"/>
      <c r="I814" s="106" t="s">
        <v>1678</v>
      </c>
      <c r="J814" s="107" t="s">
        <v>54</v>
      </c>
      <c r="K814" s="108"/>
      <c r="L814" s="106"/>
      <c r="M814" s="110"/>
      <c r="N814" s="105" t="s">
        <v>78</v>
      </c>
      <c r="O814" s="105" t="str">
        <f t="shared" si="28"/>
        <v/>
      </c>
      <c r="P814" s="105"/>
      <c r="Q814" s="105" t="s">
        <v>77</v>
      </c>
      <c r="R814" s="105" t="s">
        <v>77</v>
      </c>
      <c r="S814" s="105"/>
      <c r="T814" s="105"/>
      <c r="U814" s="105"/>
      <c r="V814" s="105"/>
      <c r="W814" s="105" t="s">
        <v>80</v>
      </c>
      <c r="X814" s="105"/>
      <c r="Y814" s="105"/>
    </row>
    <row r="815" spans="1:25" s="99" customFormat="1" ht="26.25" customHeight="1">
      <c r="A815" s="100">
        <v>4556</v>
      </c>
      <c r="B815" s="101" t="s">
        <v>11</v>
      </c>
      <c r="C815" s="105" t="s">
        <v>52</v>
      </c>
      <c r="D815" s="105" t="s">
        <v>1679</v>
      </c>
      <c r="E815" s="105" t="s">
        <v>44</v>
      </c>
      <c r="F815" s="101" t="str">
        <f t="shared" si="27"/>
        <v>-</v>
      </c>
      <c r="G815" s="106" t="s">
        <v>53</v>
      </c>
      <c r="H815" s="105"/>
      <c r="I815" s="106" t="s">
        <v>1680</v>
      </c>
      <c r="J815" s="107" t="s">
        <v>54</v>
      </c>
      <c r="K815" s="108"/>
      <c r="L815" s="106"/>
      <c r="M815" s="110"/>
      <c r="N815" s="105" t="s">
        <v>78</v>
      </c>
      <c r="O815" s="105" t="str">
        <f t="shared" si="28"/>
        <v/>
      </c>
      <c r="P815" s="105"/>
      <c r="Q815" s="105" t="s">
        <v>77</v>
      </c>
      <c r="R815" s="105" t="s">
        <v>77</v>
      </c>
      <c r="S815" s="105"/>
      <c r="T815" s="105"/>
      <c r="U815" s="105"/>
      <c r="V815" s="105"/>
      <c r="W815" s="105" t="s">
        <v>80</v>
      </c>
      <c r="X815" s="105"/>
      <c r="Y815" s="105"/>
    </row>
    <row r="816" spans="1:25" s="99" customFormat="1" ht="26.25" customHeight="1">
      <c r="A816" s="100">
        <v>4557</v>
      </c>
      <c r="B816" s="101" t="s">
        <v>11</v>
      </c>
      <c r="C816" s="105" t="s">
        <v>52</v>
      </c>
      <c r="D816" s="105" t="s">
        <v>1681</v>
      </c>
      <c r="E816" s="105" t="s">
        <v>44</v>
      </c>
      <c r="F816" s="101" t="str">
        <f t="shared" si="27"/>
        <v>-</v>
      </c>
      <c r="G816" s="106" t="s">
        <v>53</v>
      </c>
      <c r="H816" s="105"/>
      <c r="I816" s="106" t="s">
        <v>1682</v>
      </c>
      <c r="J816" s="107" t="s">
        <v>54</v>
      </c>
      <c r="K816" s="108"/>
      <c r="L816" s="106"/>
      <c r="M816" s="110"/>
      <c r="N816" s="105" t="s">
        <v>78</v>
      </c>
      <c r="O816" s="105" t="str">
        <f t="shared" si="28"/>
        <v/>
      </c>
      <c r="P816" s="105"/>
      <c r="Q816" s="105" t="s">
        <v>77</v>
      </c>
      <c r="R816" s="105" t="s">
        <v>77</v>
      </c>
      <c r="S816" s="105"/>
      <c r="T816" s="105"/>
      <c r="U816" s="105"/>
      <c r="V816" s="105"/>
      <c r="W816" s="105" t="s">
        <v>80</v>
      </c>
      <c r="X816" s="105"/>
      <c r="Y816" s="105"/>
    </row>
    <row r="817" spans="1:25" s="99" customFormat="1" ht="26.25" customHeight="1">
      <c r="A817" s="100">
        <v>4558</v>
      </c>
      <c r="B817" s="101" t="s">
        <v>11</v>
      </c>
      <c r="C817" s="105" t="s">
        <v>52</v>
      </c>
      <c r="D817" s="105" t="s">
        <v>1683</v>
      </c>
      <c r="E817" s="105" t="s">
        <v>44</v>
      </c>
      <c r="F817" s="101" t="str">
        <f t="shared" si="27"/>
        <v>-</v>
      </c>
      <c r="G817" s="106" t="s">
        <v>53</v>
      </c>
      <c r="H817" s="105"/>
      <c r="I817" s="106" t="s">
        <v>1684</v>
      </c>
      <c r="J817" s="107" t="s">
        <v>54</v>
      </c>
      <c r="K817" s="108"/>
      <c r="L817" s="106"/>
      <c r="M817" s="110"/>
      <c r="N817" s="105" t="s">
        <v>78</v>
      </c>
      <c r="O817" s="105" t="str">
        <f t="shared" si="28"/>
        <v/>
      </c>
      <c r="P817" s="105"/>
      <c r="Q817" s="105" t="s">
        <v>77</v>
      </c>
      <c r="R817" s="105" t="s">
        <v>77</v>
      </c>
      <c r="S817" s="105"/>
      <c r="T817" s="105"/>
      <c r="U817" s="105"/>
      <c r="V817" s="105"/>
      <c r="W817" s="105" t="s">
        <v>80</v>
      </c>
      <c r="X817" s="105"/>
      <c r="Y817" s="105"/>
    </row>
    <row r="818" spans="1:25" s="99" customFormat="1" ht="26.25" customHeight="1">
      <c r="A818" s="100">
        <v>4559</v>
      </c>
      <c r="B818" s="101" t="s">
        <v>11</v>
      </c>
      <c r="C818" s="105" t="s">
        <v>52</v>
      </c>
      <c r="D818" s="105" t="s">
        <v>1685</v>
      </c>
      <c r="E818" s="105" t="s">
        <v>44</v>
      </c>
      <c r="F818" s="101" t="str">
        <f t="shared" si="27"/>
        <v>-</v>
      </c>
      <c r="G818" s="106" t="s">
        <v>53</v>
      </c>
      <c r="H818" s="105"/>
      <c r="I818" s="106" t="s">
        <v>1686</v>
      </c>
      <c r="J818" s="107" t="s">
        <v>54</v>
      </c>
      <c r="K818" s="108"/>
      <c r="L818" s="106"/>
      <c r="M818" s="110"/>
      <c r="N818" s="105" t="s">
        <v>78</v>
      </c>
      <c r="O818" s="105" t="str">
        <f t="shared" si="28"/>
        <v/>
      </c>
      <c r="P818" s="105"/>
      <c r="Q818" s="105" t="s">
        <v>77</v>
      </c>
      <c r="R818" s="105" t="s">
        <v>77</v>
      </c>
      <c r="S818" s="105"/>
      <c r="T818" s="105"/>
      <c r="U818" s="105"/>
      <c r="V818" s="105"/>
      <c r="W818" s="105" t="s">
        <v>80</v>
      </c>
      <c r="X818" s="105"/>
      <c r="Y818" s="105"/>
    </row>
    <row r="819" spans="1:25" s="99" customFormat="1" ht="26.25" customHeight="1">
      <c r="A819" s="100">
        <v>4560</v>
      </c>
      <c r="B819" s="101" t="s">
        <v>11</v>
      </c>
      <c r="C819" s="105" t="s">
        <v>52</v>
      </c>
      <c r="D819" s="105" t="s">
        <v>1687</v>
      </c>
      <c r="E819" s="105" t="s">
        <v>44</v>
      </c>
      <c r="F819" s="101" t="str">
        <f t="shared" si="27"/>
        <v>-</v>
      </c>
      <c r="G819" s="106" t="s">
        <v>53</v>
      </c>
      <c r="H819" s="105"/>
      <c r="I819" s="106" t="s">
        <v>1688</v>
      </c>
      <c r="J819" s="107" t="s">
        <v>54</v>
      </c>
      <c r="K819" s="108"/>
      <c r="L819" s="106"/>
      <c r="M819" s="110"/>
      <c r="N819" s="105" t="s">
        <v>78</v>
      </c>
      <c r="O819" s="105" t="str">
        <f t="shared" si="28"/>
        <v/>
      </c>
      <c r="P819" s="105"/>
      <c r="Q819" s="105" t="s">
        <v>77</v>
      </c>
      <c r="R819" s="105" t="s">
        <v>77</v>
      </c>
      <c r="S819" s="105"/>
      <c r="T819" s="105"/>
      <c r="U819" s="105"/>
      <c r="V819" s="105"/>
      <c r="W819" s="105" t="s">
        <v>80</v>
      </c>
      <c r="X819" s="105"/>
      <c r="Y819" s="105"/>
    </row>
    <row r="820" spans="1:25" s="99" customFormat="1" ht="26.25" customHeight="1">
      <c r="A820" s="100">
        <v>4561</v>
      </c>
      <c r="B820" s="101" t="s">
        <v>11</v>
      </c>
      <c r="C820" s="105" t="s">
        <v>52</v>
      </c>
      <c r="D820" s="105" t="s">
        <v>1689</v>
      </c>
      <c r="E820" s="105" t="s">
        <v>44</v>
      </c>
      <c r="F820" s="101" t="str">
        <f t="shared" si="27"/>
        <v>-</v>
      </c>
      <c r="G820" s="106" t="s">
        <v>53</v>
      </c>
      <c r="H820" s="105"/>
      <c r="I820" s="106" t="s">
        <v>1690</v>
      </c>
      <c r="J820" s="107" t="s">
        <v>54</v>
      </c>
      <c r="K820" s="108"/>
      <c r="L820" s="106"/>
      <c r="M820" s="110"/>
      <c r="N820" s="105" t="s">
        <v>78</v>
      </c>
      <c r="O820" s="105" t="str">
        <f t="shared" si="28"/>
        <v/>
      </c>
      <c r="P820" s="105"/>
      <c r="Q820" s="105" t="s">
        <v>77</v>
      </c>
      <c r="R820" s="105" t="s">
        <v>77</v>
      </c>
      <c r="S820" s="105"/>
      <c r="T820" s="105"/>
      <c r="U820" s="105"/>
      <c r="V820" s="105"/>
      <c r="W820" s="105" t="s">
        <v>80</v>
      </c>
      <c r="X820" s="105"/>
      <c r="Y820" s="105"/>
    </row>
  </sheetData>
  <sortState ref="A19:AHP2967">
    <sortCondition ref="E19:E2967"/>
  </sortState>
  <mergeCells count="20">
    <mergeCell ref="H9:H11"/>
    <mergeCell ref="D9:D11"/>
    <mergeCell ref="C9:C11"/>
    <mergeCell ref="K3:M3"/>
    <mergeCell ref="A9:A11"/>
    <mergeCell ref="B9:B11"/>
    <mergeCell ref="E9:E11"/>
    <mergeCell ref="F9:F11"/>
    <mergeCell ref="G9:G11"/>
    <mergeCell ref="I9:I11"/>
    <mergeCell ref="J9:J11"/>
    <mergeCell ref="K9:M9"/>
    <mergeCell ref="L10:M10"/>
    <mergeCell ref="K7:M7"/>
    <mergeCell ref="K8:M8"/>
    <mergeCell ref="K1:M1"/>
    <mergeCell ref="K2:M2"/>
    <mergeCell ref="K4:M4"/>
    <mergeCell ref="K5:M5"/>
    <mergeCell ref="K6:M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PushData">
                <anchor>
                  <from>
                    <xdr:col>0</xdr:col>
                    <xdr:colOff>209550</xdr:colOff>
                    <xdr:row>0</xdr:row>
                    <xdr:rowOff>209550</xdr:rowOff>
                  </from>
                  <to>
                    <xdr:col>4</xdr:col>
                    <xdr:colOff>228600</xdr:colOff>
                    <xdr:row>2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PullData">
                <anchor>
                  <from>
                    <xdr:col>0</xdr:col>
                    <xdr:colOff>209550</xdr:colOff>
                    <xdr:row>2</xdr:row>
                    <xdr:rowOff>504825</xdr:rowOff>
                  </from>
                  <to>
                    <xdr:col>4</xdr:col>
                    <xdr:colOff>228600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CM455"/>
  <sheetViews>
    <sheetView view="pageBreakPreview" zoomScale="70" zoomScaleNormal="55" zoomScaleSheetLayoutView="70" zoomScalePageLayoutView="55" workbookViewId="0">
      <selection activeCell="I10" sqref="I10"/>
    </sheetView>
  </sheetViews>
  <sheetFormatPr defaultColWidth="8.85546875" defaultRowHeight="25.5"/>
  <cols>
    <col min="1" max="2" width="8.85546875" style="3"/>
    <col min="3" max="3" width="15" style="3" customWidth="1"/>
    <col min="4" max="7" width="8.85546875" style="3"/>
    <col min="8" max="8" width="12.85546875" style="3" customWidth="1"/>
    <col min="9" max="10" width="8.85546875" style="3"/>
    <col min="11" max="11" width="8" style="3" customWidth="1"/>
    <col min="12" max="16" width="8.85546875" style="3"/>
    <col min="17" max="17" width="7" style="3" customWidth="1"/>
    <col min="18" max="18" width="18" style="3" bestFit="1" customWidth="1"/>
    <col min="19" max="19" width="7.42578125" style="3" customWidth="1"/>
    <col min="20" max="20" width="8.42578125" style="3" customWidth="1"/>
    <col min="21" max="21" width="10.140625" style="3" customWidth="1"/>
    <col min="22" max="22" width="6.42578125" style="3" customWidth="1"/>
    <col min="23" max="23" width="8.85546875" style="3"/>
    <col min="24" max="24" width="12.28515625" style="3" bestFit="1" customWidth="1"/>
    <col min="25" max="25" width="8.85546875" style="3" bestFit="1" customWidth="1"/>
    <col min="26" max="26" width="16.140625" style="3" customWidth="1"/>
    <col min="27" max="27" width="5.85546875" style="3" bestFit="1" customWidth="1"/>
    <col min="28" max="28" width="21.42578125" style="3" bestFit="1" customWidth="1"/>
    <col min="29" max="16384" width="8.85546875" style="3"/>
  </cols>
  <sheetData>
    <row r="1" spans="1:91" ht="15.95" customHeight="1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6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19"/>
      <c r="BG1" s="119"/>
      <c r="BH1" s="119"/>
      <c r="BI1" s="119"/>
      <c r="BJ1" s="119"/>
      <c r="BK1" s="119"/>
      <c r="BL1" s="119"/>
      <c r="BM1" s="119"/>
      <c r="BN1" s="119"/>
      <c r="BO1" s="119"/>
      <c r="BP1" s="119"/>
      <c r="BQ1" s="119"/>
      <c r="BR1" s="119"/>
      <c r="BS1" s="119"/>
      <c r="BT1" s="119"/>
      <c r="BU1" s="119"/>
      <c r="BV1" s="119"/>
      <c r="BW1" s="119"/>
      <c r="BX1" s="119"/>
      <c r="BY1" s="119"/>
      <c r="BZ1" s="119"/>
      <c r="CA1" s="119"/>
      <c r="CB1" s="119"/>
      <c r="CC1" s="119"/>
      <c r="CD1" s="119"/>
      <c r="CE1" s="119"/>
      <c r="CF1" s="119"/>
      <c r="CG1" s="119"/>
      <c r="CH1" s="119"/>
      <c r="CI1" s="119"/>
      <c r="CJ1" s="119"/>
      <c r="CK1" s="119"/>
      <c r="CL1" s="119"/>
      <c r="CM1" s="119"/>
    </row>
    <row r="2" spans="1:91" ht="15.9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8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9"/>
      <c r="AZ2" s="119"/>
      <c r="BA2" s="119"/>
      <c r="BB2" s="119"/>
      <c r="BC2" s="119"/>
      <c r="BD2" s="119"/>
      <c r="BE2" s="119"/>
      <c r="BF2" s="119"/>
      <c r="BG2" s="119"/>
      <c r="BH2" s="119"/>
      <c r="BI2" s="119"/>
      <c r="BJ2" s="119"/>
      <c r="BK2" s="119"/>
      <c r="BL2" s="119"/>
      <c r="BM2" s="119"/>
      <c r="BN2" s="119"/>
      <c r="BO2" s="119"/>
      <c r="BP2" s="119"/>
      <c r="BQ2" s="119"/>
      <c r="BR2" s="119"/>
      <c r="BS2" s="119"/>
      <c r="BT2" s="119"/>
      <c r="BU2" s="119"/>
      <c r="BV2" s="119"/>
      <c r="BW2" s="119"/>
      <c r="BX2" s="119"/>
      <c r="BY2" s="119"/>
      <c r="BZ2" s="119"/>
      <c r="CA2" s="119"/>
      <c r="CB2" s="119"/>
      <c r="CC2" s="119"/>
      <c r="CD2" s="119"/>
      <c r="CE2" s="119"/>
      <c r="CF2" s="119"/>
      <c r="CG2" s="119"/>
      <c r="CH2" s="119"/>
      <c r="CI2" s="119"/>
      <c r="CJ2" s="119"/>
      <c r="CK2" s="119"/>
      <c r="CL2" s="119"/>
      <c r="CM2" s="119"/>
    </row>
    <row r="3" spans="1:91" ht="24" customHeight="1">
      <c r="A3" s="4"/>
      <c r="B3" s="5"/>
      <c r="C3" s="5"/>
      <c r="D3" s="5"/>
      <c r="E3" s="5"/>
      <c r="F3" s="5"/>
      <c r="G3" s="5"/>
      <c r="H3" s="5"/>
      <c r="I3" s="5"/>
      <c r="J3" s="5"/>
      <c r="K3" s="5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8"/>
      <c r="W3" s="119"/>
      <c r="X3" s="119"/>
      <c r="Y3" s="119"/>
      <c r="Z3" s="119"/>
      <c r="AA3" s="119"/>
      <c r="AB3" s="119"/>
      <c r="AC3" s="119"/>
      <c r="AD3" s="119"/>
      <c r="AE3" s="119"/>
      <c r="AF3" s="119"/>
      <c r="AG3" s="119"/>
      <c r="AH3" s="119"/>
      <c r="AI3" s="119"/>
      <c r="AJ3" s="119"/>
      <c r="AK3" s="119"/>
      <c r="AL3" s="119"/>
      <c r="AM3" s="119"/>
      <c r="AN3" s="119"/>
      <c r="AO3" s="119"/>
      <c r="AP3" s="119"/>
      <c r="AQ3" s="119"/>
      <c r="AR3" s="119"/>
      <c r="AS3" s="119"/>
      <c r="AT3" s="119"/>
      <c r="AU3" s="119"/>
      <c r="AV3" s="119"/>
      <c r="AW3" s="119"/>
      <c r="AX3" s="119"/>
      <c r="AY3" s="119"/>
      <c r="AZ3" s="119"/>
      <c r="BA3" s="119"/>
      <c r="BB3" s="119"/>
      <c r="BC3" s="119"/>
      <c r="BD3" s="119"/>
      <c r="BE3" s="119"/>
      <c r="BF3" s="119"/>
      <c r="BG3" s="119"/>
      <c r="BH3" s="119"/>
      <c r="BI3" s="119"/>
      <c r="BJ3" s="119"/>
      <c r="BK3" s="119"/>
      <c r="BL3" s="119"/>
      <c r="BM3" s="119"/>
      <c r="BN3" s="119"/>
      <c r="BO3" s="119"/>
      <c r="BP3" s="119"/>
      <c r="BQ3" s="119"/>
      <c r="BR3" s="119"/>
      <c r="BS3" s="119"/>
      <c r="BT3" s="119"/>
      <c r="BU3" s="119"/>
      <c r="BV3" s="119"/>
      <c r="BW3" s="119"/>
      <c r="BX3" s="119"/>
      <c r="BY3" s="119"/>
      <c r="BZ3" s="119"/>
      <c r="CA3" s="119"/>
      <c r="CB3" s="119"/>
      <c r="CC3" s="119"/>
      <c r="CD3" s="119"/>
      <c r="CE3" s="119"/>
      <c r="CF3" s="119"/>
      <c r="CG3" s="119"/>
      <c r="CH3" s="119"/>
      <c r="CI3" s="119"/>
      <c r="CJ3" s="119"/>
      <c r="CK3" s="119"/>
      <c r="CL3" s="119"/>
      <c r="CM3" s="119"/>
    </row>
    <row r="4" spans="1:91" ht="24" customHeight="1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116"/>
      <c r="M4" s="116"/>
      <c r="N4" s="116"/>
      <c r="O4" s="116"/>
      <c r="P4" s="116"/>
      <c r="Q4" s="116"/>
      <c r="R4" s="116"/>
      <c r="S4" s="116"/>
      <c r="T4" s="116"/>
      <c r="U4" s="116"/>
      <c r="V4" s="118"/>
      <c r="W4" s="119"/>
      <c r="X4" s="119"/>
      <c r="Y4" s="119"/>
      <c r="Z4" s="119"/>
      <c r="AA4" s="119"/>
      <c r="AB4" s="119"/>
      <c r="AC4" s="119"/>
      <c r="AD4" s="119"/>
      <c r="AE4" s="119"/>
      <c r="AF4" s="119"/>
      <c r="AG4" s="119"/>
      <c r="AH4" s="119"/>
      <c r="AI4" s="119"/>
      <c r="AJ4" s="119"/>
      <c r="AK4" s="119"/>
      <c r="AL4" s="119"/>
      <c r="AM4" s="119"/>
      <c r="AN4" s="119"/>
      <c r="AO4" s="119"/>
      <c r="AP4" s="119"/>
      <c r="AQ4" s="119"/>
      <c r="AR4" s="119"/>
      <c r="AS4" s="119"/>
      <c r="AT4" s="119"/>
      <c r="AU4" s="119"/>
      <c r="AV4" s="119"/>
      <c r="AW4" s="119"/>
      <c r="AX4" s="119"/>
      <c r="AY4" s="119"/>
      <c r="AZ4" s="119"/>
      <c r="BA4" s="119"/>
      <c r="BB4" s="119"/>
      <c r="BC4" s="119"/>
      <c r="BD4" s="119"/>
      <c r="BE4" s="119"/>
      <c r="BF4" s="119"/>
      <c r="BG4" s="119"/>
      <c r="BH4" s="119"/>
      <c r="BI4" s="119"/>
      <c r="BJ4" s="119"/>
      <c r="BK4" s="119"/>
      <c r="BL4" s="119"/>
      <c r="BM4" s="119"/>
      <c r="BN4" s="119"/>
      <c r="BO4" s="119"/>
      <c r="BP4" s="119"/>
      <c r="BQ4" s="119"/>
      <c r="BR4" s="119"/>
      <c r="BS4" s="119"/>
      <c r="BT4" s="119"/>
      <c r="BU4" s="119"/>
      <c r="BV4" s="119"/>
      <c r="BW4" s="119"/>
      <c r="BX4" s="119"/>
      <c r="BY4" s="119"/>
      <c r="BZ4" s="119"/>
      <c r="CA4" s="119"/>
      <c r="CB4" s="119"/>
      <c r="CC4" s="119"/>
      <c r="CD4" s="119"/>
      <c r="CE4" s="119"/>
      <c r="CF4" s="119"/>
      <c r="CG4" s="119"/>
      <c r="CH4" s="119"/>
      <c r="CI4" s="119"/>
      <c r="CJ4" s="119"/>
      <c r="CK4" s="119"/>
      <c r="CL4" s="119"/>
      <c r="CM4" s="119"/>
    </row>
    <row r="5" spans="1:91" ht="24" customHeight="1" thickBot="1">
      <c r="A5" s="4"/>
      <c r="B5" s="5"/>
      <c r="C5" s="5"/>
      <c r="D5" s="5"/>
      <c r="E5" s="5"/>
      <c r="F5" s="5"/>
      <c r="G5" s="5"/>
      <c r="H5" s="5"/>
      <c r="I5" s="5"/>
      <c r="J5" s="5"/>
      <c r="K5" s="5"/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8"/>
      <c r="W5" s="119"/>
      <c r="X5" s="119"/>
      <c r="Y5" s="119"/>
      <c r="Z5" s="119"/>
      <c r="AA5" s="119"/>
      <c r="AB5" s="119"/>
      <c r="AC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19"/>
      <c r="AO5" s="119"/>
      <c r="AP5" s="119"/>
      <c r="AQ5" s="119"/>
      <c r="AR5" s="119"/>
      <c r="AS5" s="119"/>
      <c r="AT5" s="119"/>
      <c r="AU5" s="119"/>
      <c r="AV5" s="119"/>
      <c r="AW5" s="119"/>
      <c r="AX5" s="119"/>
      <c r="AY5" s="119"/>
      <c r="AZ5" s="119"/>
      <c r="BA5" s="119"/>
      <c r="BB5" s="119"/>
      <c r="BC5" s="119"/>
      <c r="BD5" s="119"/>
      <c r="BE5" s="119"/>
      <c r="BF5" s="119"/>
      <c r="BG5" s="119"/>
      <c r="BH5" s="119"/>
      <c r="BI5" s="119"/>
      <c r="BJ5" s="119"/>
      <c r="BK5" s="119"/>
      <c r="BL5" s="119"/>
      <c r="BM5" s="119"/>
      <c r="BN5" s="119"/>
      <c r="BO5" s="119"/>
      <c r="BP5" s="119"/>
      <c r="BQ5" s="119"/>
      <c r="BR5" s="119"/>
      <c r="BS5" s="119"/>
      <c r="BT5" s="119"/>
      <c r="BU5" s="119"/>
      <c r="BV5" s="119"/>
      <c r="BW5" s="119"/>
      <c r="BX5" s="119"/>
      <c r="BY5" s="119"/>
      <c r="BZ5" s="119"/>
      <c r="CA5" s="119"/>
      <c r="CB5" s="119"/>
      <c r="CC5" s="119"/>
      <c r="CD5" s="119"/>
      <c r="CE5" s="119"/>
      <c r="CF5" s="119"/>
      <c r="CG5" s="119"/>
      <c r="CH5" s="119"/>
      <c r="CI5" s="119"/>
      <c r="CJ5" s="119"/>
      <c r="CK5" s="119"/>
      <c r="CL5" s="119"/>
      <c r="CM5" s="119"/>
    </row>
    <row r="6" spans="1:91" ht="42" customHeight="1">
      <c r="A6" s="4"/>
      <c r="B6" s="5"/>
      <c r="G6" s="5" t="s">
        <v>0</v>
      </c>
      <c r="I6" s="6" t="s">
        <v>1</v>
      </c>
      <c r="J6" s="5"/>
      <c r="K6" s="5"/>
      <c r="L6" s="116"/>
      <c r="M6" s="116"/>
      <c r="N6" s="116"/>
      <c r="O6" s="116"/>
      <c r="P6" s="116"/>
      <c r="Q6" s="116"/>
      <c r="R6" s="116"/>
      <c r="S6" s="116"/>
      <c r="T6" s="116"/>
      <c r="U6" s="116"/>
      <c r="V6" s="118"/>
      <c r="W6" s="119"/>
      <c r="X6" s="119"/>
      <c r="Y6" s="119"/>
      <c r="Z6" s="119"/>
      <c r="AA6" s="235"/>
      <c r="AB6" s="236"/>
      <c r="AC6" s="236"/>
      <c r="AD6" s="236"/>
      <c r="AE6" s="236"/>
      <c r="AF6" s="236"/>
      <c r="AG6" s="236"/>
      <c r="AH6" s="236"/>
      <c r="AI6" s="236"/>
      <c r="AJ6" s="236"/>
      <c r="AK6" s="236"/>
      <c r="AL6" s="236"/>
      <c r="AM6" s="236"/>
      <c r="AN6" s="236"/>
      <c r="AO6" s="236"/>
      <c r="AP6" s="236"/>
      <c r="AQ6" s="236"/>
      <c r="AR6" s="237"/>
      <c r="AS6" s="119"/>
      <c r="AT6" s="119"/>
      <c r="AU6" s="119"/>
      <c r="AV6" s="119"/>
      <c r="AW6" s="119"/>
      <c r="AX6" s="119"/>
      <c r="AY6" s="119"/>
      <c r="AZ6" s="119"/>
      <c r="BA6" s="119"/>
      <c r="BB6" s="119"/>
      <c r="BC6" s="119"/>
      <c r="BD6" s="119"/>
      <c r="BE6" s="119"/>
      <c r="BF6" s="119"/>
      <c r="BG6" s="119"/>
      <c r="BH6" s="119"/>
      <c r="BI6" s="119"/>
      <c r="BJ6" s="119"/>
      <c r="BK6" s="119"/>
      <c r="BL6" s="119"/>
      <c r="BM6" s="119"/>
      <c r="BN6" s="119"/>
      <c r="BO6" s="119"/>
      <c r="BP6" s="119"/>
      <c r="BQ6" s="119"/>
      <c r="BR6" s="119"/>
      <c r="BS6" s="119"/>
      <c r="BT6" s="119"/>
      <c r="BU6" s="119"/>
      <c r="BV6" s="119"/>
      <c r="BW6" s="119"/>
      <c r="BX6" s="119"/>
      <c r="BY6" s="119"/>
      <c r="BZ6" s="119"/>
      <c r="CA6" s="119"/>
      <c r="CB6" s="119"/>
      <c r="CC6" s="119"/>
      <c r="CD6" s="119"/>
      <c r="CE6" s="119"/>
      <c r="CF6" s="119"/>
      <c r="CG6" s="119"/>
      <c r="CH6" s="119"/>
      <c r="CI6" s="119"/>
      <c r="CJ6" s="119"/>
      <c r="CK6" s="119"/>
      <c r="CL6" s="119"/>
      <c r="CM6" s="119"/>
    </row>
    <row r="7" spans="1:91" ht="33" customHeight="1">
      <c r="A7" s="4"/>
      <c r="B7" s="5"/>
      <c r="G7" s="5" t="s">
        <v>2</v>
      </c>
      <c r="I7" s="6" t="s">
        <v>3</v>
      </c>
      <c r="J7" s="5"/>
      <c r="K7" s="5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8"/>
      <c r="W7" s="119"/>
      <c r="X7" s="119"/>
      <c r="Y7" s="119"/>
      <c r="Z7" s="119"/>
      <c r="AA7" s="238"/>
      <c r="AB7" s="239"/>
      <c r="AC7" s="239"/>
      <c r="AD7" s="239"/>
      <c r="AE7" s="239"/>
      <c r="AF7" s="239"/>
      <c r="AG7" s="239"/>
      <c r="AH7" s="239"/>
      <c r="AI7" s="239"/>
      <c r="AJ7" s="239"/>
      <c r="AK7" s="239"/>
      <c r="AL7" s="239"/>
      <c r="AM7" s="239"/>
      <c r="AN7" s="239"/>
      <c r="AO7" s="239"/>
      <c r="AP7" s="239"/>
      <c r="AQ7" s="239"/>
      <c r="AR7" s="240"/>
      <c r="AS7" s="119"/>
      <c r="AT7" s="119"/>
      <c r="AU7" s="119"/>
      <c r="AV7" s="119"/>
      <c r="AW7" s="119"/>
      <c r="AX7" s="119"/>
      <c r="AY7" s="119"/>
      <c r="AZ7" s="119"/>
      <c r="BA7" s="119"/>
      <c r="BB7" s="119"/>
      <c r="BC7" s="119"/>
      <c r="BD7" s="119"/>
      <c r="BE7" s="119"/>
      <c r="BF7" s="119"/>
      <c r="BG7" s="119"/>
      <c r="BH7" s="119"/>
      <c r="BI7" s="119"/>
      <c r="BJ7" s="119"/>
      <c r="BK7" s="119"/>
      <c r="BL7" s="119"/>
      <c r="BM7" s="119"/>
      <c r="BN7" s="119"/>
      <c r="BO7" s="119"/>
      <c r="BP7" s="119"/>
      <c r="BQ7" s="119"/>
      <c r="BR7" s="119"/>
      <c r="BS7" s="119"/>
      <c r="BT7" s="119"/>
      <c r="BU7" s="119"/>
      <c r="BV7" s="119"/>
      <c r="BW7" s="119"/>
      <c r="BX7" s="119"/>
      <c r="BY7" s="119"/>
      <c r="BZ7" s="119"/>
      <c r="CA7" s="119"/>
      <c r="CB7" s="119"/>
      <c r="CC7" s="119"/>
      <c r="CD7" s="119"/>
      <c r="CE7" s="119"/>
      <c r="CF7" s="119"/>
      <c r="CG7" s="119"/>
      <c r="CH7" s="119"/>
      <c r="CI7" s="119"/>
      <c r="CJ7" s="119"/>
      <c r="CK7" s="119"/>
      <c r="CL7" s="119"/>
      <c r="CM7" s="119"/>
    </row>
    <row r="8" spans="1:91" ht="33.75" customHeight="1" thickBot="1">
      <c r="A8" s="4"/>
      <c r="B8" s="5"/>
      <c r="G8" s="5" t="s">
        <v>4</v>
      </c>
      <c r="I8" s="7" t="s">
        <v>5</v>
      </c>
      <c r="J8" s="5"/>
      <c r="K8" s="5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8"/>
      <c r="W8" s="119"/>
      <c r="X8" s="119"/>
      <c r="Y8" s="119"/>
      <c r="Z8" s="119"/>
      <c r="AA8" s="241"/>
      <c r="AB8" s="242"/>
      <c r="AC8" s="242"/>
      <c r="AD8" s="242"/>
      <c r="AE8" s="242"/>
      <c r="AF8" s="242"/>
      <c r="AG8" s="242"/>
      <c r="AH8" s="242"/>
      <c r="AI8" s="242"/>
      <c r="AJ8" s="242"/>
      <c r="AK8" s="242"/>
      <c r="AL8" s="242"/>
      <c r="AM8" s="242"/>
      <c r="AN8" s="242"/>
      <c r="AO8" s="242"/>
      <c r="AP8" s="242"/>
      <c r="AQ8" s="242"/>
      <c r="AR8" s="243"/>
      <c r="AS8" s="119"/>
      <c r="AT8" s="119"/>
      <c r="AU8" s="119"/>
      <c r="AV8" s="119"/>
      <c r="AW8" s="119"/>
      <c r="AX8" s="119"/>
      <c r="AY8" s="119"/>
      <c r="AZ8" s="119"/>
      <c r="BA8" s="119"/>
      <c r="BB8" s="119"/>
      <c r="BC8" s="119"/>
      <c r="BD8" s="119"/>
      <c r="BE8" s="119"/>
      <c r="BF8" s="119"/>
      <c r="BG8" s="119"/>
      <c r="BH8" s="119"/>
      <c r="BI8" s="119"/>
      <c r="BJ8" s="119"/>
      <c r="BK8" s="119"/>
      <c r="BL8" s="119"/>
      <c r="BM8" s="119"/>
      <c r="BN8" s="119"/>
      <c r="BO8" s="119"/>
      <c r="BP8" s="119"/>
      <c r="BQ8" s="119"/>
      <c r="BR8" s="119"/>
      <c r="BS8" s="119"/>
      <c r="BT8" s="119"/>
      <c r="BU8" s="119"/>
      <c r="BV8" s="119"/>
      <c r="BW8" s="119"/>
      <c r="BX8" s="119"/>
      <c r="BY8" s="119"/>
      <c r="BZ8" s="119"/>
      <c r="CA8" s="119"/>
      <c r="CB8" s="119"/>
      <c r="CC8" s="119"/>
      <c r="CD8" s="119"/>
      <c r="CE8" s="119"/>
      <c r="CF8" s="119"/>
      <c r="CG8" s="119"/>
      <c r="CH8" s="119"/>
      <c r="CI8" s="119"/>
      <c r="CJ8" s="119"/>
      <c r="CK8" s="119"/>
      <c r="CL8" s="119"/>
      <c r="CM8" s="119"/>
    </row>
    <row r="9" spans="1:91" ht="24" customHeight="1">
      <c r="A9" s="4"/>
      <c r="B9" s="5"/>
      <c r="C9" s="5"/>
      <c r="D9" s="5"/>
      <c r="E9" s="5"/>
      <c r="F9" s="5"/>
      <c r="G9" s="5"/>
      <c r="H9" s="5"/>
      <c r="I9" s="5"/>
      <c r="J9" s="5"/>
      <c r="K9" s="5"/>
      <c r="L9" s="116"/>
      <c r="M9" s="116"/>
      <c r="N9" s="116"/>
      <c r="O9" s="116"/>
      <c r="P9" s="116"/>
      <c r="Q9" s="116"/>
      <c r="R9" s="116"/>
      <c r="S9" s="116"/>
      <c r="T9" s="116"/>
      <c r="U9" s="116"/>
      <c r="V9" s="118"/>
      <c r="W9" s="119"/>
      <c r="X9" s="119"/>
      <c r="Y9" s="119"/>
      <c r="Z9" s="119"/>
      <c r="AA9" s="119"/>
      <c r="AB9" s="119"/>
      <c r="AC9" s="119"/>
      <c r="AD9" s="119"/>
      <c r="AE9" s="119"/>
      <c r="AF9" s="119"/>
      <c r="AG9" s="119"/>
      <c r="AH9" s="119"/>
      <c r="AI9" s="119"/>
      <c r="AJ9" s="119"/>
      <c r="AK9" s="119"/>
      <c r="AL9" s="119"/>
      <c r="AM9" s="119"/>
      <c r="AN9" s="119"/>
      <c r="AO9" s="119"/>
      <c r="AP9" s="119"/>
      <c r="AQ9" s="119"/>
      <c r="AR9" s="119"/>
      <c r="AS9" s="119"/>
      <c r="AT9" s="119"/>
      <c r="AU9" s="119"/>
      <c r="AV9" s="119"/>
      <c r="AW9" s="119"/>
      <c r="AX9" s="119"/>
      <c r="AY9" s="119"/>
      <c r="AZ9" s="119"/>
      <c r="BA9" s="119"/>
      <c r="BB9" s="119"/>
      <c r="BC9" s="119"/>
      <c r="BD9" s="119"/>
      <c r="BE9" s="119"/>
      <c r="BF9" s="119"/>
      <c r="BG9" s="119"/>
      <c r="BH9" s="119"/>
      <c r="BI9" s="119"/>
      <c r="BJ9" s="119"/>
      <c r="BK9" s="119"/>
      <c r="BL9" s="119"/>
      <c r="BM9" s="119"/>
      <c r="BN9" s="119"/>
      <c r="BO9" s="119"/>
      <c r="BP9" s="119"/>
      <c r="BQ9" s="119"/>
      <c r="BR9" s="119"/>
      <c r="BS9" s="119"/>
      <c r="BT9" s="119"/>
      <c r="BU9" s="119"/>
      <c r="BV9" s="119"/>
      <c r="BW9" s="119"/>
      <c r="BX9" s="119"/>
      <c r="BY9" s="119"/>
      <c r="BZ9" s="119"/>
      <c r="CA9" s="119"/>
      <c r="CB9" s="119"/>
      <c r="CC9" s="119"/>
      <c r="CD9" s="119"/>
      <c r="CE9" s="119"/>
      <c r="CF9" s="119"/>
      <c r="CG9" s="119"/>
      <c r="CH9" s="119"/>
      <c r="CI9" s="119"/>
      <c r="CJ9" s="119"/>
      <c r="CK9" s="119"/>
      <c r="CL9" s="119"/>
      <c r="CM9" s="119"/>
    </row>
    <row r="10" spans="1:91" ht="24" customHeight="1">
      <c r="A10" s="4"/>
      <c r="B10" s="5"/>
      <c r="C10" s="5"/>
      <c r="D10" s="5"/>
      <c r="E10" s="5"/>
      <c r="F10" s="5"/>
      <c r="G10" s="5" t="s">
        <v>6</v>
      </c>
      <c r="H10" s="5"/>
      <c r="I10" s="5"/>
      <c r="J10" s="5"/>
      <c r="K10" s="5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8"/>
      <c r="W10" s="119"/>
      <c r="X10" s="119"/>
      <c r="Y10" s="119"/>
      <c r="Z10" s="119"/>
      <c r="AA10" s="119"/>
      <c r="AB10" s="119"/>
      <c r="AC10" s="119"/>
      <c r="AD10" s="119"/>
      <c r="AE10" s="119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19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119"/>
      <c r="BE10" s="119"/>
      <c r="BF10" s="119"/>
      <c r="BG10" s="119"/>
      <c r="BH10" s="119"/>
      <c r="BI10" s="119"/>
      <c r="BJ10" s="119"/>
      <c r="BK10" s="119"/>
      <c r="BL10" s="119"/>
      <c r="BM10" s="119"/>
      <c r="BN10" s="119"/>
      <c r="BO10" s="119"/>
      <c r="BP10" s="119"/>
      <c r="BQ10" s="119"/>
      <c r="BR10" s="119"/>
      <c r="BS10" s="119"/>
      <c r="BT10" s="119"/>
      <c r="BU10" s="119"/>
      <c r="BV10" s="119"/>
      <c r="BW10" s="119"/>
      <c r="BX10" s="119"/>
      <c r="BY10" s="119"/>
      <c r="BZ10" s="119"/>
      <c r="CA10" s="119"/>
      <c r="CB10" s="119"/>
      <c r="CC10" s="119"/>
      <c r="CD10" s="119"/>
      <c r="CE10" s="119"/>
      <c r="CF10" s="119"/>
      <c r="CG10" s="119"/>
      <c r="CH10" s="119"/>
      <c r="CI10" s="119"/>
      <c r="CJ10" s="119"/>
      <c r="CK10" s="119"/>
      <c r="CL10" s="119"/>
      <c r="CM10" s="119"/>
    </row>
    <row r="11" spans="1:91" ht="23.25" customHeight="1">
      <c r="A11" s="115"/>
      <c r="B11" s="116"/>
      <c r="C11" s="116"/>
      <c r="D11" s="116"/>
      <c r="E11" s="116"/>
      <c r="F11" s="116"/>
      <c r="G11" s="117"/>
      <c r="H11" s="116"/>
      <c r="I11" s="116"/>
      <c r="J11" s="116"/>
      <c r="K11" s="116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8"/>
      <c r="W11" s="119"/>
      <c r="X11" s="119"/>
      <c r="Y11" s="119"/>
      <c r="Z11" s="119"/>
      <c r="AA11" s="120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</row>
    <row r="12" spans="1:91" ht="13.5" customHeight="1">
      <c r="A12" s="115"/>
      <c r="B12" s="116"/>
      <c r="C12" s="116"/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8"/>
      <c r="W12" s="119"/>
      <c r="X12" s="119"/>
      <c r="Y12" s="119"/>
      <c r="Z12" s="119"/>
      <c r="AA12" s="119"/>
      <c r="AB12" s="119"/>
      <c r="AC12" s="119"/>
      <c r="AD12" s="119"/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19"/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19"/>
      <c r="BE12" s="119"/>
      <c r="BF12" s="119"/>
      <c r="BG12" s="119"/>
      <c r="BH12" s="119"/>
      <c r="BI12" s="119"/>
      <c r="BJ12" s="119"/>
      <c r="BK12" s="119"/>
      <c r="BL12" s="119"/>
      <c r="BM12" s="119"/>
      <c r="BN12" s="119"/>
      <c r="BO12" s="119"/>
      <c r="BP12" s="119"/>
      <c r="BQ12" s="119"/>
      <c r="BR12" s="119"/>
      <c r="BS12" s="119"/>
      <c r="BT12" s="119"/>
      <c r="BU12" s="119"/>
      <c r="BV12" s="119"/>
      <c r="BW12" s="119"/>
      <c r="BX12" s="119"/>
      <c r="BY12" s="119"/>
      <c r="BZ12" s="119"/>
      <c r="CA12" s="119"/>
      <c r="CB12" s="119"/>
      <c r="CC12" s="119"/>
      <c r="CD12" s="119"/>
      <c r="CE12" s="119"/>
      <c r="CF12" s="119"/>
      <c r="CG12" s="119"/>
      <c r="CH12" s="119"/>
      <c r="CI12" s="119"/>
      <c r="CJ12" s="119"/>
      <c r="CK12" s="119"/>
      <c r="CL12" s="119"/>
      <c r="CM12" s="119"/>
    </row>
    <row r="13" spans="1:91" ht="36" customHeight="1">
      <c r="A13" s="115"/>
      <c r="B13" s="116"/>
      <c r="C13" s="116"/>
      <c r="D13" s="119"/>
      <c r="E13" s="116"/>
      <c r="F13" s="116"/>
      <c r="G13" s="121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8"/>
      <c r="W13" s="119"/>
      <c r="X13" s="119"/>
      <c r="Y13" s="119"/>
      <c r="Z13" s="119"/>
      <c r="AA13" s="119"/>
      <c r="AB13" s="119"/>
      <c r="AC13" s="119"/>
      <c r="AD13" s="119"/>
      <c r="AE13" s="119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  <c r="AR13" s="119"/>
      <c r="AS13" s="119"/>
      <c r="AT13" s="119"/>
      <c r="AU13" s="119"/>
      <c r="AV13" s="119"/>
      <c r="AW13" s="119"/>
      <c r="AX13" s="119"/>
      <c r="AY13" s="119"/>
      <c r="AZ13" s="119"/>
      <c r="BA13" s="119"/>
      <c r="BB13" s="119"/>
      <c r="BC13" s="119"/>
      <c r="BD13" s="119"/>
      <c r="BE13" s="119"/>
      <c r="BF13" s="119"/>
      <c r="BG13" s="119"/>
      <c r="BH13" s="119"/>
      <c r="BI13" s="119"/>
      <c r="BJ13" s="119"/>
      <c r="BK13" s="119"/>
      <c r="BL13" s="119"/>
      <c r="BM13" s="119"/>
      <c r="BN13" s="119"/>
      <c r="BO13" s="119"/>
      <c r="BP13" s="119"/>
      <c r="BQ13" s="119"/>
      <c r="BR13" s="119"/>
      <c r="BS13" s="119"/>
      <c r="BT13" s="119"/>
      <c r="BU13" s="119"/>
      <c r="BV13" s="119"/>
      <c r="BW13" s="119"/>
      <c r="BX13" s="119"/>
      <c r="BY13" s="119"/>
      <c r="BZ13" s="119"/>
      <c r="CA13" s="119"/>
      <c r="CB13" s="119"/>
      <c r="CC13" s="119"/>
      <c r="CD13" s="119"/>
      <c r="CE13" s="119"/>
      <c r="CF13" s="119"/>
      <c r="CG13" s="119"/>
      <c r="CH13" s="119"/>
      <c r="CI13" s="119"/>
      <c r="CJ13" s="119"/>
      <c r="CK13" s="119"/>
      <c r="CL13" s="119"/>
      <c r="CM13" s="119"/>
    </row>
    <row r="14" spans="1:91" ht="36" customHeight="1">
      <c r="A14" s="115"/>
      <c r="B14" s="116"/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8"/>
      <c r="W14" s="119"/>
      <c r="X14" s="119"/>
      <c r="Y14" s="119"/>
      <c r="Z14" s="119"/>
      <c r="AA14" s="119"/>
      <c r="AB14" s="119"/>
      <c r="AC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119"/>
      <c r="BF14" s="119"/>
      <c r="BG14" s="119"/>
      <c r="BH14" s="119"/>
      <c r="BI14" s="119"/>
      <c r="BJ14" s="119"/>
      <c r="BK14" s="119"/>
      <c r="BL14" s="119"/>
      <c r="BM14" s="119"/>
      <c r="BN14" s="119"/>
      <c r="BO14" s="119"/>
      <c r="BP14" s="119"/>
      <c r="BQ14" s="119"/>
      <c r="BR14" s="119"/>
      <c r="BS14" s="119"/>
      <c r="BT14" s="119"/>
      <c r="BU14" s="119"/>
      <c r="BV14" s="119"/>
      <c r="BW14" s="119"/>
      <c r="BX14" s="119"/>
      <c r="BY14" s="119"/>
      <c r="BZ14" s="119"/>
      <c r="CA14" s="119"/>
      <c r="CB14" s="119"/>
      <c r="CC14" s="119"/>
      <c r="CD14" s="119"/>
      <c r="CE14" s="119"/>
      <c r="CF14" s="119"/>
      <c r="CG14" s="119"/>
      <c r="CH14" s="119"/>
      <c r="CI14" s="119"/>
      <c r="CJ14" s="119"/>
      <c r="CK14" s="119"/>
      <c r="CL14" s="119"/>
      <c r="CM14" s="119"/>
    </row>
    <row r="15" spans="1:91" ht="36" customHeight="1">
      <c r="A15" s="122"/>
      <c r="B15" s="123"/>
      <c r="C15" s="123"/>
      <c r="D15" s="123"/>
      <c r="E15" s="123"/>
      <c r="F15" s="123"/>
      <c r="G15" s="123"/>
      <c r="H15" s="123"/>
      <c r="I15" s="123"/>
      <c r="J15" s="123"/>
      <c r="K15" s="123"/>
      <c r="L15" s="123"/>
      <c r="M15" s="123"/>
      <c r="N15" s="123"/>
      <c r="O15" s="123"/>
      <c r="P15" s="124"/>
      <c r="Q15" s="123"/>
      <c r="R15" s="123"/>
      <c r="S15" s="123"/>
      <c r="T15" s="123"/>
      <c r="U15" s="123"/>
      <c r="V15" s="125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</row>
    <row r="16" spans="1:91" ht="36" customHeight="1">
      <c r="A16" s="115"/>
      <c r="B16" s="116"/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8"/>
      <c r="W16" s="119"/>
      <c r="X16" s="119"/>
      <c r="Y16" s="119"/>
      <c r="Z16" s="119"/>
      <c r="AA16" s="119"/>
      <c r="AB16" s="119"/>
      <c r="AC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19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19"/>
      <c r="BE16" s="119"/>
      <c r="BF16" s="119"/>
      <c r="BG16" s="119"/>
      <c r="BH16" s="119"/>
      <c r="BI16" s="119"/>
      <c r="BJ16" s="119"/>
      <c r="BK16" s="119"/>
      <c r="BL16" s="119"/>
      <c r="BM16" s="119"/>
      <c r="BN16" s="119"/>
      <c r="BO16" s="119"/>
      <c r="BP16" s="119"/>
      <c r="BQ16" s="119"/>
      <c r="BR16" s="119"/>
      <c r="BS16" s="119"/>
      <c r="BT16" s="119"/>
      <c r="BU16" s="119"/>
      <c r="BV16" s="119"/>
      <c r="BW16" s="119"/>
      <c r="BX16" s="119"/>
      <c r="BY16" s="119"/>
      <c r="BZ16" s="119"/>
      <c r="CA16" s="119"/>
      <c r="CB16" s="119"/>
      <c r="CC16" s="119"/>
      <c r="CD16" s="119"/>
      <c r="CE16" s="119"/>
      <c r="CF16" s="119"/>
      <c r="CG16" s="119"/>
      <c r="CH16" s="119"/>
      <c r="CI16" s="119"/>
      <c r="CJ16" s="119"/>
      <c r="CK16" s="119"/>
      <c r="CL16" s="119"/>
      <c r="CM16" s="119"/>
    </row>
    <row r="17" spans="1:91" ht="36" customHeight="1">
      <c r="A17" s="115"/>
      <c r="B17" s="116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8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19"/>
      <c r="BE17" s="119"/>
      <c r="BF17" s="119"/>
      <c r="BG17" s="119"/>
      <c r="BH17" s="119"/>
      <c r="BI17" s="119"/>
      <c r="BJ17" s="119"/>
      <c r="BK17" s="119"/>
      <c r="BL17" s="119"/>
      <c r="BM17" s="119"/>
      <c r="BN17" s="119"/>
      <c r="BO17" s="119"/>
      <c r="BP17" s="119"/>
      <c r="BQ17" s="119"/>
      <c r="BR17" s="119"/>
      <c r="BS17" s="119"/>
      <c r="BT17" s="119"/>
      <c r="BU17" s="119"/>
      <c r="BV17" s="119"/>
      <c r="BW17" s="119"/>
      <c r="BX17" s="119"/>
      <c r="BY17" s="119"/>
      <c r="BZ17" s="119"/>
      <c r="CA17" s="119"/>
      <c r="CB17" s="119"/>
      <c r="CC17" s="119"/>
      <c r="CD17" s="119"/>
      <c r="CE17" s="119"/>
      <c r="CF17" s="119"/>
      <c r="CG17" s="119"/>
      <c r="CH17" s="119"/>
      <c r="CI17" s="119"/>
      <c r="CJ17" s="119"/>
      <c r="CK17" s="119"/>
      <c r="CL17" s="119"/>
      <c r="CM17" s="119"/>
    </row>
    <row r="18" spans="1:91" ht="18.75" customHeight="1">
      <c r="A18" s="115"/>
      <c r="B18" s="116"/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8"/>
      <c r="W18" s="119"/>
      <c r="X18" s="119"/>
      <c r="Y18" s="119"/>
      <c r="Z18" s="119"/>
      <c r="AA18" s="119"/>
      <c r="AB18" s="119"/>
      <c r="AC18" s="119"/>
      <c r="AD18" s="119"/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19"/>
      <c r="AT18" s="119"/>
      <c r="AU18" s="119"/>
      <c r="AV18" s="119"/>
      <c r="AW18" s="119"/>
      <c r="AX18" s="119"/>
      <c r="AY18" s="119"/>
      <c r="AZ18" s="119"/>
      <c r="BA18" s="119"/>
      <c r="BB18" s="119"/>
      <c r="BC18" s="119"/>
      <c r="BD18" s="119"/>
      <c r="BE18" s="119"/>
      <c r="BF18" s="119"/>
      <c r="BG18" s="119"/>
      <c r="BH18" s="119"/>
      <c r="BI18" s="119"/>
      <c r="BJ18" s="119"/>
      <c r="BK18" s="119"/>
      <c r="BL18" s="119"/>
      <c r="BM18" s="119"/>
      <c r="BN18" s="119"/>
      <c r="BO18" s="119"/>
      <c r="BP18" s="119"/>
      <c r="BQ18" s="119"/>
      <c r="BR18" s="119"/>
      <c r="BS18" s="119"/>
      <c r="BT18" s="119"/>
      <c r="BU18" s="119"/>
      <c r="BV18" s="119"/>
      <c r="BW18" s="119"/>
      <c r="BX18" s="119"/>
      <c r="BY18" s="119"/>
      <c r="BZ18" s="119"/>
      <c r="CA18" s="119"/>
      <c r="CB18" s="119"/>
      <c r="CC18" s="119"/>
      <c r="CD18" s="119"/>
      <c r="CE18" s="119"/>
      <c r="CF18" s="119"/>
      <c r="CG18" s="119"/>
      <c r="CH18" s="119"/>
      <c r="CI18" s="119"/>
      <c r="CJ18" s="119"/>
      <c r="CK18" s="119"/>
      <c r="CL18" s="119"/>
      <c r="CM18" s="119"/>
    </row>
    <row r="19" spans="1:91" ht="26.25" customHeight="1" thickBot="1">
      <c r="A19" s="115"/>
      <c r="B19" s="116"/>
      <c r="C19" s="116"/>
      <c r="D19" s="116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8"/>
      <c r="W19" s="119"/>
      <c r="X19" s="119"/>
      <c r="Y19" s="119"/>
      <c r="Z19" s="119"/>
      <c r="AA19" s="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19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19"/>
      <c r="BE19" s="119"/>
      <c r="BF19" s="119"/>
      <c r="BG19" s="119"/>
      <c r="BH19" s="119"/>
      <c r="BI19" s="119"/>
      <c r="BJ19" s="119"/>
      <c r="BK19" s="119"/>
      <c r="BL19" s="119"/>
      <c r="BM19" s="119"/>
      <c r="BN19" s="119"/>
      <c r="BO19" s="119"/>
      <c r="BP19" s="119"/>
      <c r="BQ19" s="119"/>
      <c r="BR19" s="119"/>
      <c r="BS19" s="119"/>
      <c r="BT19" s="119"/>
      <c r="BU19" s="119"/>
      <c r="BV19" s="119"/>
      <c r="BW19" s="119"/>
      <c r="BX19" s="119"/>
      <c r="BY19" s="119"/>
      <c r="BZ19" s="119"/>
      <c r="CA19" s="119"/>
      <c r="CB19" s="119"/>
      <c r="CC19" s="119"/>
      <c r="CD19" s="119"/>
      <c r="CE19" s="119"/>
      <c r="CF19" s="119"/>
      <c r="CG19" s="119"/>
      <c r="CH19" s="119"/>
      <c r="CI19" s="119"/>
      <c r="CJ19" s="119"/>
      <c r="CK19" s="119"/>
      <c r="CL19" s="119"/>
      <c r="CM19" s="119"/>
    </row>
    <row r="20" spans="1:91" ht="67.5" customHeight="1" thickBot="1">
      <c r="A20" s="115"/>
      <c r="B20" s="116"/>
      <c r="C20" s="126"/>
      <c r="D20" s="126"/>
      <c r="E20" s="127"/>
      <c r="F20" s="128"/>
      <c r="G20" s="128"/>
      <c r="H20" s="128"/>
      <c r="I20" s="128"/>
      <c r="J20" s="129"/>
      <c r="K20" s="244"/>
      <c r="L20" s="245"/>
      <c r="M20" s="245"/>
      <c r="N20" s="245"/>
      <c r="O20" s="245"/>
      <c r="P20" s="245"/>
      <c r="Q20" s="245"/>
      <c r="R20" s="245"/>
      <c r="S20" s="245"/>
      <c r="T20" s="245"/>
      <c r="U20" s="245"/>
      <c r="V20" s="246"/>
      <c r="W20" s="119"/>
      <c r="X20" s="130"/>
      <c r="Y20" s="130"/>
      <c r="Z20" s="130"/>
      <c r="AA20" s="130"/>
      <c r="AB20" s="130"/>
      <c r="AC20" s="131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19"/>
      <c r="BE20" s="119"/>
      <c r="BF20" s="119"/>
      <c r="BG20" s="119"/>
      <c r="BH20" s="119"/>
      <c r="BI20" s="119"/>
      <c r="BJ20" s="119"/>
      <c r="BK20" s="119"/>
      <c r="BL20" s="119"/>
      <c r="BM20" s="119"/>
      <c r="BN20" s="119"/>
      <c r="BO20" s="119"/>
      <c r="BP20" s="119"/>
      <c r="BQ20" s="119"/>
      <c r="BR20" s="119"/>
      <c r="BS20" s="119"/>
      <c r="BT20" s="119"/>
      <c r="BU20" s="119"/>
      <c r="BV20" s="119"/>
      <c r="BW20" s="119"/>
      <c r="BX20" s="119"/>
      <c r="BY20" s="119"/>
      <c r="BZ20" s="119"/>
      <c r="CA20" s="119"/>
      <c r="CB20" s="119"/>
      <c r="CC20" s="119"/>
      <c r="CD20" s="119"/>
      <c r="CE20" s="119"/>
      <c r="CF20" s="119"/>
      <c r="CG20" s="119"/>
      <c r="CH20" s="119"/>
      <c r="CI20" s="119"/>
      <c r="CJ20" s="119"/>
      <c r="CK20" s="119"/>
      <c r="CL20" s="119"/>
      <c r="CM20" s="119"/>
    </row>
    <row r="21" spans="1:91" ht="24" customHeight="1" thickBot="1">
      <c r="A21" s="115"/>
      <c r="B21" s="116"/>
      <c r="C21" s="126"/>
      <c r="D21" s="126"/>
      <c r="E21" s="132"/>
      <c r="F21" s="126"/>
      <c r="G21" s="126"/>
      <c r="H21" s="126"/>
      <c r="I21" s="126"/>
      <c r="J21" s="133"/>
      <c r="K21" s="10"/>
      <c r="L21" s="134"/>
      <c r="M21" s="134"/>
      <c r="N21" s="134"/>
      <c r="O21" s="134"/>
      <c r="P21" s="134"/>
      <c r="Q21" s="134"/>
      <c r="R21" s="10"/>
      <c r="S21" s="10"/>
      <c r="T21" s="135"/>
      <c r="U21" s="10"/>
      <c r="V21" s="136"/>
      <c r="W21" s="119"/>
      <c r="X21" s="137"/>
      <c r="Y21" s="130"/>
      <c r="Z21" s="138"/>
      <c r="AA21" s="130"/>
      <c r="AB21" s="130"/>
      <c r="AC21" s="131"/>
      <c r="AD21" s="119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19"/>
      <c r="AT21" s="119"/>
      <c r="AU21" s="119"/>
      <c r="AV21" s="119"/>
      <c r="AW21" s="119"/>
      <c r="AX21" s="119"/>
      <c r="AY21" s="119"/>
      <c r="AZ21" s="119"/>
      <c r="BA21" s="119"/>
      <c r="BB21" s="119"/>
      <c r="BC21" s="119"/>
      <c r="BD21" s="119"/>
      <c r="BE21" s="119"/>
      <c r="BF21" s="119"/>
      <c r="BG21" s="119"/>
      <c r="BH21" s="119"/>
      <c r="BI21" s="119"/>
      <c r="BJ21" s="119"/>
      <c r="BK21" s="119"/>
      <c r="BL21" s="119"/>
      <c r="BM21" s="119"/>
      <c r="BN21" s="119"/>
      <c r="BO21" s="119"/>
      <c r="BP21" s="119"/>
      <c r="BQ21" s="119"/>
      <c r="BR21" s="119"/>
      <c r="BS21" s="119"/>
      <c r="BT21" s="119"/>
      <c r="BU21" s="119"/>
      <c r="BV21" s="119"/>
      <c r="BW21" s="119"/>
      <c r="BX21" s="119"/>
      <c r="BY21" s="119"/>
      <c r="BZ21" s="119"/>
      <c r="CA21" s="119"/>
      <c r="CB21" s="119"/>
      <c r="CC21" s="119"/>
      <c r="CD21" s="119"/>
      <c r="CE21" s="119"/>
      <c r="CF21" s="119"/>
      <c r="CG21" s="119"/>
      <c r="CH21" s="119"/>
      <c r="CI21" s="119"/>
      <c r="CJ21" s="119"/>
      <c r="CK21" s="119"/>
      <c r="CL21" s="119"/>
      <c r="CM21" s="119"/>
    </row>
    <row r="22" spans="1:91" ht="21" customHeight="1">
      <c r="A22" s="115"/>
      <c r="B22" s="116"/>
      <c r="C22" s="126"/>
      <c r="D22" s="126"/>
      <c r="E22" s="132"/>
      <c r="F22" s="126"/>
      <c r="G22" s="126"/>
      <c r="H22" s="126"/>
      <c r="I22" s="126"/>
      <c r="J22" s="133"/>
      <c r="K22" s="139"/>
      <c r="L22" s="140"/>
      <c r="M22" s="141"/>
      <c r="N22" s="141"/>
      <c r="O22" s="141"/>
      <c r="P22" s="141"/>
      <c r="Q22" s="142"/>
      <c r="R22" s="143"/>
      <c r="S22" s="144"/>
      <c r="T22" s="13"/>
      <c r="U22" s="13"/>
      <c r="V22" s="145"/>
      <c r="W22" s="119"/>
      <c r="X22" s="137"/>
      <c r="Y22" s="130"/>
      <c r="Z22" s="138"/>
      <c r="AA22" s="130"/>
      <c r="AB22" s="130"/>
      <c r="AC22" s="131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119"/>
      <c r="BE22" s="119"/>
      <c r="BF22" s="119"/>
      <c r="BG22" s="119"/>
      <c r="BH22" s="119"/>
      <c r="BI22" s="119"/>
      <c r="BJ22" s="119"/>
      <c r="BK22" s="119"/>
      <c r="BL22" s="119"/>
      <c r="BM22" s="119"/>
      <c r="BN22" s="119"/>
      <c r="BO22" s="119"/>
      <c r="BP22" s="119"/>
      <c r="BQ22" s="119"/>
      <c r="BR22" s="119"/>
      <c r="BS22" s="119"/>
      <c r="BT22" s="119"/>
      <c r="BU22" s="119"/>
      <c r="BV22" s="119"/>
      <c r="BW22" s="119"/>
      <c r="BX22" s="119"/>
      <c r="BY22" s="119"/>
      <c r="BZ22" s="119"/>
      <c r="CA22" s="119"/>
      <c r="CB22" s="119"/>
      <c r="CC22" s="119"/>
      <c r="CD22" s="119"/>
      <c r="CE22" s="119"/>
      <c r="CF22" s="119"/>
      <c r="CG22" s="119"/>
      <c r="CH22" s="119"/>
      <c r="CI22" s="119"/>
      <c r="CJ22" s="119"/>
      <c r="CK22" s="119"/>
      <c r="CL22" s="119"/>
      <c r="CM22" s="119"/>
    </row>
    <row r="23" spans="1:91" s="9" customFormat="1" ht="21" customHeight="1">
      <c r="A23" s="146"/>
      <c r="B23" s="147"/>
      <c r="C23" s="126"/>
      <c r="D23" s="126"/>
      <c r="E23" s="132"/>
      <c r="F23" s="126"/>
      <c r="G23" s="126"/>
      <c r="H23" s="126"/>
      <c r="I23" s="126"/>
      <c r="J23" s="133"/>
      <c r="K23" s="148"/>
      <c r="L23" s="140"/>
      <c r="M23" s="141"/>
      <c r="N23" s="141"/>
      <c r="O23" s="141"/>
      <c r="P23" s="141"/>
      <c r="Q23" s="142"/>
      <c r="R23" s="143"/>
      <c r="S23" s="144"/>
      <c r="T23" s="13"/>
      <c r="U23" s="13"/>
      <c r="V23" s="149"/>
      <c r="W23" s="131"/>
      <c r="X23" s="137"/>
      <c r="Y23" s="130"/>
      <c r="Z23" s="138"/>
      <c r="AA23" s="130"/>
      <c r="AB23" s="130"/>
      <c r="AC23" s="131"/>
      <c r="AD23" s="131"/>
      <c r="AE23" s="131"/>
      <c r="AF23" s="131"/>
      <c r="AG23" s="131"/>
      <c r="AH23" s="131"/>
      <c r="AI23" s="131"/>
      <c r="AJ23" s="131"/>
      <c r="AK23" s="131"/>
      <c r="AL23" s="131"/>
      <c r="AM23" s="131"/>
      <c r="AN23" s="131"/>
      <c r="AO23" s="131"/>
      <c r="AP23" s="131"/>
      <c r="AQ23" s="131"/>
      <c r="AR23" s="131"/>
      <c r="AS23" s="131"/>
      <c r="AT23" s="131"/>
      <c r="AU23" s="131"/>
      <c r="AV23" s="131"/>
      <c r="AW23" s="131"/>
      <c r="AX23" s="131"/>
      <c r="AY23" s="131"/>
      <c r="AZ23" s="131"/>
      <c r="BA23" s="131"/>
      <c r="BB23" s="131"/>
      <c r="BC23" s="131"/>
      <c r="BD23" s="131"/>
      <c r="BE23" s="131"/>
      <c r="BF23" s="131"/>
      <c r="BG23" s="131"/>
      <c r="BH23" s="131"/>
      <c r="BI23" s="131"/>
      <c r="BJ23" s="131"/>
      <c r="BK23" s="131"/>
      <c r="BL23" s="131"/>
      <c r="BM23" s="131"/>
      <c r="BN23" s="131"/>
      <c r="BO23" s="131"/>
      <c r="BP23" s="131"/>
      <c r="BQ23" s="131"/>
      <c r="BR23" s="131"/>
      <c r="BS23" s="131"/>
      <c r="BT23" s="131"/>
      <c r="BU23" s="131"/>
      <c r="BV23" s="131"/>
      <c r="BW23" s="131"/>
      <c r="BX23" s="131"/>
      <c r="BY23" s="131"/>
      <c r="BZ23" s="131"/>
      <c r="CA23" s="131"/>
      <c r="CB23" s="131"/>
      <c r="CC23" s="131"/>
      <c r="CD23" s="131"/>
      <c r="CE23" s="131"/>
      <c r="CF23" s="131"/>
      <c r="CG23" s="131"/>
      <c r="CH23" s="131"/>
      <c r="CI23" s="131"/>
      <c r="CJ23" s="131"/>
      <c r="CK23" s="131"/>
      <c r="CL23" s="131"/>
      <c r="CM23" s="131"/>
    </row>
    <row r="24" spans="1:91" ht="21" customHeight="1">
      <c r="A24" s="115"/>
      <c r="B24" s="116"/>
      <c r="C24" s="126"/>
      <c r="D24" s="126"/>
      <c r="E24" s="132"/>
      <c r="F24" s="126"/>
      <c r="G24" s="126"/>
      <c r="H24" s="126"/>
      <c r="I24" s="126"/>
      <c r="J24" s="133"/>
      <c r="K24" s="148"/>
      <c r="L24" s="150"/>
      <c r="M24" s="151"/>
      <c r="N24" s="152"/>
      <c r="O24" s="152"/>
      <c r="P24" s="152"/>
      <c r="Q24" s="153"/>
      <c r="R24" s="143"/>
      <c r="S24" s="13"/>
      <c r="T24" s="154"/>
      <c r="U24" s="154"/>
      <c r="V24" s="155"/>
      <c r="W24" s="119"/>
      <c r="X24" s="137"/>
      <c r="Y24" s="130"/>
      <c r="Z24" s="138"/>
      <c r="AA24" s="130"/>
      <c r="AB24" s="130"/>
      <c r="AC24" s="131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19"/>
      <c r="BE24" s="119"/>
      <c r="BF24" s="119"/>
      <c r="BG24" s="119"/>
      <c r="BH24" s="119"/>
      <c r="BI24" s="119"/>
      <c r="BJ24" s="119"/>
      <c r="BK24" s="119"/>
      <c r="BL24" s="119"/>
      <c r="BM24" s="119"/>
      <c r="BN24" s="119"/>
      <c r="BO24" s="119"/>
      <c r="BP24" s="119"/>
      <c r="BQ24" s="119"/>
      <c r="BR24" s="119"/>
      <c r="BS24" s="119"/>
      <c r="BT24" s="119"/>
      <c r="BU24" s="119"/>
      <c r="BV24" s="119"/>
      <c r="BW24" s="119"/>
      <c r="BX24" s="119"/>
      <c r="BY24" s="119"/>
      <c r="BZ24" s="119"/>
      <c r="CA24" s="119"/>
      <c r="CB24" s="119"/>
      <c r="CC24" s="119"/>
      <c r="CD24" s="119"/>
      <c r="CE24" s="119"/>
      <c r="CF24" s="119"/>
      <c r="CG24" s="119"/>
      <c r="CH24" s="119"/>
      <c r="CI24" s="119"/>
      <c r="CJ24" s="119"/>
      <c r="CK24" s="119"/>
      <c r="CL24" s="119"/>
      <c r="CM24" s="119"/>
    </row>
    <row r="25" spans="1:91" ht="21" customHeight="1">
      <c r="A25" s="115"/>
      <c r="B25" s="116"/>
      <c r="C25" s="126"/>
      <c r="D25" s="126"/>
      <c r="E25" s="132"/>
      <c r="F25" s="126"/>
      <c r="G25" s="126"/>
      <c r="H25" s="126"/>
      <c r="I25" s="126"/>
      <c r="J25" s="133"/>
      <c r="K25" s="156"/>
      <c r="L25" s="157"/>
      <c r="M25" s="158"/>
      <c r="N25" s="158"/>
      <c r="O25" s="158"/>
      <c r="P25" s="158"/>
      <c r="Q25" s="159"/>
      <c r="R25" s="143"/>
      <c r="S25" s="13"/>
      <c r="T25" s="13"/>
      <c r="U25" s="13"/>
      <c r="V25" s="149"/>
      <c r="W25" s="119"/>
      <c r="X25" s="137"/>
      <c r="Y25" s="130"/>
      <c r="Z25" s="138"/>
      <c r="AA25" s="130"/>
      <c r="AB25" s="130"/>
      <c r="AC25" s="131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19"/>
      <c r="BE25" s="119"/>
      <c r="BF25" s="119"/>
      <c r="BG25" s="119"/>
      <c r="BH25" s="119"/>
      <c r="BI25" s="119"/>
      <c r="BJ25" s="119"/>
      <c r="BK25" s="119"/>
      <c r="BL25" s="119"/>
      <c r="BM25" s="119"/>
      <c r="BN25" s="119"/>
      <c r="BO25" s="119"/>
      <c r="BP25" s="119"/>
      <c r="BQ25" s="119"/>
      <c r="BR25" s="119"/>
      <c r="BS25" s="119"/>
      <c r="BT25" s="119"/>
      <c r="BU25" s="119"/>
      <c r="BV25" s="119"/>
      <c r="BW25" s="119"/>
      <c r="BX25" s="119"/>
      <c r="BY25" s="119"/>
      <c r="BZ25" s="119"/>
      <c r="CA25" s="119"/>
      <c r="CB25" s="119"/>
      <c r="CC25" s="119"/>
      <c r="CD25" s="119"/>
      <c r="CE25" s="119"/>
      <c r="CF25" s="119"/>
      <c r="CG25" s="119"/>
      <c r="CH25" s="119"/>
      <c r="CI25" s="119"/>
      <c r="CJ25" s="119"/>
      <c r="CK25" s="119"/>
      <c r="CL25" s="119"/>
      <c r="CM25" s="119"/>
    </row>
    <row r="26" spans="1:91" ht="21" customHeight="1" thickBot="1">
      <c r="A26" s="160"/>
      <c r="B26" s="161"/>
      <c r="C26" s="162"/>
      <c r="D26" s="162"/>
      <c r="E26" s="163"/>
      <c r="F26" s="162"/>
      <c r="G26" s="164"/>
      <c r="H26" s="164"/>
      <c r="I26" s="162"/>
      <c r="J26" s="165"/>
      <c r="K26" s="166"/>
      <c r="L26" s="167"/>
      <c r="M26" s="168"/>
      <c r="N26" s="168"/>
      <c r="O26" s="168"/>
      <c r="P26" s="168"/>
      <c r="Q26" s="169"/>
      <c r="R26" s="170"/>
      <c r="S26" s="14"/>
      <c r="T26" s="171"/>
      <c r="U26" s="172"/>
      <c r="V26" s="173"/>
      <c r="W26" s="119"/>
      <c r="X26" s="137"/>
      <c r="Y26" s="130"/>
      <c r="Z26" s="138"/>
      <c r="AA26" s="130"/>
      <c r="AB26" s="130"/>
      <c r="AC26" s="131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19"/>
      <c r="BE26" s="119"/>
      <c r="BF26" s="119"/>
      <c r="BG26" s="119"/>
      <c r="BH26" s="119"/>
      <c r="BI26" s="119"/>
      <c r="BJ26" s="119"/>
      <c r="BK26" s="119"/>
      <c r="BL26" s="119"/>
      <c r="BM26" s="119"/>
      <c r="BN26" s="119"/>
      <c r="BO26" s="119"/>
      <c r="BP26" s="119"/>
      <c r="BQ26" s="119"/>
      <c r="BR26" s="119"/>
      <c r="BS26" s="119"/>
      <c r="BT26" s="119"/>
      <c r="BU26" s="119"/>
      <c r="BV26" s="119"/>
      <c r="BW26" s="119"/>
      <c r="BX26" s="119"/>
      <c r="BY26" s="119"/>
      <c r="BZ26" s="119"/>
      <c r="CA26" s="119"/>
      <c r="CB26" s="119"/>
      <c r="CC26" s="119"/>
      <c r="CD26" s="119"/>
      <c r="CE26" s="119"/>
      <c r="CF26" s="119"/>
      <c r="CG26" s="119"/>
      <c r="CH26" s="119"/>
      <c r="CI26" s="119"/>
      <c r="CJ26" s="119"/>
      <c r="CK26" s="119"/>
      <c r="CL26" s="119"/>
      <c r="CM26" s="119"/>
    </row>
    <row r="27" spans="1:91" ht="24" customHeight="1">
      <c r="A27" s="119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37"/>
      <c r="Y27" s="130"/>
      <c r="Z27" s="138"/>
      <c r="AA27" s="130"/>
      <c r="AB27" s="130"/>
      <c r="AC27" s="131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19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19"/>
      <c r="BE27" s="119"/>
      <c r="BF27" s="119"/>
      <c r="BG27" s="119"/>
      <c r="BH27" s="119"/>
      <c r="BI27" s="119"/>
      <c r="BJ27" s="119"/>
      <c r="BK27" s="119"/>
      <c r="BL27" s="119"/>
      <c r="BM27" s="119"/>
      <c r="BN27" s="119"/>
      <c r="BO27" s="119"/>
      <c r="BP27" s="119"/>
      <c r="BQ27" s="119"/>
      <c r="BR27" s="119"/>
      <c r="BS27" s="119"/>
      <c r="BT27" s="119"/>
      <c r="BU27" s="119"/>
      <c r="BV27" s="119"/>
      <c r="BW27" s="119"/>
      <c r="BX27" s="119"/>
      <c r="BY27" s="119"/>
      <c r="BZ27" s="119"/>
      <c r="CA27" s="119"/>
      <c r="CB27" s="119"/>
      <c r="CC27" s="119"/>
      <c r="CD27" s="119"/>
      <c r="CE27" s="119"/>
      <c r="CF27" s="119"/>
      <c r="CG27" s="119"/>
      <c r="CH27" s="119"/>
      <c r="CI27" s="119"/>
      <c r="CJ27" s="119"/>
      <c r="CK27" s="119"/>
      <c r="CL27" s="119"/>
      <c r="CM27" s="119"/>
    </row>
    <row r="28" spans="1:91" ht="15.95" customHeight="1">
      <c r="A28" s="119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37"/>
      <c r="Y28" s="130"/>
      <c r="Z28" s="138"/>
      <c r="AA28" s="130"/>
      <c r="AB28" s="130"/>
      <c r="AC28" s="131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19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19"/>
      <c r="BE28" s="119"/>
      <c r="BF28" s="119"/>
      <c r="BG28" s="119"/>
      <c r="BH28" s="119"/>
      <c r="BI28" s="119"/>
      <c r="BJ28" s="119"/>
      <c r="BK28" s="119"/>
      <c r="BL28" s="119"/>
      <c r="BM28" s="119"/>
      <c r="BN28" s="119"/>
      <c r="BO28" s="119"/>
      <c r="BP28" s="119"/>
      <c r="BQ28" s="119"/>
      <c r="BR28" s="119"/>
      <c r="BS28" s="119"/>
      <c r="BT28" s="119"/>
      <c r="BU28" s="119"/>
      <c r="BV28" s="119"/>
      <c r="BW28" s="119"/>
      <c r="BX28" s="119"/>
      <c r="BY28" s="119"/>
      <c r="BZ28" s="119"/>
      <c r="CA28" s="119"/>
      <c r="CB28" s="119"/>
      <c r="CC28" s="119"/>
      <c r="CD28" s="119"/>
      <c r="CE28" s="119"/>
      <c r="CF28" s="119"/>
      <c r="CG28" s="119"/>
      <c r="CH28" s="119"/>
      <c r="CI28" s="119"/>
      <c r="CJ28" s="119"/>
      <c r="CK28" s="119"/>
      <c r="CL28" s="119"/>
      <c r="CM28" s="119"/>
    </row>
    <row r="29" spans="1:91" ht="15.95" customHeight="1">
      <c r="A29" s="119"/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37"/>
      <c r="Y29" s="130"/>
      <c r="Z29" s="138"/>
      <c r="AA29" s="130"/>
      <c r="AB29" s="130"/>
      <c r="AC29" s="131"/>
      <c r="AD29" s="119"/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19"/>
      <c r="AR29" s="119"/>
      <c r="AS29" s="119"/>
      <c r="AT29" s="119"/>
      <c r="AU29" s="119"/>
      <c r="AV29" s="119"/>
      <c r="AW29" s="119"/>
      <c r="AX29" s="119"/>
      <c r="AY29" s="119"/>
      <c r="AZ29" s="119"/>
      <c r="BA29" s="119"/>
      <c r="BB29" s="119"/>
      <c r="BC29" s="119"/>
      <c r="BD29" s="119"/>
      <c r="BE29" s="119"/>
      <c r="BF29" s="119"/>
      <c r="BG29" s="119"/>
      <c r="BH29" s="119"/>
      <c r="BI29" s="119"/>
      <c r="BJ29" s="119"/>
      <c r="BK29" s="119"/>
      <c r="BL29" s="119"/>
      <c r="BM29" s="119"/>
      <c r="BN29" s="119"/>
      <c r="BO29" s="119"/>
      <c r="BP29" s="119"/>
      <c r="BQ29" s="119"/>
      <c r="BR29" s="119"/>
      <c r="BS29" s="119"/>
      <c r="BT29" s="119"/>
      <c r="BU29" s="119"/>
      <c r="BV29" s="119"/>
      <c r="BW29" s="119"/>
      <c r="BX29" s="119"/>
      <c r="BY29" s="119"/>
      <c r="BZ29" s="119"/>
      <c r="CA29" s="119"/>
      <c r="CB29" s="119"/>
      <c r="CC29" s="119"/>
      <c r="CD29" s="119"/>
      <c r="CE29" s="119"/>
      <c r="CF29" s="119"/>
      <c r="CG29" s="119"/>
      <c r="CH29" s="119"/>
      <c r="CI29" s="119"/>
      <c r="CJ29" s="119"/>
      <c r="CK29" s="119"/>
      <c r="CL29" s="119"/>
      <c r="CM29" s="119"/>
    </row>
    <row r="30" spans="1:91" ht="15.95" customHeight="1">
      <c r="A30" s="119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37"/>
      <c r="Y30" s="130"/>
      <c r="Z30" s="138"/>
      <c r="AA30" s="130"/>
      <c r="AB30" s="130"/>
      <c r="AC30" s="131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19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19"/>
      <c r="BE30" s="119"/>
      <c r="BF30" s="119"/>
      <c r="BG30" s="119"/>
      <c r="BH30" s="119"/>
      <c r="BI30" s="119"/>
      <c r="BJ30" s="119"/>
      <c r="BK30" s="119"/>
      <c r="BL30" s="119"/>
      <c r="BM30" s="119"/>
      <c r="BN30" s="119"/>
      <c r="BO30" s="119"/>
      <c r="BP30" s="119"/>
      <c r="BQ30" s="119"/>
      <c r="BR30" s="119"/>
      <c r="BS30" s="119"/>
      <c r="BT30" s="119"/>
      <c r="BU30" s="119"/>
      <c r="BV30" s="119"/>
      <c r="BW30" s="119"/>
      <c r="BX30" s="119"/>
      <c r="BY30" s="119"/>
      <c r="BZ30" s="119"/>
      <c r="CA30" s="119"/>
      <c r="CB30" s="119"/>
      <c r="CC30" s="119"/>
      <c r="CD30" s="119"/>
      <c r="CE30" s="119"/>
      <c r="CF30" s="119"/>
      <c r="CG30" s="119"/>
      <c r="CH30" s="119"/>
      <c r="CI30" s="119"/>
      <c r="CJ30" s="119"/>
      <c r="CK30" s="119"/>
      <c r="CL30" s="119"/>
      <c r="CM30" s="119"/>
    </row>
    <row r="31" spans="1:91">
      <c r="A31" s="119"/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6"/>
      <c r="U31" s="119"/>
      <c r="V31" s="119"/>
      <c r="W31" s="119"/>
      <c r="X31" s="137"/>
      <c r="Y31" s="130"/>
      <c r="Z31" s="138"/>
      <c r="AA31" s="130"/>
      <c r="AB31" s="130"/>
      <c r="AC31" s="131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19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19"/>
      <c r="BE31" s="119"/>
      <c r="BF31" s="119"/>
      <c r="BG31" s="119"/>
      <c r="BH31" s="119"/>
      <c r="BI31" s="119"/>
      <c r="BJ31" s="119"/>
      <c r="BK31" s="119"/>
      <c r="BL31" s="119"/>
      <c r="BM31" s="119"/>
      <c r="BN31" s="119"/>
      <c r="BO31" s="119"/>
      <c r="BP31" s="119"/>
      <c r="BQ31" s="119"/>
      <c r="BR31" s="119"/>
      <c r="BS31" s="119"/>
      <c r="BT31" s="119"/>
      <c r="BU31" s="119"/>
      <c r="BV31" s="119"/>
      <c r="BW31" s="119"/>
      <c r="BX31" s="119"/>
      <c r="BY31" s="119"/>
      <c r="BZ31" s="119"/>
      <c r="CA31" s="119"/>
      <c r="CB31" s="119"/>
      <c r="CC31" s="119"/>
      <c r="CD31" s="119"/>
      <c r="CE31" s="119"/>
      <c r="CF31" s="119"/>
      <c r="CG31" s="119"/>
      <c r="CH31" s="119"/>
      <c r="CI31" s="119"/>
      <c r="CJ31" s="119"/>
      <c r="CK31" s="119"/>
      <c r="CL31" s="119"/>
      <c r="CM31" s="119"/>
    </row>
    <row r="32" spans="1:91">
      <c r="A32" s="119"/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37"/>
      <c r="Y32" s="130"/>
      <c r="Z32" s="138"/>
      <c r="AA32" s="130"/>
      <c r="AB32" s="130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19"/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119"/>
      <c r="BE32" s="119"/>
      <c r="BF32" s="119"/>
      <c r="BG32" s="119"/>
      <c r="BH32" s="119"/>
      <c r="BI32" s="119"/>
      <c r="BJ32" s="119"/>
      <c r="BK32" s="119"/>
      <c r="BL32" s="119"/>
      <c r="BM32" s="119"/>
      <c r="BN32" s="119"/>
      <c r="BO32" s="119"/>
      <c r="BP32" s="119"/>
      <c r="BQ32" s="119"/>
      <c r="BR32" s="119"/>
      <c r="BS32" s="119"/>
      <c r="BT32" s="119"/>
      <c r="BU32" s="119"/>
      <c r="BV32" s="119"/>
      <c r="BW32" s="119"/>
      <c r="BX32" s="119"/>
      <c r="BY32" s="119"/>
      <c r="BZ32" s="119"/>
      <c r="CA32" s="119"/>
      <c r="CB32" s="119"/>
      <c r="CC32" s="119"/>
      <c r="CD32" s="119"/>
      <c r="CE32" s="119"/>
      <c r="CF32" s="119"/>
      <c r="CG32" s="119"/>
      <c r="CH32" s="119"/>
      <c r="CI32" s="119"/>
      <c r="CJ32" s="119"/>
      <c r="CK32" s="119"/>
      <c r="CL32" s="119"/>
      <c r="CM32" s="119"/>
    </row>
    <row r="33" spans="1:91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37"/>
      <c r="Y33" s="130"/>
      <c r="Z33" s="138"/>
      <c r="AA33" s="130"/>
      <c r="AB33" s="130"/>
      <c r="AC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19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19"/>
      <c r="BE33" s="119"/>
      <c r="BF33" s="119"/>
      <c r="BG33" s="119"/>
      <c r="BH33" s="119"/>
      <c r="BI33" s="119"/>
      <c r="BJ33" s="119"/>
      <c r="BK33" s="119"/>
      <c r="BL33" s="119"/>
      <c r="BM33" s="119"/>
      <c r="BN33" s="119"/>
      <c r="BO33" s="119"/>
      <c r="BP33" s="119"/>
      <c r="BQ33" s="119"/>
      <c r="BR33" s="119"/>
      <c r="BS33" s="119"/>
      <c r="BT33" s="119"/>
      <c r="BU33" s="119"/>
      <c r="BV33" s="119"/>
      <c r="BW33" s="119"/>
      <c r="BX33" s="119"/>
      <c r="BY33" s="119"/>
      <c r="BZ33" s="119"/>
      <c r="CA33" s="119"/>
      <c r="CB33" s="119"/>
      <c r="CC33" s="119"/>
      <c r="CD33" s="119"/>
      <c r="CE33" s="119"/>
      <c r="CF33" s="119"/>
      <c r="CG33" s="119"/>
      <c r="CH33" s="119"/>
      <c r="CI33" s="119"/>
      <c r="CJ33" s="119"/>
      <c r="CK33" s="119"/>
      <c r="CL33" s="119"/>
      <c r="CM33" s="119"/>
    </row>
    <row r="34" spans="1:91">
      <c r="A34" s="119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37"/>
      <c r="Y34" s="130"/>
      <c r="Z34" s="138"/>
      <c r="AA34" s="130"/>
      <c r="AB34" s="130"/>
      <c r="AC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19"/>
      <c r="AT34" s="119"/>
      <c r="AU34" s="119"/>
      <c r="AV34" s="119"/>
      <c r="AW34" s="119"/>
      <c r="AX34" s="119"/>
      <c r="AY34" s="119"/>
      <c r="AZ34" s="119"/>
      <c r="BA34" s="119"/>
      <c r="BB34" s="119"/>
      <c r="BC34" s="119"/>
      <c r="BD34" s="119"/>
      <c r="BE34" s="119"/>
      <c r="BF34" s="119"/>
      <c r="BG34" s="119"/>
      <c r="BH34" s="119"/>
      <c r="BI34" s="119"/>
      <c r="BJ34" s="119"/>
      <c r="BK34" s="119"/>
      <c r="BL34" s="119"/>
      <c r="BM34" s="119"/>
      <c r="BN34" s="119"/>
      <c r="BO34" s="119"/>
      <c r="BP34" s="119"/>
      <c r="BQ34" s="119"/>
      <c r="BR34" s="119"/>
      <c r="BS34" s="119"/>
      <c r="BT34" s="119"/>
      <c r="BU34" s="119"/>
      <c r="BV34" s="119"/>
      <c r="BW34" s="119"/>
      <c r="BX34" s="119"/>
      <c r="BY34" s="119"/>
      <c r="BZ34" s="119"/>
      <c r="CA34" s="119"/>
      <c r="CB34" s="119"/>
      <c r="CC34" s="119"/>
      <c r="CD34" s="119"/>
      <c r="CE34" s="119"/>
      <c r="CF34" s="119"/>
      <c r="CG34" s="119"/>
      <c r="CH34" s="119"/>
      <c r="CI34" s="119"/>
      <c r="CJ34" s="119"/>
      <c r="CK34" s="119"/>
      <c r="CL34" s="119"/>
      <c r="CM34" s="119"/>
    </row>
    <row r="35" spans="1:91">
      <c r="A35" s="119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  <c r="W35" s="119"/>
      <c r="X35" s="137"/>
      <c r="Y35" s="130"/>
      <c r="Z35" s="138"/>
      <c r="AA35" s="130"/>
      <c r="AB35" s="130"/>
      <c r="AC35" s="119"/>
      <c r="AD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19"/>
      <c r="AT35" s="119"/>
      <c r="AU35" s="119"/>
      <c r="AV35" s="119"/>
      <c r="AW35" s="119"/>
      <c r="AX35" s="119"/>
      <c r="AY35" s="119"/>
      <c r="AZ35" s="119"/>
      <c r="BA35" s="119"/>
      <c r="BB35" s="119"/>
      <c r="BC35" s="119"/>
      <c r="BD35" s="119"/>
      <c r="BE35" s="119"/>
      <c r="BF35" s="119"/>
      <c r="BG35" s="119"/>
      <c r="BH35" s="119"/>
      <c r="BI35" s="119"/>
      <c r="BJ35" s="119"/>
      <c r="BK35" s="119"/>
      <c r="BL35" s="119"/>
      <c r="BM35" s="119"/>
      <c r="BN35" s="119"/>
      <c r="BO35" s="119"/>
      <c r="BP35" s="119"/>
      <c r="BQ35" s="119"/>
      <c r="BR35" s="119"/>
      <c r="BS35" s="119"/>
      <c r="BT35" s="119"/>
      <c r="BU35" s="119"/>
      <c r="BV35" s="119"/>
      <c r="BW35" s="119"/>
      <c r="BX35" s="119"/>
      <c r="BY35" s="119"/>
      <c r="BZ35" s="119"/>
      <c r="CA35" s="119"/>
      <c r="CB35" s="119"/>
      <c r="CC35" s="119"/>
      <c r="CD35" s="119"/>
      <c r="CE35" s="119"/>
      <c r="CF35" s="119"/>
      <c r="CG35" s="119"/>
      <c r="CH35" s="119"/>
      <c r="CI35" s="119"/>
      <c r="CJ35" s="119"/>
      <c r="CK35" s="119"/>
      <c r="CL35" s="119"/>
      <c r="CM35" s="119"/>
    </row>
    <row r="36" spans="1:91">
      <c r="A36" s="119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37"/>
      <c r="Y36" s="130"/>
      <c r="Z36" s="138"/>
      <c r="AA36" s="130"/>
      <c r="AB36" s="130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19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19"/>
      <c r="BE36" s="119"/>
      <c r="BF36" s="119"/>
      <c r="BG36" s="119"/>
      <c r="BH36" s="119"/>
      <c r="BI36" s="119"/>
      <c r="BJ36" s="119"/>
      <c r="BK36" s="119"/>
      <c r="BL36" s="119"/>
      <c r="BM36" s="119"/>
      <c r="BN36" s="119"/>
      <c r="BO36" s="119"/>
      <c r="BP36" s="119"/>
      <c r="BQ36" s="119"/>
      <c r="BR36" s="119"/>
      <c r="BS36" s="119"/>
      <c r="BT36" s="119"/>
      <c r="BU36" s="119"/>
      <c r="BV36" s="119"/>
      <c r="BW36" s="119"/>
      <c r="BX36" s="119"/>
      <c r="BY36" s="119"/>
      <c r="BZ36" s="119"/>
      <c r="CA36" s="119"/>
      <c r="CB36" s="119"/>
      <c r="CC36" s="119"/>
      <c r="CD36" s="119"/>
      <c r="CE36" s="119"/>
      <c r="CF36" s="119"/>
      <c r="CG36" s="119"/>
      <c r="CH36" s="119"/>
      <c r="CI36" s="119"/>
      <c r="CJ36" s="119"/>
      <c r="CK36" s="119"/>
      <c r="CL36" s="119"/>
      <c r="CM36" s="119"/>
    </row>
    <row r="37" spans="1:91">
      <c r="A37" s="119"/>
      <c r="B37" s="119"/>
      <c r="C37" s="119"/>
      <c r="D37" s="119"/>
      <c r="E37" s="119"/>
      <c r="F37" s="174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37"/>
      <c r="Y37" s="130"/>
      <c r="Z37" s="138"/>
      <c r="AA37" s="130"/>
      <c r="AB37" s="130"/>
      <c r="AC37" s="119"/>
      <c r="AD37" s="119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19"/>
      <c r="AT37" s="119"/>
      <c r="AU37" s="119"/>
      <c r="AV37" s="119"/>
      <c r="AW37" s="119"/>
      <c r="AX37" s="119"/>
      <c r="AY37" s="119"/>
      <c r="AZ37" s="119"/>
      <c r="BA37" s="119"/>
      <c r="BB37" s="119"/>
      <c r="BC37" s="119"/>
      <c r="BD37" s="119"/>
      <c r="BE37" s="119"/>
      <c r="BF37" s="119"/>
      <c r="BG37" s="119"/>
      <c r="BH37" s="119"/>
      <c r="BI37" s="119"/>
      <c r="BJ37" s="119"/>
      <c r="BK37" s="119"/>
      <c r="BL37" s="119"/>
      <c r="BM37" s="119"/>
      <c r="BN37" s="119"/>
      <c r="BO37" s="119"/>
      <c r="BP37" s="119"/>
      <c r="BQ37" s="119"/>
      <c r="BR37" s="119"/>
      <c r="BS37" s="119"/>
      <c r="BT37" s="119"/>
      <c r="BU37" s="119"/>
      <c r="BV37" s="119"/>
      <c r="BW37" s="119"/>
      <c r="BX37" s="119"/>
      <c r="BY37" s="119"/>
      <c r="BZ37" s="119"/>
      <c r="CA37" s="119"/>
      <c r="CB37" s="119"/>
      <c r="CC37" s="119"/>
      <c r="CD37" s="119"/>
      <c r="CE37" s="119"/>
      <c r="CF37" s="119"/>
      <c r="CG37" s="119"/>
      <c r="CH37" s="119"/>
      <c r="CI37" s="119"/>
      <c r="CJ37" s="119"/>
      <c r="CK37" s="119"/>
      <c r="CL37" s="119"/>
      <c r="CM37" s="119"/>
    </row>
    <row r="38" spans="1:91">
      <c r="A38" s="119"/>
      <c r="B38" s="119"/>
      <c r="C38" s="119"/>
      <c r="D38" s="119"/>
      <c r="E38" s="119"/>
      <c r="F38" s="174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U38" s="119"/>
      <c r="V38" s="119"/>
      <c r="W38" s="119"/>
      <c r="X38" s="137"/>
      <c r="Y38" s="130"/>
      <c r="Z38" s="138"/>
      <c r="AA38" s="130"/>
      <c r="AB38" s="130"/>
      <c r="AC38" s="119"/>
      <c r="AD38" s="119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19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119"/>
      <c r="BE38" s="119"/>
      <c r="BF38" s="119"/>
      <c r="BG38" s="119"/>
      <c r="BH38" s="119"/>
      <c r="BI38" s="119"/>
      <c r="BJ38" s="119"/>
      <c r="BK38" s="119"/>
      <c r="BL38" s="119"/>
      <c r="BM38" s="119"/>
      <c r="BN38" s="119"/>
      <c r="BO38" s="119"/>
      <c r="BP38" s="119"/>
      <c r="BQ38" s="119"/>
      <c r="BR38" s="119"/>
      <c r="BS38" s="119"/>
      <c r="BT38" s="119"/>
      <c r="BU38" s="119"/>
      <c r="BV38" s="119"/>
      <c r="BW38" s="119"/>
      <c r="BX38" s="119"/>
      <c r="BY38" s="119"/>
      <c r="BZ38" s="119"/>
      <c r="CA38" s="119"/>
      <c r="CB38" s="119"/>
      <c r="CC38" s="119"/>
      <c r="CD38" s="119"/>
      <c r="CE38" s="119"/>
      <c r="CF38" s="119"/>
      <c r="CG38" s="119"/>
      <c r="CH38" s="119"/>
      <c r="CI38" s="119"/>
      <c r="CJ38" s="119"/>
      <c r="CK38" s="119"/>
      <c r="CL38" s="119"/>
      <c r="CM38" s="119"/>
    </row>
    <row r="39" spans="1:91">
      <c r="A39" s="119"/>
      <c r="B39" s="119"/>
      <c r="C39" s="119"/>
      <c r="D39" s="119"/>
      <c r="E39" s="119"/>
      <c r="F39" s="174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T39" s="119"/>
      <c r="U39" s="119"/>
      <c r="V39" s="119"/>
      <c r="W39" s="119"/>
      <c r="X39" s="137"/>
      <c r="Y39" s="130"/>
      <c r="Z39" s="138"/>
      <c r="AA39" s="130"/>
      <c r="AB39" s="130"/>
      <c r="AC39" s="119"/>
      <c r="AD39" s="119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19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119"/>
      <c r="BE39" s="119"/>
      <c r="BF39" s="119"/>
      <c r="BG39" s="119"/>
      <c r="BH39" s="119"/>
      <c r="BI39" s="119"/>
      <c r="BJ39" s="119"/>
      <c r="BK39" s="119"/>
      <c r="BL39" s="119"/>
      <c r="BM39" s="119"/>
      <c r="BN39" s="119"/>
      <c r="BO39" s="119"/>
      <c r="BP39" s="119"/>
      <c r="BQ39" s="119"/>
      <c r="BR39" s="119"/>
      <c r="BS39" s="119"/>
      <c r="BT39" s="119"/>
      <c r="BU39" s="119"/>
      <c r="BV39" s="119"/>
      <c r="BW39" s="119"/>
      <c r="BX39" s="119"/>
      <c r="BY39" s="119"/>
      <c r="BZ39" s="119"/>
      <c r="CA39" s="119"/>
      <c r="CB39" s="119"/>
      <c r="CC39" s="119"/>
      <c r="CD39" s="119"/>
      <c r="CE39" s="119"/>
      <c r="CF39" s="119"/>
      <c r="CG39" s="119"/>
      <c r="CH39" s="119"/>
      <c r="CI39" s="119"/>
      <c r="CJ39" s="119"/>
      <c r="CK39" s="119"/>
      <c r="CL39" s="119"/>
      <c r="CM39" s="119"/>
    </row>
    <row r="40" spans="1:91">
      <c r="A40" s="119"/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  <c r="W40" s="119"/>
      <c r="X40" s="137"/>
      <c r="Y40" s="130"/>
      <c r="Z40" s="138"/>
      <c r="AA40" s="130"/>
      <c r="AB40" s="130"/>
      <c r="AC40" s="119"/>
      <c r="AD40" s="119"/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19"/>
      <c r="AT40" s="119"/>
      <c r="AU40" s="119"/>
      <c r="AV40" s="119"/>
      <c r="AW40" s="119"/>
      <c r="AX40" s="119"/>
      <c r="AY40" s="119"/>
      <c r="AZ40" s="119"/>
      <c r="BA40" s="119"/>
      <c r="BB40" s="119"/>
      <c r="BC40" s="119"/>
      <c r="BD40" s="119"/>
      <c r="BE40" s="119"/>
      <c r="BF40" s="119"/>
      <c r="BG40" s="119"/>
      <c r="BH40" s="119"/>
      <c r="BI40" s="119"/>
      <c r="BJ40" s="119"/>
      <c r="BK40" s="119"/>
      <c r="BL40" s="119"/>
      <c r="BM40" s="119"/>
      <c r="BN40" s="119"/>
      <c r="BO40" s="119"/>
      <c r="BP40" s="119"/>
      <c r="BQ40" s="119"/>
      <c r="BR40" s="119"/>
      <c r="BS40" s="119"/>
      <c r="BT40" s="119"/>
      <c r="BU40" s="119"/>
      <c r="BV40" s="119"/>
      <c r="BW40" s="119"/>
      <c r="BX40" s="119"/>
      <c r="BY40" s="119"/>
      <c r="BZ40" s="119"/>
      <c r="CA40" s="119"/>
      <c r="CB40" s="119"/>
      <c r="CC40" s="119"/>
      <c r="CD40" s="119"/>
      <c r="CE40" s="119"/>
      <c r="CF40" s="119"/>
      <c r="CG40" s="119"/>
      <c r="CH40" s="119"/>
      <c r="CI40" s="119"/>
      <c r="CJ40" s="119"/>
      <c r="CK40" s="119"/>
      <c r="CL40" s="119"/>
      <c r="CM40" s="119"/>
    </row>
    <row r="41" spans="1:91">
      <c r="A41" s="119"/>
      <c r="B41" s="119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19"/>
      <c r="P41" s="119"/>
      <c r="Q41" s="119"/>
      <c r="R41" s="119"/>
      <c r="S41" s="119"/>
      <c r="T41" s="119"/>
      <c r="U41" s="119"/>
      <c r="V41" s="119"/>
      <c r="W41" s="119"/>
      <c r="X41" s="137"/>
      <c r="Y41" s="130"/>
      <c r="Z41" s="138"/>
      <c r="AA41" s="130"/>
      <c r="AB41" s="130"/>
      <c r="AC41" s="119"/>
      <c r="AD41" s="119"/>
      <c r="AE41" s="119"/>
      <c r="AF41" s="119"/>
      <c r="AG41" s="119"/>
      <c r="AH41" s="119"/>
      <c r="AI41" s="119"/>
      <c r="AJ41" s="119"/>
      <c r="AK41" s="119"/>
      <c r="AL41" s="119"/>
      <c r="AM41" s="119"/>
      <c r="AN41" s="119"/>
      <c r="AO41" s="119"/>
      <c r="AP41" s="119"/>
      <c r="AQ41" s="119"/>
      <c r="AR41" s="119"/>
      <c r="AS41" s="119"/>
      <c r="AT41" s="119"/>
      <c r="AU41" s="119"/>
      <c r="AV41" s="119"/>
      <c r="AW41" s="119"/>
      <c r="AX41" s="119"/>
      <c r="AY41" s="119"/>
      <c r="AZ41" s="119"/>
      <c r="BA41" s="119"/>
      <c r="BB41" s="119"/>
      <c r="BC41" s="119"/>
      <c r="BD41" s="119"/>
      <c r="BE41" s="119"/>
      <c r="BF41" s="119"/>
      <c r="BG41" s="119"/>
      <c r="BH41" s="119"/>
      <c r="BI41" s="119"/>
      <c r="BJ41" s="119"/>
      <c r="BK41" s="119"/>
      <c r="BL41" s="119"/>
      <c r="BM41" s="119"/>
      <c r="BN41" s="119"/>
      <c r="BO41" s="119"/>
      <c r="BP41" s="119"/>
      <c r="BQ41" s="119"/>
      <c r="BR41" s="119"/>
      <c r="BS41" s="119"/>
      <c r="BT41" s="119"/>
      <c r="BU41" s="119"/>
      <c r="BV41" s="119"/>
      <c r="BW41" s="119"/>
      <c r="BX41" s="119"/>
      <c r="BY41" s="119"/>
      <c r="BZ41" s="119"/>
      <c r="CA41" s="119"/>
      <c r="CB41" s="119"/>
      <c r="CC41" s="119"/>
      <c r="CD41" s="119"/>
      <c r="CE41" s="119"/>
      <c r="CF41" s="119"/>
      <c r="CG41" s="119"/>
      <c r="CH41" s="119"/>
      <c r="CI41" s="119"/>
      <c r="CJ41" s="119"/>
      <c r="CK41" s="119"/>
      <c r="CL41" s="119"/>
      <c r="CM41" s="119"/>
    </row>
    <row r="42" spans="1:91">
      <c r="A42" s="119"/>
      <c r="B42" s="119"/>
      <c r="C42" s="119"/>
      <c r="D42" s="119"/>
      <c r="E42" s="119"/>
      <c r="F42" s="119"/>
      <c r="G42" s="119"/>
      <c r="H42" s="119"/>
      <c r="I42" s="119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37"/>
      <c r="Y42" s="130"/>
      <c r="Z42" s="138"/>
      <c r="AA42" s="130"/>
      <c r="AB42" s="130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</row>
    <row r="43" spans="1:91">
      <c r="A43" s="119"/>
      <c r="B43" s="119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  <c r="W43" s="119"/>
      <c r="X43" s="137"/>
      <c r="Y43" s="130"/>
      <c r="Z43" s="138"/>
      <c r="AA43" s="130"/>
      <c r="AB43" s="130"/>
      <c r="AC43" s="119"/>
      <c r="AD43" s="119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19"/>
      <c r="AT43" s="119"/>
      <c r="AU43" s="119"/>
      <c r="AV43" s="119"/>
      <c r="AW43" s="119"/>
      <c r="AX43" s="119"/>
      <c r="AY43" s="119"/>
      <c r="AZ43" s="119"/>
      <c r="BA43" s="119"/>
      <c r="BB43" s="119"/>
      <c r="BC43" s="119"/>
      <c r="BD43" s="119"/>
      <c r="BE43" s="119"/>
      <c r="BF43" s="119"/>
      <c r="BG43" s="119"/>
      <c r="BH43" s="119"/>
      <c r="BI43" s="119"/>
      <c r="BJ43" s="119"/>
      <c r="BK43" s="119"/>
      <c r="BL43" s="119"/>
      <c r="BM43" s="119"/>
      <c r="BN43" s="119"/>
      <c r="BO43" s="119"/>
      <c r="BP43" s="119"/>
      <c r="BQ43" s="119"/>
      <c r="BR43" s="119"/>
      <c r="BS43" s="119"/>
      <c r="BT43" s="119"/>
      <c r="BU43" s="119"/>
      <c r="BV43" s="119"/>
      <c r="BW43" s="119"/>
      <c r="BX43" s="119"/>
      <c r="BY43" s="119"/>
      <c r="BZ43" s="119"/>
      <c r="CA43" s="119"/>
      <c r="CB43" s="119"/>
      <c r="CC43" s="119"/>
      <c r="CD43" s="119"/>
      <c r="CE43" s="119"/>
      <c r="CF43" s="119"/>
      <c r="CG43" s="119"/>
      <c r="CH43" s="119"/>
      <c r="CI43" s="119"/>
      <c r="CJ43" s="119"/>
      <c r="CK43" s="119"/>
      <c r="CL43" s="119"/>
      <c r="CM43" s="119"/>
    </row>
    <row r="44" spans="1:91">
      <c r="A44" s="119"/>
      <c r="B44" s="119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37"/>
      <c r="Y44" s="130"/>
      <c r="Z44" s="138"/>
      <c r="AA44" s="130"/>
      <c r="AB44" s="130"/>
      <c r="AC44" s="119"/>
      <c r="AD44" s="119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19"/>
      <c r="AP44" s="119"/>
      <c r="AQ44" s="119"/>
      <c r="AR44" s="119"/>
      <c r="AS44" s="119"/>
      <c r="AT44" s="119"/>
      <c r="AU44" s="119"/>
      <c r="AV44" s="119"/>
      <c r="AW44" s="119"/>
      <c r="AX44" s="119"/>
      <c r="AY44" s="119"/>
      <c r="AZ44" s="119"/>
      <c r="BA44" s="119"/>
      <c r="BB44" s="119"/>
      <c r="BC44" s="119"/>
      <c r="BD44" s="119"/>
      <c r="BE44" s="119"/>
      <c r="BF44" s="119"/>
      <c r="BG44" s="119"/>
      <c r="BH44" s="119"/>
      <c r="BI44" s="119"/>
      <c r="BJ44" s="119"/>
      <c r="BK44" s="119"/>
      <c r="BL44" s="119"/>
      <c r="BM44" s="119"/>
      <c r="BN44" s="119"/>
      <c r="BO44" s="119"/>
      <c r="BP44" s="119"/>
      <c r="BQ44" s="119"/>
      <c r="BR44" s="119"/>
      <c r="BS44" s="119"/>
      <c r="BT44" s="119"/>
      <c r="BU44" s="119"/>
      <c r="BV44" s="119"/>
      <c r="BW44" s="119"/>
      <c r="BX44" s="119"/>
      <c r="BY44" s="119"/>
      <c r="BZ44" s="119"/>
      <c r="CA44" s="119"/>
      <c r="CB44" s="119"/>
      <c r="CC44" s="119"/>
      <c r="CD44" s="119"/>
      <c r="CE44" s="119"/>
      <c r="CF44" s="119"/>
      <c r="CG44" s="119"/>
      <c r="CH44" s="119"/>
      <c r="CI44" s="119"/>
      <c r="CJ44" s="119"/>
      <c r="CK44" s="119"/>
      <c r="CL44" s="119"/>
      <c r="CM44" s="119"/>
    </row>
    <row r="45" spans="1:91">
      <c r="A45" s="119"/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  <c r="W45" s="119"/>
      <c r="X45" s="137"/>
      <c r="Y45" s="130"/>
      <c r="Z45" s="138"/>
      <c r="AA45" s="130"/>
      <c r="AB45" s="130"/>
      <c r="AC45" s="119"/>
      <c r="AD45" s="119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19"/>
      <c r="AT45" s="119"/>
      <c r="AU45" s="119"/>
      <c r="AV45" s="119"/>
      <c r="AW45" s="119"/>
      <c r="AX45" s="119"/>
      <c r="AY45" s="119"/>
      <c r="AZ45" s="119"/>
      <c r="BA45" s="119"/>
      <c r="BB45" s="119"/>
      <c r="BC45" s="119"/>
      <c r="BD45" s="119"/>
      <c r="BE45" s="119"/>
      <c r="BF45" s="119"/>
      <c r="BG45" s="119"/>
      <c r="BH45" s="119"/>
      <c r="BI45" s="119"/>
      <c r="BJ45" s="119"/>
      <c r="BK45" s="119"/>
      <c r="BL45" s="119"/>
      <c r="BM45" s="119"/>
      <c r="BN45" s="119"/>
      <c r="BO45" s="119"/>
      <c r="BP45" s="119"/>
      <c r="BQ45" s="119"/>
      <c r="BR45" s="119"/>
      <c r="BS45" s="119"/>
      <c r="BT45" s="119"/>
      <c r="BU45" s="119"/>
      <c r="BV45" s="119"/>
      <c r="BW45" s="119"/>
      <c r="BX45" s="119"/>
      <c r="BY45" s="119"/>
      <c r="BZ45" s="119"/>
      <c r="CA45" s="119"/>
      <c r="CB45" s="119"/>
      <c r="CC45" s="119"/>
      <c r="CD45" s="119"/>
      <c r="CE45" s="119"/>
      <c r="CF45" s="119"/>
      <c r="CG45" s="119"/>
      <c r="CH45" s="119"/>
      <c r="CI45" s="119"/>
      <c r="CJ45" s="119"/>
      <c r="CK45" s="119"/>
      <c r="CL45" s="119"/>
      <c r="CM45" s="119"/>
    </row>
    <row r="46" spans="1:91">
      <c r="A46" s="119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  <c r="W46" s="119"/>
      <c r="X46" s="137"/>
      <c r="Y46" s="130"/>
      <c r="Z46" s="138"/>
      <c r="AA46" s="130"/>
      <c r="AB46" s="130"/>
      <c r="AC46" s="119"/>
      <c r="AD46" s="119"/>
      <c r="AE46" s="119"/>
      <c r="AF46" s="119"/>
      <c r="AG46" s="119"/>
      <c r="AH46" s="119"/>
      <c r="AI46" s="119"/>
      <c r="AJ46" s="119"/>
      <c r="AK46" s="119"/>
      <c r="AL46" s="119"/>
      <c r="AM46" s="119"/>
      <c r="AN46" s="119"/>
      <c r="AO46" s="119"/>
      <c r="AP46" s="119"/>
      <c r="AQ46" s="119"/>
      <c r="AR46" s="119"/>
      <c r="AS46" s="119"/>
      <c r="AT46" s="119"/>
      <c r="AU46" s="119"/>
      <c r="AV46" s="119"/>
      <c r="AW46" s="119"/>
      <c r="AX46" s="119"/>
      <c r="AY46" s="119"/>
      <c r="AZ46" s="119"/>
      <c r="BA46" s="119"/>
      <c r="BB46" s="119"/>
      <c r="BC46" s="119"/>
      <c r="BD46" s="119"/>
      <c r="BE46" s="119"/>
      <c r="BF46" s="119"/>
      <c r="BG46" s="119"/>
      <c r="BH46" s="119"/>
      <c r="BI46" s="119"/>
      <c r="BJ46" s="119"/>
      <c r="BK46" s="119"/>
      <c r="BL46" s="119"/>
      <c r="BM46" s="119"/>
      <c r="BN46" s="119"/>
      <c r="BO46" s="119"/>
      <c r="BP46" s="119"/>
      <c r="BQ46" s="119"/>
      <c r="BR46" s="119"/>
      <c r="BS46" s="119"/>
      <c r="BT46" s="119"/>
      <c r="BU46" s="119"/>
      <c r="BV46" s="119"/>
      <c r="BW46" s="119"/>
      <c r="BX46" s="119"/>
      <c r="BY46" s="119"/>
      <c r="BZ46" s="119"/>
      <c r="CA46" s="119"/>
      <c r="CB46" s="119"/>
      <c r="CC46" s="119"/>
      <c r="CD46" s="119"/>
      <c r="CE46" s="119"/>
      <c r="CF46" s="119"/>
      <c r="CG46" s="119"/>
      <c r="CH46" s="119"/>
      <c r="CI46" s="119"/>
      <c r="CJ46" s="119"/>
      <c r="CK46" s="119"/>
      <c r="CL46" s="119"/>
      <c r="CM46" s="119"/>
    </row>
    <row r="47" spans="1:91">
      <c r="A47" s="119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37"/>
      <c r="Y47" s="130"/>
      <c r="Z47" s="138"/>
      <c r="AA47" s="130"/>
      <c r="AB47" s="130"/>
      <c r="AC47" s="119"/>
      <c r="AD47" s="119"/>
      <c r="AE47" s="119"/>
      <c r="AF47" s="119"/>
      <c r="AG47" s="119"/>
      <c r="AH47" s="119"/>
      <c r="AI47" s="119"/>
      <c r="AJ47" s="119"/>
      <c r="AK47" s="119"/>
      <c r="AL47" s="119"/>
      <c r="AM47" s="119"/>
      <c r="AN47" s="119"/>
      <c r="AO47" s="119"/>
      <c r="AP47" s="119"/>
      <c r="AQ47" s="119"/>
      <c r="AR47" s="119"/>
      <c r="AS47" s="119"/>
      <c r="AT47" s="119"/>
      <c r="AU47" s="119"/>
      <c r="AV47" s="119"/>
      <c r="AW47" s="119"/>
      <c r="AX47" s="119"/>
      <c r="AY47" s="119"/>
      <c r="AZ47" s="119"/>
      <c r="BA47" s="119"/>
      <c r="BB47" s="119"/>
      <c r="BC47" s="119"/>
      <c r="BD47" s="119"/>
      <c r="BE47" s="119"/>
      <c r="BF47" s="119"/>
      <c r="BG47" s="119"/>
      <c r="BH47" s="119"/>
      <c r="BI47" s="119"/>
      <c r="BJ47" s="119"/>
      <c r="BK47" s="119"/>
      <c r="BL47" s="119"/>
      <c r="BM47" s="119"/>
      <c r="BN47" s="119"/>
      <c r="BO47" s="119"/>
      <c r="BP47" s="119"/>
      <c r="BQ47" s="119"/>
      <c r="BR47" s="119"/>
      <c r="BS47" s="119"/>
      <c r="BT47" s="119"/>
      <c r="BU47" s="119"/>
      <c r="BV47" s="119"/>
      <c r="BW47" s="119"/>
      <c r="BX47" s="119"/>
      <c r="BY47" s="119"/>
      <c r="BZ47" s="119"/>
      <c r="CA47" s="119"/>
      <c r="CB47" s="119"/>
      <c r="CC47" s="119"/>
      <c r="CD47" s="119"/>
      <c r="CE47" s="119"/>
      <c r="CF47" s="119"/>
      <c r="CG47" s="119"/>
      <c r="CH47" s="119"/>
      <c r="CI47" s="119"/>
      <c r="CJ47" s="119"/>
      <c r="CK47" s="119"/>
      <c r="CL47" s="119"/>
      <c r="CM47" s="119"/>
    </row>
    <row r="48" spans="1:91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  <c r="W48" s="119"/>
      <c r="X48" s="137"/>
      <c r="Y48" s="130"/>
      <c r="Z48" s="138"/>
      <c r="AA48" s="130"/>
      <c r="AB48" s="130"/>
      <c r="AC48" s="119"/>
      <c r="AD48" s="119"/>
      <c r="AE48" s="119"/>
      <c r="AF48" s="119"/>
      <c r="AG48" s="119"/>
      <c r="AH48" s="119"/>
      <c r="AI48" s="119"/>
      <c r="AJ48" s="119"/>
      <c r="AK48" s="119"/>
      <c r="AL48" s="119"/>
      <c r="AM48" s="119"/>
      <c r="AN48" s="119"/>
      <c r="AO48" s="119"/>
      <c r="AP48" s="119"/>
      <c r="AQ48" s="119"/>
      <c r="AR48" s="119"/>
      <c r="AS48" s="119"/>
      <c r="AT48" s="119"/>
      <c r="AU48" s="119"/>
      <c r="AV48" s="119"/>
      <c r="AW48" s="119"/>
      <c r="AX48" s="119"/>
      <c r="AY48" s="119"/>
      <c r="AZ48" s="119"/>
      <c r="BA48" s="119"/>
      <c r="BB48" s="119"/>
      <c r="BC48" s="119"/>
      <c r="BD48" s="119"/>
      <c r="BE48" s="119"/>
      <c r="BF48" s="119"/>
      <c r="BG48" s="119"/>
      <c r="BH48" s="119"/>
      <c r="BI48" s="119"/>
      <c r="BJ48" s="119"/>
      <c r="BK48" s="119"/>
      <c r="BL48" s="119"/>
      <c r="BM48" s="119"/>
      <c r="BN48" s="119"/>
      <c r="BO48" s="119"/>
      <c r="BP48" s="119"/>
      <c r="BQ48" s="119"/>
      <c r="BR48" s="119"/>
      <c r="BS48" s="119"/>
      <c r="BT48" s="119"/>
      <c r="BU48" s="119"/>
      <c r="BV48" s="119"/>
      <c r="BW48" s="119"/>
      <c r="BX48" s="119"/>
      <c r="BY48" s="119"/>
      <c r="BZ48" s="119"/>
      <c r="CA48" s="119"/>
      <c r="CB48" s="119"/>
      <c r="CC48" s="119"/>
      <c r="CD48" s="119"/>
      <c r="CE48" s="119"/>
      <c r="CF48" s="119"/>
      <c r="CG48" s="119"/>
      <c r="CH48" s="119"/>
      <c r="CI48" s="119"/>
      <c r="CJ48" s="119"/>
      <c r="CK48" s="119"/>
      <c r="CL48" s="119"/>
      <c r="CM48" s="119"/>
    </row>
    <row r="49" spans="1:91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  <c r="W49" s="119"/>
      <c r="X49" s="137"/>
      <c r="Y49" s="130"/>
      <c r="Z49" s="138"/>
      <c r="AA49" s="130"/>
      <c r="AB49" s="130"/>
      <c r="AC49" s="119"/>
      <c r="AD49" s="119"/>
      <c r="AE49" s="119"/>
      <c r="AF49" s="119"/>
      <c r="AG49" s="119"/>
      <c r="AH49" s="119"/>
      <c r="AI49" s="119"/>
      <c r="AJ49" s="119"/>
      <c r="AK49" s="119"/>
      <c r="AL49" s="119"/>
      <c r="AM49" s="119"/>
      <c r="AN49" s="119"/>
      <c r="AO49" s="119"/>
      <c r="AP49" s="119"/>
      <c r="AQ49" s="119"/>
      <c r="AR49" s="119"/>
      <c r="AS49" s="119"/>
      <c r="AT49" s="119"/>
      <c r="AU49" s="119"/>
      <c r="AV49" s="119"/>
      <c r="AW49" s="119"/>
      <c r="AX49" s="119"/>
      <c r="AY49" s="119"/>
      <c r="AZ49" s="119"/>
      <c r="BA49" s="119"/>
      <c r="BB49" s="119"/>
      <c r="BC49" s="119"/>
      <c r="BD49" s="119"/>
      <c r="BE49" s="119"/>
      <c r="BF49" s="119"/>
      <c r="BG49" s="119"/>
      <c r="BH49" s="119"/>
      <c r="BI49" s="119"/>
      <c r="BJ49" s="119"/>
      <c r="BK49" s="119"/>
      <c r="BL49" s="119"/>
      <c r="BM49" s="119"/>
      <c r="BN49" s="119"/>
      <c r="BO49" s="119"/>
      <c r="BP49" s="119"/>
      <c r="BQ49" s="119"/>
      <c r="BR49" s="119"/>
      <c r="BS49" s="119"/>
      <c r="BT49" s="119"/>
      <c r="BU49" s="119"/>
      <c r="BV49" s="119"/>
      <c r="BW49" s="119"/>
      <c r="BX49" s="119"/>
      <c r="BY49" s="119"/>
      <c r="BZ49" s="119"/>
      <c r="CA49" s="119"/>
      <c r="CB49" s="119"/>
      <c r="CC49" s="119"/>
      <c r="CD49" s="119"/>
      <c r="CE49" s="119"/>
      <c r="CF49" s="119"/>
      <c r="CG49" s="119"/>
      <c r="CH49" s="119"/>
      <c r="CI49" s="119"/>
      <c r="CJ49" s="119"/>
      <c r="CK49" s="119"/>
      <c r="CL49" s="119"/>
      <c r="CM49" s="119"/>
    </row>
    <row r="50" spans="1:91">
      <c r="A50" s="119"/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  <c r="W50" s="119"/>
      <c r="X50" s="137"/>
      <c r="Y50" s="130"/>
      <c r="Z50" s="138"/>
      <c r="AA50" s="130"/>
      <c r="AB50" s="130"/>
      <c r="AC50" s="119"/>
      <c r="AD50" s="119"/>
      <c r="AE50" s="119"/>
      <c r="AF50" s="119"/>
      <c r="AG50" s="119"/>
      <c r="AH50" s="119"/>
      <c r="AI50" s="119"/>
      <c r="AJ50" s="119"/>
      <c r="AK50" s="119"/>
      <c r="AL50" s="119"/>
      <c r="AM50" s="119"/>
      <c r="AN50" s="119"/>
      <c r="AO50" s="119"/>
      <c r="AP50" s="119"/>
      <c r="AQ50" s="119"/>
      <c r="AR50" s="119"/>
      <c r="AS50" s="119"/>
      <c r="AT50" s="119"/>
      <c r="AU50" s="119"/>
      <c r="AV50" s="119"/>
      <c r="AW50" s="119"/>
      <c r="AX50" s="119"/>
      <c r="AY50" s="119"/>
      <c r="AZ50" s="119"/>
      <c r="BA50" s="119"/>
      <c r="BB50" s="119"/>
      <c r="BC50" s="119"/>
      <c r="BD50" s="119"/>
      <c r="BE50" s="119"/>
      <c r="BF50" s="119"/>
      <c r="BG50" s="119"/>
      <c r="BH50" s="119"/>
      <c r="BI50" s="119"/>
      <c r="BJ50" s="119"/>
      <c r="BK50" s="119"/>
      <c r="BL50" s="119"/>
      <c r="BM50" s="119"/>
      <c r="BN50" s="119"/>
      <c r="BO50" s="119"/>
      <c r="BP50" s="119"/>
      <c r="BQ50" s="119"/>
      <c r="BR50" s="119"/>
      <c r="BS50" s="119"/>
      <c r="BT50" s="119"/>
      <c r="BU50" s="119"/>
      <c r="BV50" s="119"/>
      <c r="BW50" s="119"/>
      <c r="BX50" s="119"/>
      <c r="BY50" s="119"/>
      <c r="BZ50" s="119"/>
      <c r="CA50" s="119"/>
      <c r="CB50" s="119"/>
      <c r="CC50" s="119"/>
      <c r="CD50" s="119"/>
      <c r="CE50" s="119"/>
      <c r="CF50" s="119"/>
      <c r="CG50" s="119"/>
      <c r="CH50" s="119"/>
      <c r="CI50" s="119"/>
      <c r="CJ50" s="119"/>
      <c r="CK50" s="119"/>
      <c r="CL50" s="119"/>
      <c r="CM50" s="119"/>
    </row>
    <row r="51" spans="1:91">
      <c r="A51" s="119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  <c r="W51" s="119"/>
      <c r="X51" s="137"/>
      <c r="Y51" s="130"/>
      <c r="Z51" s="138"/>
      <c r="AA51" s="130"/>
      <c r="AB51" s="130"/>
      <c r="AC51" s="119"/>
      <c r="AD51" s="119"/>
      <c r="AE51" s="119"/>
      <c r="AF51" s="119"/>
      <c r="AG51" s="119"/>
      <c r="AH51" s="119"/>
      <c r="AI51" s="119"/>
      <c r="AJ51" s="119"/>
      <c r="AK51" s="119"/>
      <c r="AL51" s="119"/>
      <c r="AM51" s="119"/>
      <c r="AN51" s="119"/>
      <c r="AO51" s="119"/>
      <c r="AP51" s="119"/>
      <c r="AQ51" s="119"/>
      <c r="AR51" s="119"/>
      <c r="AS51" s="119"/>
      <c r="AT51" s="119"/>
      <c r="AU51" s="119"/>
      <c r="AV51" s="119"/>
      <c r="AW51" s="119"/>
      <c r="AX51" s="119"/>
      <c r="AY51" s="119"/>
      <c r="AZ51" s="119"/>
      <c r="BA51" s="119"/>
      <c r="BB51" s="119"/>
      <c r="BC51" s="119"/>
      <c r="BD51" s="119"/>
      <c r="BE51" s="119"/>
      <c r="BF51" s="119"/>
      <c r="BG51" s="119"/>
      <c r="BH51" s="119"/>
      <c r="BI51" s="119"/>
      <c r="BJ51" s="119"/>
      <c r="BK51" s="119"/>
      <c r="BL51" s="119"/>
      <c r="BM51" s="119"/>
      <c r="BN51" s="119"/>
      <c r="BO51" s="119"/>
      <c r="BP51" s="119"/>
      <c r="BQ51" s="119"/>
      <c r="BR51" s="119"/>
      <c r="BS51" s="119"/>
      <c r="BT51" s="119"/>
      <c r="BU51" s="119"/>
      <c r="BV51" s="119"/>
      <c r="BW51" s="119"/>
      <c r="BX51" s="119"/>
      <c r="BY51" s="119"/>
      <c r="BZ51" s="119"/>
      <c r="CA51" s="119"/>
      <c r="CB51" s="119"/>
      <c r="CC51" s="119"/>
      <c r="CD51" s="119"/>
      <c r="CE51" s="119"/>
      <c r="CF51" s="119"/>
      <c r="CG51" s="119"/>
      <c r="CH51" s="119"/>
      <c r="CI51" s="119"/>
      <c r="CJ51" s="119"/>
      <c r="CK51" s="119"/>
      <c r="CL51" s="119"/>
      <c r="CM51" s="119"/>
    </row>
    <row r="52" spans="1:91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  <c r="W52" s="119"/>
      <c r="X52" s="137"/>
      <c r="Y52" s="130"/>
      <c r="Z52" s="138"/>
      <c r="AA52" s="130"/>
      <c r="AB52" s="130"/>
      <c r="AC52" s="119"/>
      <c r="AD52" s="119"/>
      <c r="AE52" s="119"/>
      <c r="AF52" s="119"/>
      <c r="AG52" s="119"/>
      <c r="AH52" s="119"/>
      <c r="AI52" s="119"/>
      <c r="AJ52" s="119"/>
      <c r="AK52" s="119"/>
      <c r="AL52" s="119"/>
      <c r="AM52" s="119"/>
      <c r="AN52" s="119"/>
      <c r="AO52" s="119"/>
      <c r="AP52" s="119"/>
      <c r="AQ52" s="119"/>
      <c r="AR52" s="119"/>
      <c r="AS52" s="119"/>
      <c r="AT52" s="119"/>
      <c r="AU52" s="119"/>
      <c r="AV52" s="119"/>
      <c r="AW52" s="119"/>
      <c r="AX52" s="119"/>
      <c r="AY52" s="119"/>
      <c r="AZ52" s="119"/>
      <c r="BA52" s="119"/>
      <c r="BB52" s="119"/>
      <c r="BC52" s="119"/>
      <c r="BD52" s="119"/>
      <c r="BE52" s="119"/>
      <c r="BF52" s="119"/>
      <c r="BG52" s="119"/>
      <c r="BH52" s="119"/>
      <c r="BI52" s="119"/>
      <c r="BJ52" s="119"/>
      <c r="BK52" s="119"/>
      <c r="BL52" s="119"/>
      <c r="BM52" s="119"/>
      <c r="BN52" s="119"/>
      <c r="BO52" s="119"/>
      <c r="BP52" s="119"/>
      <c r="BQ52" s="119"/>
      <c r="BR52" s="119"/>
      <c r="BS52" s="119"/>
      <c r="BT52" s="119"/>
      <c r="BU52" s="119"/>
      <c r="BV52" s="119"/>
      <c r="BW52" s="119"/>
      <c r="BX52" s="119"/>
      <c r="BY52" s="119"/>
      <c r="BZ52" s="119"/>
      <c r="CA52" s="119"/>
      <c r="CB52" s="119"/>
      <c r="CC52" s="119"/>
      <c r="CD52" s="119"/>
      <c r="CE52" s="119"/>
      <c r="CF52" s="119"/>
      <c r="CG52" s="119"/>
      <c r="CH52" s="119"/>
      <c r="CI52" s="119"/>
      <c r="CJ52" s="119"/>
      <c r="CK52" s="119"/>
      <c r="CL52" s="119"/>
      <c r="CM52" s="119"/>
    </row>
    <row r="53" spans="1:91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  <c r="W53" s="119"/>
      <c r="X53" s="137"/>
      <c r="Y53" s="130"/>
      <c r="Z53" s="138"/>
      <c r="AA53" s="130"/>
      <c r="AB53" s="130"/>
      <c r="AC53" s="119"/>
      <c r="AD53" s="119"/>
      <c r="AE53" s="119"/>
      <c r="AF53" s="119"/>
      <c r="AG53" s="119"/>
      <c r="AH53" s="119"/>
      <c r="AI53" s="119"/>
      <c r="AJ53" s="119"/>
      <c r="AK53" s="119"/>
      <c r="AL53" s="119"/>
      <c r="AM53" s="119"/>
      <c r="AN53" s="119"/>
      <c r="AO53" s="119"/>
      <c r="AP53" s="119"/>
      <c r="AQ53" s="119"/>
      <c r="AR53" s="119"/>
      <c r="AS53" s="119"/>
      <c r="AT53" s="119"/>
      <c r="AU53" s="119"/>
      <c r="AV53" s="119"/>
      <c r="AW53" s="119"/>
      <c r="AX53" s="119"/>
      <c r="AY53" s="119"/>
      <c r="AZ53" s="119"/>
      <c r="BA53" s="119"/>
      <c r="BB53" s="119"/>
      <c r="BC53" s="119"/>
      <c r="BD53" s="119"/>
      <c r="BE53" s="119"/>
      <c r="BF53" s="119"/>
      <c r="BG53" s="119"/>
      <c r="BH53" s="119"/>
      <c r="BI53" s="119"/>
      <c r="BJ53" s="119"/>
      <c r="BK53" s="119"/>
      <c r="BL53" s="119"/>
      <c r="BM53" s="119"/>
      <c r="BN53" s="119"/>
      <c r="BO53" s="119"/>
      <c r="BP53" s="119"/>
      <c r="BQ53" s="119"/>
      <c r="BR53" s="119"/>
      <c r="BS53" s="119"/>
      <c r="BT53" s="119"/>
      <c r="BU53" s="119"/>
      <c r="BV53" s="119"/>
      <c r="BW53" s="119"/>
      <c r="BX53" s="119"/>
      <c r="BY53" s="119"/>
      <c r="BZ53" s="119"/>
      <c r="CA53" s="119"/>
      <c r="CB53" s="119"/>
      <c r="CC53" s="119"/>
      <c r="CD53" s="119"/>
      <c r="CE53" s="119"/>
      <c r="CF53" s="119"/>
      <c r="CG53" s="119"/>
      <c r="CH53" s="119"/>
      <c r="CI53" s="119"/>
      <c r="CJ53" s="119"/>
      <c r="CK53" s="119"/>
      <c r="CL53" s="119"/>
      <c r="CM53" s="119"/>
    </row>
    <row r="54" spans="1:91">
      <c r="A54" s="119"/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  <c r="W54" s="119"/>
      <c r="X54" s="137"/>
      <c r="Y54" s="130"/>
      <c r="Z54" s="138"/>
      <c r="AA54" s="130"/>
      <c r="AB54" s="130"/>
      <c r="AC54" s="119"/>
      <c r="AD54" s="119"/>
      <c r="AE54" s="119"/>
      <c r="AF54" s="119"/>
      <c r="AG54" s="119"/>
      <c r="AH54" s="119"/>
      <c r="AI54" s="119"/>
      <c r="AJ54" s="119"/>
      <c r="AK54" s="119"/>
      <c r="AL54" s="119"/>
      <c r="AM54" s="119"/>
      <c r="AN54" s="119"/>
      <c r="AO54" s="119"/>
      <c r="AP54" s="119"/>
      <c r="AQ54" s="119"/>
      <c r="AR54" s="119"/>
      <c r="AS54" s="119"/>
      <c r="AT54" s="119"/>
      <c r="AU54" s="119"/>
      <c r="AV54" s="119"/>
      <c r="AW54" s="119"/>
      <c r="AX54" s="119"/>
      <c r="AY54" s="119"/>
      <c r="AZ54" s="119"/>
      <c r="BA54" s="119"/>
      <c r="BB54" s="119"/>
      <c r="BC54" s="119"/>
      <c r="BD54" s="119"/>
      <c r="BE54" s="119"/>
      <c r="BF54" s="119"/>
      <c r="BG54" s="119"/>
      <c r="BH54" s="119"/>
      <c r="BI54" s="119"/>
      <c r="BJ54" s="119"/>
      <c r="BK54" s="119"/>
      <c r="BL54" s="119"/>
      <c r="BM54" s="119"/>
      <c r="BN54" s="119"/>
      <c r="BO54" s="119"/>
      <c r="BP54" s="119"/>
      <c r="BQ54" s="119"/>
      <c r="BR54" s="119"/>
      <c r="BS54" s="119"/>
      <c r="BT54" s="119"/>
      <c r="BU54" s="119"/>
      <c r="BV54" s="119"/>
      <c r="BW54" s="119"/>
      <c r="BX54" s="119"/>
      <c r="BY54" s="119"/>
      <c r="BZ54" s="119"/>
      <c r="CA54" s="119"/>
      <c r="CB54" s="119"/>
      <c r="CC54" s="119"/>
      <c r="CD54" s="119"/>
      <c r="CE54" s="119"/>
      <c r="CF54" s="119"/>
      <c r="CG54" s="119"/>
      <c r="CH54" s="119"/>
      <c r="CI54" s="119"/>
      <c r="CJ54" s="119"/>
      <c r="CK54" s="119"/>
      <c r="CL54" s="119"/>
      <c r="CM54" s="119"/>
    </row>
    <row r="55" spans="1:91">
      <c r="A55" s="119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  <c r="W55" s="119"/>
      <c r="X55" s="137"/>
      <c r="Y55" s="130"/>
      <c r="Z55" s="138"/>
      <c r="AA55" s="130"/>
      <c r="AB55" s="130"/>
      <c r="AC55" s="119"/>
      <c r="AD55" s="119"/>
      <c r="AE55" s="119"/>
      <c r="AF55" s="119"/>
      <c r="AG55" s="119"/>
      <c r="AH55" s="119"/>
      <c r="AI55" s="119"/>
      <c r="AJ55" s="119"/>
      <c r="AK55" s="119"/>
      <c r="AL55" s="119"/>
      <c r="AM55" s="119"/>
      <c r="AN55" s="119"/>
      <c r="AO55" s="119"/>
      <c r="AP55" s="119"/>
      <c r="AQ55" s="119"/>
      <c r="AR55" s="119"/>
      <c r="AS55" s="119"/>
      <c r="AT55" s="119"/>
      <c r="AU55" s="119"/>
      <c r="AV55" s="119"/>
      <c r="AW55" s="119"/>
      <c r="AX55" s="119"/>
      <c r="AY55" s="119"/>
      <c r="AZ55" s="119"/>
      <c r="BA55" s="119"/>
      <c r="BB55" s="119"/>
      <c r="BC55" s="119"/>
      <c r="BD55" s="119"/>
      <c r="BE55" s="119"/>
      <c r="BF55" s="119"/>
      <c r="BG55" s="119"/>
      <c r="BH55" s="119"/>
      <c r="BI55" s="119"/>
      <c r="BJ55" s="119"/>
      <c r="BK55" s="119"/>
      <c r="BL55" s="119"/>
      <c r="BM55" s="119"/>
      <c r="BN55" s="119"/>
      <c r="BO55" s="119"/>
      <c r="BP55" s="119"/>
      <c r="BQ55" s="119"/>
      <c r="BR55" s="119"/>
      <c r="BS55" s="119"/>
      <c r="BT55" s="119"/>
      <c r="BU55" s="119"/>
      <c r="BV55" s="119"/>
      <c r="BW55" s="119"/>
      <c r="BX55" s="119"/>
      <c r="BY55" s="119"/>
      <c r="BZ55" s="119"/>
      <c r="CA55" s="119"/>
      <c r="CB55" s="119"/>
      <c r="CC55" s="119"/>
      <c r="CD55" s="119"/>
      <c r="CE55" s="119"/>
      <c r="CF55" s="119"/>
      <c r="CG55" s="119"/>
      <c r="CH55" s="119"/>
      <c r="CI55" s="119"/>
      <c r="CJ55" s="119"/>
      <c r="CK55" s="119"/>
      <c r="CL55" s="119"/>
      <c r="CM55" s="119"/>
    </row>
    <row r="56" spans="1:91">
      <c r="A56" s="119"/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119"/>
      <c r="X56" s="137"/>
      <c r="Y56" s="130"/>
      <c r="Z56" s="138"/>
      <c r="AA56" s="130"/>
      <c r="AB56" s="130"/>
      <c r="AC56" s="119"/>
      <c r="AD56" s="119"/>
      <c r="AE56" s="119"/>
      <c r="AF56" s="119"/>
      <c r="AG56" s="119"/>
      <c r="AH56" s="119"/>
      <c r="AI56" s="119"/>
      <c r="AJ56" s="119"/>
      <c r="AK56" s="119"/>
      <c r="AL56" s="119"/>
      <c r="AM56" s="119"/>
      <c r="AN56" s="119"/>
      <c r="AO56" s="119"/>
      <c r="AP56" s="119"/>
      <c r="AQ56" s="119"/>
      <c r="AR56" s="119"/>
      <c r="AS56" s="119"/>
      <c r="AT56" s="119"/>
      <c r="AU56" s="119"/>
      <c r="AV56" s="119"/>
      <c r="AW56" s="119"/>
      <c r="AX56" s="119"/>
      <c r="AY56" s="119"/>
      <c r="AZ56" s="119"/>
      <c r="BA56" s="119"/>
      <c r="BB56" s="119"/>
      <c r="BC56" s="119"/>
      <c r="BD56" s="119"/>
      <c r="BE56" s="119"/>
      <c r="BF56" s="119"/>
      <c r="BG56" s="119"/>
      <c r="BH56" s="119"/>
      <c r="BI56" s="119"/>
      <c r="BJ56" s="119"/>
      <c r="BK56" s="119"/>
      <c r="BL56" s="119"/>
      <c r="BM56" s="119"/>
      <c r="BN56" s="119"/>
      <c r="BO56" s="119"/>
      <c r="BP56" s="119"/>
      <c r="BQ56" s="119"/>
      <c r="BR56" s="119"/>
      <c r="BS56" s="119"/>
      <c r="BT56" s="119"/>
      <c r="BU56" s="119"/>
      <c r="BV56" s="119"/>
      <c r="BW56" s="119"/>
      <c r="BX56" s="119"/>
      <c r="BY56" s="119"/>
      <c r="BZ56" s="119"/>
      <c r="CA56" s="119"/>
      <c r="CB56" s="119"/>
      <c r="CC56" s="119"/>
      <c r="CD56" s="119"/>
      <c r="CE56" s="119"/>
      <c r="CF56" s="119"/>
      <c r="CG56" s="119"/>
      <c r="CH56" s="119"/>
      <c r="CI56" s="119"/>
      <c r="CJ56" s="119"/>
      <c r="CK56" s="119"/>
      <c r="CL56" s="119"/>
      <c r="CM56" s="119"/>
    </row>
    <row r="57" spans="1:91">
      <c r="A57" s="119"/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  <c r="W57" s="119"/>
      <c r="X57" s="137"/>
      <c r="Y57" s="130"/>
      <c r="Z57" s="138"/>
      <c r="AA57" s="130"/>
      <c r="AB57" s="130"/>
      <c r="AC57" s="119"/>
      <c r="AD57" s="119"/>
      <c r="AE57" s="119"/>
      <c r="AF57" s="119"/>
      <c r="AG57" s="119"/>
      <c r="AH57" s="119"/>
      <c r="AI57" s="119"/>
      <c r="AJ57" s="119"/>
      <c r="AK57" s="119"/>
      <c r="AL57" s="119"/>
      <c r="AM57" s="119"/>
      <c r="AN57" s="119"/>
      <c r="AO57" s="119"/>
      <c r="AP57" s="119"/>
      <c r="AQ57" s="119"/>
      <c r="AR57" s="119"/>
      <c r="AS57" s="119"/>
      <c r="AT57" s="119"/>
      <c r="AU57" s="119"/>
      <c r="AV57" s="119"/>
      <c r="AW57" s="119"/>
      <c r="AX57" s="119"/>
      <c r="AY57" s="119"/>
      <c r="AZ57" s="119"/>
      <c r="BA57" s="119"/>
      <c r="BB57" s="119"/>
      <c r="BC57" s="119"/>
      <c r="BD57" s="119"/>
      <c r="BE57" s="119"/>
      <c r="BF57" s="119"/>
      <c r="BG57" s="119"/>
      <c r="BH57" s="119"/>
      <c r="BI57" s="119"/>
      <c r="BJ57" s="119"/>
      <c r="BK57" s="119"/>
      <c r="BL57" s="119"/>
      <c r="BM57" s="119"/>
      <c r="BN57" s="119"/>
      <c r="BO57" s="119"/>
      <c r="BP57" s="119"/>
      <c r="BQ57" s="119"/>
      <c r="BR57" s="119"/>
      <c r="BS57" s="119"/>
      <c r="BT57" s="119"/>
      <c r="BU57" s="119"/>
      <c r="BV57" s="119"/>
      <c r="BW57" s="119"/>
      <c r="BX57" s="119"/>
      <c r="BY57" s="119"/>
      <c r="BZ57" s="119"/>
      <c r="CA57" s="119"/>
      <c r="CB57" s="119"/>
      <c r="CC57" s="119"/>
      <c r="CD57" s="119"/>
      <c r="CE57" s="119"/>
      <c r="CF57" s="119"/>
      <c r="CG57" s="119"/>
      <c r="CH57" s="119"/>
      <c r="CI57" s="119"/>
      <c r="CJ57" s="119"/>
      <c r="CK57" s="119"/>
      <c r="CL57" s="119"/>
      <c r="CM57" s="119"/>
    </row>
    <row r="58" spans="1:91">
      <c r="A58" s="119"/>
      <c r="B58" s="119"/>
      <c r="C58" s="119"/>
      <c r="D58" s="119"/>
      <c r="E58" s="119"/>
      <c r="F58" s="119"/>
      <c r="G58" s="119"/>
      <c r="H58" s="119"/>
      <c r="I58" s="119"/>
      <c r="J58" s="119"/>
      <c r="K58" s="119"/>
      <c r="L58" s="119"/>
      <c r="M58" s="119"/>
      <c r="N58" s="119"/>
      <c r="O58" s="119"/>
      <c r="P58" s="119"/>
      <c r="Q58" s="119"/>
      <c r="R58" s="119"/>
      <c r="S58" s="119"/>
      <c r="T58" s="119"/>
      <c r="U58" s="119"/>
      <c r="V58" s="119"/>
      <c r="W58" s="119"/>
      <c r="X58" s="137"/>
      <c r="Y58" s="130"/>
      <c r="Z58" s="138"/>
      <c r="AA58" s="130"/>
      <c r="AB58" s="130"/>
      <c r="AC58" s="119"/>
      <c r="AD58" s="119"/>
      <c r="AE58" s="119"/>
      <c r="AF58" s="119"/>
      <c r="AG58" s="119"/>
      <c r="AH58" s="119"/>
      <c r="AI58" s="119"/>
      <c r="AJ58" s="119"/>
      <c r="AK58" s="119"/>
      <c r="AL58" s="119"/>
      <c r="AM58" s="119"/>
      <c r="AN58" s="119"/>
      <c r="AO58" s="119"/>
      <c r="AP58" s="119"/>
      <c r="AQ58" s="119"/>
      <c r="AR58" s="119"/>
      <c r="AS58" s="119"/>
      <c r="AT58" s="119"/>
      <c r="AU58" s="119"/>
      <c r="AV58" s="119"/>
      <c r="AW58" s="119"/>
      <c r="AX58" s="119"/>
      <c r="AY58" s="119"/>
      <c r="AZ58" s="119"/>
      <c r="BA58" s="119"/>
      <c r="BB58" s="119"/>
      <c r="BC58" s="119"/>
      <c r="BD58" s="119"/>
      <c r="BE58" s="119"/>
      <c r="BF58" s="119"/>
      <c r="BG58" s="119"/>
      <c r="BH58" s="119"/>
      <c r="BI58" s="119"/>
      <c r="BJ58" s="119"/>
      <c r="BK58" s="119"/>
      <c r="BL58" s="119"/>
      <c r="BM58" s="119"/>
      <c r="BN58" s="119"/>
      <c r="BO58" s="119"/>
      <c r="BP58" s="119"/>
      <c r="BQ58" s="119"/>
      <c r="BR58" s="119"/>
      <c r="BS58" s="119"/>
      <c r="BT58" s="119"/>
      <c r="BU58" s="119"/>
      <c r="BV58" s="119"/>
      <c r="BW58" s="119"/>
      <c r="BX58" s="119"/>
      <c r="BY58" s="119"/>
      <c r="BZ58" s="119"/>
      <c r="CA58" s="119"/>
      <c r="CB58" s="119"/>
      <c r="CC58" s="119"/>
      <c r="CD58" s="119"/>
      <c r="CE58" s="119"/>
      <c r="CF58" s="119"/>
      <c r="CG58" s="119"/>
      <c r="CH58" s="119"/>
      <c r="CI58" s="119"/>
      <c r="CJ58" s="119"/>
      <c r="CK58" s="119"/>
      <c r="CL58" s="119"/>
      <c r="CM58" s="119"/>
    </row>
    <row r="59" spans="1:91">
      <c r="A59" s="119"/>
      <c r="B59" s="119"/>
      <c r="C59" s="119"/>
      <c r="D59" s="119"/>
      <c r="E59" s="119"/>
      <c r="F59" s="119"/>
      <c r="G59" s="119"/>
      <c r="H59" s="119"/>
      <c r="I59" s="119"/>
      <c r="J59" s="119"/>
      <c r="K59" s="119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  <c r="W59" s="119"/>
      <c r="X59" s="137"/>
      <c r="Y59" s="130"/>
      <c r="Z59" s="138"/>
      <c r="AA59" s="130"/>
      <c r="AB59" s="130"/>
      <c r="AC59" s="119"/>
      <c r="AD59" s="119"/>
      <c r="AE59" s="119"/>
      <c r="AF59" s="119"/>
      <c r="AG59" s="119"/>
      <c r="AH59" s="119"/>
      <c r="AI59" s="119"/>
      <c r="AJ59" s="119"/>
      <c r="AK59" s="119"/>
      <c r="AL59" s="119"/>
      <c r="AM59" s="119"/>
      <c r="AN59" s="119"/>
      <c r="AO59" s="119"/>
      <c r="AP59" s="119"/>
      <c r="AQ59" s="119"/>
      <c r="AR59" s="119"/>
      <c r="AS59" s="119"/>
      <c r="AT59" s="119"/>
      <c r="AU59" s="119"/>
      <c r="AV59" s="119"/>
      <c r="AW59" s="119"/>
      <c r="AX59" s="119"/>
      <c r="AY59" s="119"/>
      <c r="AZ59" s="119"/>
      <c r="BA59" s="119"/>
      <c r="BB59" s="119"/>
      <c r="BC59" s="119"/>
      <c r="BD59" s="119"/>
      <c r="BE59" s="119"/>
      <c r="BF59" s="119"/>
      <c r="BG59" s="119"/>
      <c r="BH59" s="119"/>
      <c r="BI59" s="119"/>
      <c r="BJ59" s="119"/>
      <c r="BK59" s="119"/>
      <c r="BL59" s="119"/>
      <c r="BM59" s="119"/>
      <c r="BN59" s="119"/>
      <c r="BO59" s="119"/>
      <c r="BP59" s="119"/>
      <c r="BQ59" s="119"/>
      <c r="BR59" s="119"/>
      <c r="BS59" s="119"/>
      <c r="BT59" s="119"/>
      <c r="BU59" s="119"/>
      <c r="BV59" s="119"/>
      <c r="BW59" s="119"/>
      <c r="BX59" s="119"/>
      <c r="BY59" s="119"/>
      <c r="BZ59" s="119"/>
      <c r="CA59" s="119"/>
      <c r="CB59" s="119"/>
      <c r="CC59" s="119"/>
      <c r="CD59" s="119"/>
      <c r="CE59" s="119"/>
      <c r="CF59" s="119"/>
      <c r="CG59" s="119"/>
      <c r="CH59" s="119"/>
      <c r="CI59" s="119"/>
      <c r="CJ59" s="119"/>
      <c r="CK59" s="119"/>
      <c r="CL59" s="119"/>
      <c r="CM59" s="119"/>
    </row>
    <row r="60" spans="1:91">
      <c r="A60" s="119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119"/>
      <c r="S60" s="119"/>
      <c r="T60" s="119"/>
      <c r="U60" s="119"/>
      <c r="V60" s="119"/>
      <c r="W60" s="119"/>
      <c r="X60" s="137"/>
      <c r="Y60" s="130"/>
      <c r="Z60" s="138"/>
      <c r="AA60" s="130"/>
      <c r="AB60" s="130"/>
      <c r="AC60" s="119"/>
      <c r="AD60" s="119"/>
      <c r="AE60" s="119"/>
      <c r="AF60" s="119"/>
      <c r="AG60" s="119"/>
      <c r="AH60" s="119"/>
      <c r="AI60" s="119"/>
      <c r="AJ60" s="119"/>
      <c r="AK60" s="119"/>
      <c r="AL60" s="119"/>
      <c r="AM60" s="119"/>
      <c r="AN60" s="119"/>
      <c r="AO60" s="119"/>
      <c r="AP60" s="119"/>
      <c r="AQ60" s="119"/>
      <c r="AR60" s="119"/>
      <c r="AS60" s="119"/>
      <c r="AT60" s="119"/>
      <c r="AU60" s="119"/>
      <c r="AV60" s="119"/>
      <c r="AW60" s="119"/>
      <c r="AX60" s="119"/>
      <c r="AY60" s="119"/>
      <c r="AZ60" s="119"/>
      <c r="BA60" s="119"/>
      <c r="BB60" s="119"/>
      <c r="BC60" s="119"/>
      <c r="BD60" s="119"/>
      <c r="BE60" s="119"/>
      <c r="BF60" s="119"/>
      <c r="BG60" s="119"/>
      <c r="BH60" s="119"/>
      <c r="BI60" s="119"/>
      <c r="BJ60" s="119"/>
      <c r="BK60" s="119"/>
      <c r="BL60" s="119"/>
      <c r="BM60" s="119"/>
      <c r="BN60" s="119"/>
      <c r="BO60" s="119"/>
      <c r="BP60" s="119"/>
      <c r="BQ60" s="119"/>
      <c r="BR60" s="119"/>
      <c r="BS60" s="119"/>
      <c r="BT60" s="119"/>
      <c r="BU60" s="119"/>
      <c r="BV60" s="119"/>
      <c r="BW60" s="119"/>
      <c r="BX60" s="119"/>
      <c r="BY60" s="119"/>
      <c r="BZ60" s="119"/>
      <c r="CA60" s="119"/>
      <c r="CB60" s="119"/>
      <c r="CC60" s="119"/>
      <c r="CD60" s="119"/>
      <c r="CE60" s="119"/>
      <c r="CF60" s="119"/>
      <c r="CG60" s="119"/>
      <c r="CH60" s="119"/>
      <c r="CI60" s="119"/>
      <c r="CJ60" s="119"/>
      <c r="CK60" s="119"/>
      <c r="CL60" s="119"/>
      <c r="CM60" s="119"/>
    </row>
    <row r="61" spans="1:91">
      <c r="X61" s="11">
        <f t="shared" ref="X61:X86" si="0">$X$21</f>
        <v>0</v>
      </c>
      <c r="Y61" s="8">
        <v>41</v>
      </c>
      <c r="Z61" s="12">
        <f t="shared" ref="Z61:Z86" si="1">$Z$21</f>
        <v>0</v>
      </c>
      <c r="AA61" s="8" t="s">
        <v>12</v>
      </c>
      <c r="AB61" s="8" t="str">
        <f t="shared" ref="AB61:AB94" si="2">$I$8&amp;" - SDK 0"&amp;Y61</f>
        <v>PEM040-001 - SDK 041</v>
      </c>
    </row>
    <row r="62" spans="1:91">
      <c r="X62" s="11">
        <f t="shared" si="0"/>
        <v>0</v>
      </c>
      <c r="Y62" s="8">
        <v>42</v>
      </c>
      <c r="Z62" s="12">
        <f t="shared" si="1"/>
        <v>0</v>
      </c>
      <c r="AA62" s="8" t="s">
        <v>12</v>
      </c>
      <c r="AB62" s="8" t="str">
        <f t="shared" si="2"/>
        <v>PEM040-001 - SDK 042</v>
      </c>
    </row>
    <row r="63" spans="1:91">
      <c r="X63" s="11">
        <f t="shared" si="0"/>
        <v>0</v>
      </c>
      <c r="Y63" s="8">
        <v>43</v>
      </c>
      <c r="Z63" s="12">
        <f t="shared" si="1"/>
        <v>0</v>
      </c>
      <c r="AA63" s="8" t="s">
        <v>12</v>
      </c>
      <c r="AB63" s="8" t="str">
        <f t="shared" si="2"/>
        <v>PEM040-001 - SDK 043</v>
      </c>
    </row>
    <row r="64" spans="1:91">
      <c r="X64" s="11">
        <f t="shared" si="0"/>
        <v>0</v>
      </c>
      <c r="Y64" s="8">
        <v>44</v>
      </c>
      <c r="Z64" s="12">
        <f t="shared" si="1"/>
        <v>0</v>
      </c>
      <c r="AA64" s="8" t="s">
        <v>12</v>
      </c>
      <c r="AB64" s="8" t="str">
        <f t="shared" si="2"/>
        <v>PEM040-001 - SDK 044</v>
      </c>
    </row>
    <row r="65" spans="24:28">
      <c r="X65" s="11">
        <f t="shared" si="0"/>
        <v>0</v>
      </c>
      <c r="Y65" s="8">
        <v>45</v>
      </c>
      <c r="Z65" s="12">
        <f t="shared" si="1"/>
        <v>0</v>
      </c>
      <c r="AA65" s="8" t="s">
        <v>12</v>
      </c>
      <c r="AB65" s="8" t="str">
        <f t="shared" si="2"/>
        <v>PEM040-001 - SDK 045</v>
      </c>
    </row>
    <row r="66" spans="24:28">
      <c r="X66" s="11">
        <f t="shared" si="0"/>
        <v>0</v>
      </c>
      <c r="Y66" s="8">
        <v>46</v>
      </c>
      <c r="Z66" s="12">
        <f t="shared" si="1"/>
        <v>0</v>
      </c>
      <c r="AA66" s="8" t="s">
        <v>12</v>
      </c>
      <c r="AB66" s="8" t="str">
        <f t="shared" si="2"/>
        <v>PEM040-001 - SDK 046</v>
      </c>
    </row>
    <row r="67" spans="24:28">
      <c r="X67" s="11">
        <f t="shared" si="0"/>
        <v>0</v>
      </c>
      <c r="Y67" s="8">
        <v>47</v>
      </c>
      <c r="Z67" s="12">
        <f t="shared" si="1"/>
        <v>0</v>
      </c>
      <c r="AA67" s="8" t="s">
        <v>12</v>
      </c>
      <c r="AB67" s="8" t="str">
        <f t="shared" si="2"/>
        <v>PEM040-001 - SDK 047</v>
      </c>
    </row>
    <row r="68" spans="24:28">
      <c r="X68" s="11">
        <f t="shared" si="0"/>
        <v>0</v>
      </c>
      <c r="Y68" s="8">
        <v>48</v>
      </c>
      <c r="Z68" s="12">
        <f t="shared" si="1"/>
        <v>0</v>
      </c>
      <c r="AA68" s="8" t="s">
        <v>12</v>
      </c>
      <c r="AB68" s="8" t="str">
        <f t="shared" si="2"/>
        <v>PEM040-001 - SDK 048</v>
      </c>
    </row>
    <row r="69" spans="24:28">
      <c r="X69" s="11">
        <f t="shared" si="0"/>
        <v>0</v>
      </c>
      <c r="Y69" s="8">
        <v>49</v>
      </c>
      <c r="Z69" s="12">
        <f t="shared" si="1"/>
        <v>0</v>
      </c>
      <c r="AA69" s="8" t="s">
        <v>12</v>
      </c>
      <c r="AB69" s="8" t="str">
        <f t="shared" si="2"/>
        <v>PEM040-001 - SDK 049</v>
      </c>
    </row>
    <row r="70" spans="24:28">
      <c r="X70" s="11">
        <f t="shared" si="0"/>
        <v>0</v>
      </c>
      <c r="Y70" s="8">
        <v>50</v>
      </c>
      <c r="Z70" s="12">
        <f t="shared" si="1"/>
        <v>0</v>
      </c>
      <c r="AA70" s="8" t="s">
        <v>12</v>
      </c>
      <c r="AB70" s="8" t="str">
        <f t="shared" si="2"/>
        <v>PEM040-001 - SDK 050</v>
      </c>
    </row>
    <row r="71" spans="24:28">
      <c r="X71" s="11">
        <f t="shared" si="0"/>
        <v>0</v>
      </c>
      <c r="Y71" s="8">
        <v>51</v>
      </c>
      <c r="Z71" s="12">
        <f t="shared" si="1"/>
        <v>0</v>
      </c>
      <c r="AA71" s="8" t="s">
        <v>12</v>
      </c>
      <c r="AB71" s="8" t="str">
        <f t="shared" si="2"/>
        <v>PEM040-001 - SDK 051</v>
      </c>
    </row>
    <row r="72" spans="24:28">
      <c r="X72" s="11">
        <f t="shared" si="0"/>
        <v>0</v>
      </c>
      <c r="Y72" s="8">
        <v>52</v>
      </c>
      <c r="Z72" s="12">
        <f t="shared" si="1"/>
        <v>0</v>
      </c>
      <c r="AA72" s="8" t="s">
        <v>12</v>
      </c>
      <c r="AB72" s="8" t="str">
        <f t="shared" si="2"/>
        <v>PEM040-001 - SDK 052</v>
      </c>
    </row>
    <row r="73" spans="24:28">
      <c r="X73" s="11">
        <f t="shared" si="0"/>
        <v>0</v>
      </c>
      <c r="Y73" s="8">
        <v>53</v>
      </c>
      <c r="Z73" s="12">
        <f t="shared" si="1"/>
        <v>0</v>
      </c>
      <c r="AA73" s="8" t="s">
        <v>12</v>
      </c>
      <c r="AB73" s="8" t="str">
        <f t="shared" si="2"/>
        <v>PEM040-001 - SDK 053</v>
      </c>
    </row>
    <row r="74" spans="24:28">
      <c r="X74" s="11">
        <f t="shared" si="0"/>
        <v>0</v>
      </c>
      <c r="Y74" s="8">
        <v>54</v>
      </c>
      <c r="Z74" s="12">
        <f t="shared" si="1"/>
        <v>0</v>
      </c>
      <c r="AA74" s="8" t="s">
        <v>12</v>
      </c>
      <c r="AB74" s="8" t="str">
        <f t="shared" si="2"/>
        <v>PEM040-001 - SDK 054</v>
      </c>
    </row>
    <row r="75" spans="24:28">
      <c r="X75" s="11">
        <f t="shared" si="0"/>
        <v>0</v>
      </c>
      <c r="Y75" s="8">
        <v>55</v>
      </c>
      <c r="Z75" s="12">
        <f t="shared" si="1"/>
        <v>0</v>
      </c>
      <c r="AA75" s="8" t="s">
        <v>12</v>
      </c>
      <c r="AB75" s="8" t="str">
        <f t="shared" si="2"/>
        <v>PEM040-001 - SDK 055</v>
      </c>
    </row>
    <row r="76" spans="24:28">
      <c r="X76" s="11">
        <f t="shared" si="0"/>
        <v>0</v>
      </c>
      <c r="Y76" s="8">
        <v>56</v>
      </c>
      <c r="Z76" s="12">
        <f t="shared" si="1"/>
        <v>0</v>
      </c>
      <c r="AA76" s="8" t="s">
        <v>12</v>
      </c>
      <c r="AB76" s="8" t="str">
        <f t="shared" si="2"/>
        <v>PEM040-001 - SDK 056</v>
      </c>
    </row>
    <row r="77" spans="24:28">
      <c r="X77" s="11">
        <f t="shared" si="0"/>
        <v>0</v>
      </c>
      <c r="Y77" s="8">
        <v>57</v>
      </c>
      <c r="Z77" s="12">
        <f t="shared" si="1"/>
        <v>0</v>
      </c>
      <c r="AA77" s="8" t="s">
        <v>12</v>
      </c>
      <c r="AB77" s="8" t="str">
        <f t="shared" si="2"/>
        <v>PEM040-001 - SDK 057</v>
      </c>
    </row>
    <row r="78" spans="24:28">
      <c r="X78" s="11">
        <f t="shared" si="0"/>
        <v>0</v>
      </c>
      <c r="Y78" s="8">
        <v>58</v>
      </c>
      <c r="Z78" s="12">
        <f t="shared" si="1"/>
        <v>0</v>
      </c>
      <c r="AA78" s="8" t="s">
        <v>12</v>
      </c>
      <c r="AB78" s="8" t="str">
        <f t="shared" si="2"/>
        <v>PEM040-001 - SDK 058</v>
      </c>
    </row>
    <row r="79" spans="24:28">
      <c r="X79" s="11">
        <f t="shared" si="0"/>
        <v>0</v>
      </c>
      <c r="Y79" s="8">
        <v>59</v>
      </c>
      <c r="Z79" s="12">
        <f t="shared" si="1"/>
        <v>0</v>
      </c>
      <c r="AA79" s="8" t="s">
        <v>12</v>
      </c>
      <c r="AB79" s="8" t="str">
        <f t="shared" si="2"/>
        <v>PEM040-001 - SDK 059</v>
      </c>
    </row>
    <row r="80" spans="24:28">
      <c r="X80" s="11">
        <f t="shared" si="0"/>
        <v>0</v>
      </c>
      <c r="Y80" s="8">
        <v>60</v>
      </c>
      <c r="Z80" s="12">
        <f t="shared" si="1"/>
        <v>0</v>
      </c>
      <c r="AA80" s="8" t="s">
        <v>12</v>
      </c>
      <c r="AB80" s="8" t="str">
        <f t="shared" si="2"/>
        <v>PEM040-001 - SDK 060</v>
      </c>
    </row>
    <row r="81" spans="24:28">
      <c r="X81" s="11">
        <f t="shared" si="0"/>
        <v>0</v>
      </c>
      <c r="Y81" s="8">
        <v>61</v>
      </c>
      <c r="Z81" s="12">
        <f t="shared" si="1"/>
        <v>0</v>
      </c>
      <c r="AA81" s="8" t="s">
        <v>12</v>
      </c>
      <c r="AB81" s="8" t="str">
        <f t="shared" si="2"/>
        <v>PEM040-001 - SDK 061</v>
      </c>
    </row>
    <row r="82" spans="24:28">
      <c r="X82" s="11">
        <f t="shared" si="0"/>
        <v>0</v>
      </c>
      <c r="Y82" s="8">
        <v>62</v>
      </c>
      <c r="Z82" s="12">
        <f t="shared" si="1"/>
        <v>0</v>
      </c>
      <c r="AA82" s="8" t="s">
        <v>12</v>
      </c>
      <c r="AB82" s="8" t="str">
        <f t="shared" si="2"/>
        <v>PEM040-001 - SDK 062</v>
      </c>
    </row>
    <row r="83" spans="24:28">
      <c r="X83" s="11">
        <f t="shared" si="0"/>
        <v>0</v>
      </c>
      <c r="Y83" s="8">
        <v>63</v>
      </c>
      <c r="Z83" s="12">
        <f t="shared" si="1"/>
        <v>0</v>
      </c>
      <c r="AA83" s="8" t="s">
        <v>12</v>
      </c>
      <c r="AB83" s="8" t="str">
        <f t="shared" si="2"/>
        <v>PEM040-001 - SDK 063</v>
      </c>
    </row>
    <row r="84" spans="24:28">
      <c r="X84" s="11">
        <f t="shared" si="0"/>
        <v>0</v>
      </c>
      <c r="Y84" s="8">
        <v>64</v>
      </c>
      <c r="Z84" s="12">
        <f t="shared" si="1"/>
        <v>0</v>
      </c>
      <c r="AA84" s="8" t="s">
        <v>12</v>
      </c>
      <c r="AB84" s="8" t="str">
        <f t="shared" si="2"/>
        <v>PEM040-001 - SDK 064</v>
      </c>
    </row>
    <row r="85" spans="24:28">
      <c r="X85" s="11">
        <f t="shared" si="0"/>
        <v>0</v>
      </c>
      <c r="Y85" s="8">
        <v>65</v>
      </c>
      <c r="Z85" s="12">
        <f t="shared" si="1"/>
        <v>0</v>
      </c>
      <c r="AA85" s="8" t="s">
        <v>12</v>
      </c>
      <c r="AB85" s="8" t="str">
        <f t="shared" si="2"/>
        <v>PEM040-001 - SDK 065</v>
      </c>
    </row>
    <row r="86" spans="24:28">
      <c r="X86" s="11">
        <f t="shared" si="0"/>
        <v>0</v>
      </c>
      <c r="Y86" s="8">
        <v>66</v>
      </c>
      <c r="Z86" s="12">
        <f t="shared" si="1"/>
        <v>0</v>
      </c>
      <c r="AA86" s="8" t="s">
        <v>12</v>
      </c>
      <c r="AB86" s="8" t="str">
        <f t="shared" si="2"/>
        <v>PEM040-001 - SDK 066</v>
      </c>
    </row>
    <row r="87" spans="24:28">
      <c r="X87" s="11">
        <f t="shared" ref="X87:X150" si="3">$X$21</f>
        <v>0</v>
      </c>
      <c r="Y87" s="8">
        <v>67</v>
      </c>
      <c r="Z87" s="12">
        <f t="shared" ref="Z87:Z150" si="4">$Z$21</f>
        <v>0</v>
      </c>
      <c r="AA87" s="8" t="s">
        <v>12</v>
      </c>
      <c r="AB87" s="8" t="str">
        <f t="shared" si="2"/>
        <v>PEM040-001 - SDK 067</v>
      </c>
    </row>
    <row r="88" spans="24:28">
      <c r="X88" s="11">
        <f t="shared" si="3"/>
        <v>0</v>
      </c>
      <c r="Y88" s="8">
        <v>68</v>
      </c>
      <c r="Z88" s="12">
        <f t="shared" si="4"/>
        <v>0</v>
      </c>
      <c r="AA88" s="8" t="s">
        <v>12</v>
      </c>
      <c r="AB88" s="8" t="str">
        <f t="shared" si="2"/>
        <v>PEM040-001 - SDK 068</v>
      </c>
    </row>
    <row r="89" spans="24:28">
      <c r="X89" s="11">
        <f t="shared" si="3"/>
        <v>0</v>
      </c>
      <c r="Y89" s="8">
        <v>69</v>
      </c>
      <c r="Z89" s="12">
        <f t="shared" si="4"/>
        <v>0</v>
      </c>
      <c r="AA89" s="8" t="s">
        <v>12</v>
      </c>
      <c r="AB89" s="8" t="str">
        <f t="shared" si="2"/>
        <v>PEM040-001 - SDK 069</v>
      </c>
    </row>
    <row r="90" spans="24:28">
      <c r="X90" s="11">
        <f t="shared" si="3"/>
        <v>0</v>
      </c>
      <c r="Y90" s="8">
        <v>70</v>
      </c>
      <c r="Z90" s="12">
        <f t="shared" si="4"/>
        <v>0</v>
      </c>
      <c r="AA90" s="8" t="s">
        <v>12</v>
      </c>
      <c r="AB90" s="8" t="str">
        <f t="shared" si="2"/>
        <v>PEM040-001 - SDK 070</v>
      </c>
    </row>
    <row r="91" spans="24:28">
      <c r="X91" s="11">
        <f t="shared" si="3"/>
        <v>0</v>
      </c>
      <c r="Y91" s="8">
        <v>71</v>
      </c>
      <c r="Z91" s="12">
        <f t="shared" si="4"/>
        <v>0</v>
      </c>
      <c r="AA91" s="8" t="s">
        <v>12</v>
      </c>
      <c r="AB91" s="8" t="str">
        <f t="shared" si="2"/>
        <v>PEM040-001 - SDK 071</v>
      </c>
    </row>
    <row r="92" spans="24:28">
      <c r="X92" s="11">
        <f t="shared" si="3"/>
        <v>0</v>
      </c>
      <c r="Y92" s="8">
        <v>72</v>
      </c>
      <c r="Z92" s="12">
        <f t="shared" si="4"/>
        <v>0</v>
      </c>
      <c r="AA92" s="8" t="s">
        <v>12</v>
      </c>
      <c r="AB92" s="8" t="str">
        <f t="shared" si="2"/>
        <v>PEM040-001 - SDK 072</v>
      </c>
    </row>
    <row r="93" spans="24:28">
      <c r="X93" s="11">
        <f t="shared" si="3"/>
        <v>0</v>
      </c>
      <c r="Y93" s="8">
        <v>73</v>
      </c>
      <c r="Z93" s="12">
        <f t="shared" si="4"/>
        <v>0</v>
      </c>
      <c r="AA93" s="8" t="s">
        <v>12</v>
      </c>
      <c r="AB93" s="8" t="str">
        <f t="shared" si="2"/>
        <v>PEM040-001 - SDK 073</v>
      </c>
    </row>
    <row r="94" spans="24:28">
      <c r="X94" s="11">
        <f t="shared" si="3"/>
        <v>0</v>
      </c>
      <c r="Y94" s="8">
        <v>74</v>
      </c>
      <c r="Z94" s="12">
        <f t="shared" si="4"/>
        <v>0</v>
      </c>
      <c r="AA94" s="8" t="s">
        <v>12</v>
      </c>
      <c r="AB94" s="8" t="str">
        <f t="shared" si="2"/>
        <v>PEM040-001 - SDK 074</v>
      </c>
    </row>
    <row r="95" spans="24:28">
      <c r="X95" s="11">
        <f t="shared" si="3"/>
        <v>0</v>
      </c>
      <c r="Y95" s="8">
        <v>75</v>
      </c>
      <c r="Z95" s="12">
        <f t="shared" si="4"/>
        <v>0</v>
      </c>
      <c r="AA95" s="8" t="s">
        <v>12</v>
      </c>
      <c r="AB95" s="8" t="str">
        <f t="shared" ref="AB95:AB119" si="5">$I$8&amp;" - SDK 0"&amp;Y95</f>
        <v>PEM040-001 - SDK 075</v>
      </c>
    </row>
    <row r="96" spans="24:28">
      <c r="X96" s="11">
        <f t="shared" si="3"/>
        <v>0</v>
      </c>
      <c r="Y96" s="8">
        <v>76</v>
      </c>
      <c r="Z96" s="12">
        <f t="shared" si="4"/>
        <v>0</v>
      </c>
      <c r="AA96" s="8" t="s">
        <v>12</v>
      </c>
      <c r="AB96" s="8" t="str">
        <f t="shared" si="5"/>
        <v>PEM040-001 - SDK 076</v>
      </c>
    </row>
    <row r="97" spans="24:28">
      <c r="X97" s="11">
        <f t="shared" si="3"/>
        <v>0</v>
      </c>
      <c r="Y97" s="8">
        <v>77</v>
      </c>
      <c r="Z97" s="12">
        <f t="shared" si="4"/>
        <v>0</v>
      </c>
      <c r="AA97" s="8" t="s">
        <v>12</v>
      </c>
      <c r="AB97" s="8" t="str">
        <f t="shared" si="5"/>
        <v>PEM040-001 - SDK 077</v>
      </c>
    </row>
    <row r="98" spans="24:28">
      <c r="X98" s="11">
        <f t="shared" si="3"/>
        <v>0</v>
      </c>
      <c r="Y98" s="8">
        <v>78</v>
      </c>
      <c r="Z98" s="12">
        <f t="shared" si="4"/>
        <v>0</v>
      </c>
      <c r="AA98" s="8" t="s">
        <v>12</v>
      </c>
      <c r="AB98" s="8" t="str">
        <f t="shared" si="5"/>
        <v>PEM040-001 - SDK 078</v>
      </c>
    </row>
    <row r="99" spans="24:28">
      <c r="X99" s="11">
        <f t="shared" si="3"/>
        <v>0</v>
      </c>
      <c r="Y99" s="8">
        <v>79</v>
      </c>
      <c r="Z99" s="12">
        <f t="shared" si="4"/>
        <v>0</v>
      </c>
      <c r="AA99" s="8" t="s">
        <v>12</v>
      </c>
      <c r="AB99" s="8" t="str">
        <f t="shared" si="5"/>
        <v>PEM040-001 - SDK 079</v>
      </c>
    </row>
    <row r="100" spans="24:28">
      <c r="X100" s="11">
        <f t="shared" si="3"/>
        <v>0</v>
      </c>
      <c r="Y100" s="8">
        <v>80</v>
      </c>
      <c r="Z100" s="12">
        <f t="shared" si="4"/>
        <v>0</v>
      </c>
      <c r="AA100" s="8" t="s">
        <v>12</v>
      </c>
      <c r="AB100" s="8" t="str">
        <f t="shared" si="5"/>
        <v>PEM040-001 - SDK 080</v>
      </c>
    </row>
    <row r="101" spans="24:28">
      <c r="X101" s="11">
        <f t="shared" si="3"/>
        <v>0</v>
      </c>
      <c r="Y101" s="8">
        <v>81</v>
      </c>
      <c r="Z101" s="12">
        <f t="shared" si="4"/>
        <v>0</v>
      </c>
      <c r="AA101" s="8" t="s">
        <v>12</v>
      </c>
      <c r="AB101" s="8" t="str">
        <f t="shared" si="5"/>
        <v>PEM040-001 - SDK 081</v>
      </c>
    </row>
    <row r="102" spans="24:28">
      <c r="X102" s="11">
        <f t="shared" si="3"/>
        <v>0</v>
      </c>
      <c r="Y102" s="8">
        <v>82</v>
      </c>
      <c r="Z102" s="12">
        <f t="shared" si="4"/>
        <v>0</v>
      </c>
      <c r="AA102" s="8" t="s">
        <v>12</v>
      </c>
      <c r="AB102" s="8" t="str">
        <f t="shared" si="5"/>
        <v>PEM040-001 - SDK 082</v>
      </c>
    </row>
    <row r="103" spans="24:28">
      <c r="X103" s="11">
        <f t="shared" si="3"/>
        <v>0</v>
      </c>
      <c r="Y103" s="8">
        <v>83</v>
      </c>
      <c r="Z103" s="12">
        <f t="shared" si="4"/>
        <v>0</v>
      </c>
      <c r="AA103" s="8" t="s">
        <v>12</v>
      </c>
      <c r="AB103" s="8" t="str">
        <f t="shared" si="5"/>
        <v>PEM040-001 - SDK 083</v>
      </c>
    </row>
    <row r="104" spans="24:28">
      <c r="X104" s="11">
        <f t="shared" si="3"/>
        <v>0</v>
      </c>
      <c r="Y104" s="8">
        <v>84</v>
      </c>
      <c r="Z104" s="12">
        <f t="shared" si="4"/>
        <v>0</v>
      </c>
      <c r="AA104" s="8" t="s">
        <v>12</v>
      </c>
      <c r="AB104" s="8" t="str">
        <f t="shared" si="5"/>
        <v>PEM040-001 - SDK 084</v>
      </c>
    </row>
    <row r="105" spans="24:28">
      <c r="X105" s="11">
        <f t="shared" si="3"/>
        <v>0</v>
      </c>
      <c r="Y105" s="8">
        <v>85</v>
      </c>
      <c r="Z105" s="12">
        <f t="shared" si="4"/>
        <v>0</v>
      </c>
      <c r="AA105" s="8" t="s">
        <v>12</v>
      </c>
      <c r="AB105" s="8" t="str">
        <f t="shared" si="5"/>
        <v>PEM040-001 - SDK 085</v>
      </c>
    </row>
    <row r="106" spans="24:28">
      <c r="X106" s="11">
        <f t="shared" si="3"/>
        <v>0</v>
      </c>
      <c r="Y106" s="8">
        <v>86</v>
      </c>
      <c r="Z106" s="12">
        <f t="shared" si="4"/>
        <v>0</v>
      </c>
      <c r="AA106" s="8" t="s">
        <v>12</v>
      </c>
      <c r="AB106" s="8" t="str">
        <f t="shared" si="5"/>
        <v>PEM040-001 - SDK 086</v>
      </c>
    </row>
    <row r="107" spans="24:28">
      <c r="X107" s="11">
        <f t="shared" si="3"/>
        <v>0</v>
      </c>
      <c r="Y107" s="8">
        <v>87</v>
      </c>
      <c r="Z107" s="12">
        <f t="shared" si="4"/>
        <v>0</v>
      </c>
      <c r="AA107" s="8" t="s">
        <v>12</v>
      </c>
      <c r="AB107" s="8" t="str">
        <f t="shared" si="5"/>
        <v>PEM040-001 - SDK 087</v>
      </c>
    </row>
    <row r="108" spans="24:28">
      <c r="X108" s="11">
        <f t="shared" si="3"/>
        <v>0</v>
      </c>
      <c r="Y108" s="8">
        <v>88</v>
      </c>
      <c r="Z108" s="12">
        <f t="shared" si="4"/>
        <v>0</v>
      </c>
      <c r="AA108" s="8" t="s">
        <v>12</v>
      </c>
      <c r="AB108" s="8" t="str">
        <f t="shared" si="5"/>
        <v>PEM040-001 - SDK 088</v>
      </c>
    </row>
    <row r="109" spans="24:28">
      <c r="X109" s="11">
        <f t="shared" si="3"/>
        <v>0</v>
      </c>
      <c r="Y109" s="8">
        <v>89</v>
      </c>
      <c r="Z109" s="12">
        <f t="shared" si="4"/>
        <v>0</v>
      </c>
      <c r="AA109" s="8" t="s">
        <v>12</v>
      </c>
      <c r="AB109" s="8" t="str">
        <f t="shared" si="5"/>
        <v>PEM040-001 - SDK 089</v>
      </c>
    </row>
    <row r="110" spans="24:28">
      <c r="X110" s="11">
        <f t="shared" si="3"/>
        <v>0</v>
      </c>
      <c r="Y110" s="8">
        <v>90</v>
      </c>
      <c r="Z110" s="12">
        <f t="shared" si="4"/>
        <v>0</v>
      </c>
      <c r="AA110" s="8" t="s">
        <v>12</v>
      </c>
      <c r="AB110" s="8" t="str">
        <f t="shared" si="5"/>
        <v>PEM040-001 - SDK 090</v>
      </c>
    </row>
    <row r="111" spans="24:28">
      <c r="X111" s="11">
        <f t="shared" si="3"/>
        <v>0</v>
      </c>
      <c r="Y111" s="8">
        <v>91</v>
      </c>
      <c r="Z111" s="12">
        <f t="shared" si="4"/>
        <v>0</v>
      </c>
      <c r="AA111" s="8" t="s">
        <v>12</v>
      </c>
      <c r="AB111" s="8" t="str">
        <f t="shared" si="5"/>
        <v>PEM040-001 - SDK 091</v>
      </c>
    </row>
    <row r="112" spans="24:28">
      <c r="X112" s="11">
        <f t="shared" si="3"/>
        <v>0</v>
      </c>
      <c r="Y112" s="8">
        <v>92</v>
      </c>
      <c r="Z112" s="12">
        <f t="shared" si="4"/>
        <v>0</v>
      </c>
      <c r="AA112" s="8" t="s">
        <v>12</v>
      </c>
      <c r="AB112" s="8" t="str">
        <f t="shared" si="5"/>
        <v>PEM040-001 - SDK 092</v>
      </c>
    </row>
    <row r="113" spans="24:28">
      <c r="X113" s="11">
        <f t="shared" si="3"/>
        <v>0</v>
      </c>
      <c r="Y113" s="8">
        <v>93</v>
      </c>
      <c r="Z113" s="12">
        <f t="shared" si="4"/>
        <v>0</v>
      </c>
      <c r="AA113" s="8" t="s">
        <v>12</v>
      </c>
      <c r="AB113" s="8" t="str">
        <f t="shared" si="5"/>
        <v>PEM040-001 - SDK 093</v>
      </c>
    </row>
    <row r="114" spans="24:28">
      <c r="X114" s="11">
        <f t="shared" si="3"/>
        <v>0</v>
      </c>
      <c r="Y114" s="8">
        <v>94</v>
      </c>
      <c r="Z114" s="12">
        <f t="shared" si="4"/>
        <v>0</v>
      </c>
      <c r="AA114" s="8" t="s">
        <v>12</v>
      </c>
      <c r="AB114" s="8" t="str">
        <f t="shared" si="5"/>
        <v>PEM040-001 - SDK 094</v>
      </c>
    </row>
    <row r="115" spans="24:28">
      <c r="X115" s="11">
        <f t="shared" si="3"/>
        <v>0</v>
      </c>
      <c r="Y115" s="8">
        <v>95</v>
      </c>
      <c r="Z115" s="12">
        <f t="shared" si="4"/>
        <v>0</v>
      </c>
      <c r="AA115" s="8" t="s">
        <v>12</v>
      </c>
      <c r="AB115" s="8" t="str">
        <f t="shared" si="5"/>
        <v>PEM040-001 - SDK 095</v>
      </c>
    </row>
    <row r="116" spans="24:28">
      <c r="X116" s="11">
        <f t="shared" si="3"/>
        <v>0</v>
      </c>
      <c r="Y116" s="8">
        <v>96</v>
      </c>
      <c r="Z116" s="12">
        <f t="shared" si="4"/>
        <v>0</v>
      </c>
      <c r="AA116" s="8" t="s">
        <v>12</v>
      </c>
      <c r="AB116" s="8" t="str">
        <f t="shared" si="5"/>
        <v>PEM040-001 - SDK 096</v>
      </c>
    </row>
    <row r="117" spans="24:28">
      <c r="X117" s="11">
        <f t="shared" si="3"/>
        <v>0</v>
      </c>
      <c r="Y117" s="8">
        <v>97</v>
      </c>
      <c r="Z117" s="12">
        <f t="shared" si="4"/>
        <v>0</v>
      </c>
      <c r="AA117" s="8" t="s">
        <v>12</v>
      </c>
      <c r="AB117" s="8" t="str">
        <f t="shared" si="5"/>
        <v>PEM040-001 - SDK 097</v>
      </c>
    </row>
    <row r="118" spans="24:28">
      <c r="X118" s="11">
        <f t="shared" si="3"/>
        <v>0</v>
      </c>
      <c r="Y118" s="8">
        <v>98</v>
      </c>
      <c r="Z118" s="12">
        <f t="shared" si="4"/>
        <v>0</v>
      </c>
      <c r="AA118" s="8" t="s">
        <v>12</v>
      </c>
      <c r="AB118" s="8" t="str">
        <f t="shared" si="5"/>
        <v>PEM040-001 - SDK 098</v>
      </c>
    </row>
    <row r="119" spans="24:28">
      <c r="X119" s="11">
        <f t="shared" si="3"/>
        <v>0</v>
      </c>
      <c r="Y119" s="8">
        <v>99</v>
      </c>
      <c r="Z119" s="12">
        <f t="shared" si="4"/>
        <v>0</v>
      </c>
      <c r="AA119" s="8" t="s">
        <v>12</v>
      </c>
      <c r="AB119" s="8" t="str">
        <f t="shared" si="5"/>
        <v>PEM040-001 - SDK 099</v>
      </c>
    </row>
    <row r="120" spans="24:28">
      <c r="X120" s="11">
        <f t="shared" si="3"/>
        <v>0</v>
      </c>
      <c r="Y120" s="8">
        <v>100</v>
      </c>
      <c r="Z120" s="12">
        <f t="shared" si="4"/>
        <v>0</v>
      </c>
      <c r="AA120" s="8" t="s">
        <v>12</v>
      </c>
      <c r="AB120" s="8" t="str">
        <f>$I$8&amp;" - SDK "&amp;Y120</f>
        <v>PEM040-001 - SDK 100</v>
      </c>
    </row>
    <row r="121" spans="24:28">
      <c r="X121" s="11">
        <f t="shared" si="3"/>
        <v>0</v>
      </c>
      <c r="Y121" s="8">
        <v>101</v>
      </c>
      <c r="Z121" s="12">
        <f t="shared" si="4"/>
        <v>0</v>
      </c>
      <c r="AA121" s="8" t="s">
        <v>12</v>
      </c>
      <c r="AB121" s="8" t="str">
        <f t="shared" ref="AB121:AB184" si="6">$I$8&amp;" - SDK "&amp;Y121</f>
        <v>PEM040-001 - SDK 101</v>
      </c>
    </row>
    <row r="122" spans="24:28">
      <c r="X122" s="11">
        <f t="shared" si="3"/>
        <v>0</v>
      </c>
      <c r="Y122" s="8">
        <v>102</v>
      </c>
      <c r="Z122" s="12">
        <f t="shared" si="4"/>
        <v>0</v>
      </c>
      <c r="AA122" s="8" t="s">
        <v>12</v>
      </c>
      <c r="AB122" s="8" t="str">
        <f t="shared" si="6"/>
        <v>PEM040-001 - SDK 102</v>
      </c>
    </row>
    <row r="123" spans="24:28">
      <c r="X123" s="11">
        <f t="shared" si="3"/>
        <v>0</v>
      </c>
      <c r="Y123" s="8">
        <v>103</v>
      </c>
      <c r="Z123" s="12">
        <f t="shared" si="4"/>
        <v>0</v>
      </c>
      <c r="AA123" s="8" t="s">
        <v>12</v>
      </c>
      <c r="AB123" s="8" t="str">
        <f t="shared" si="6"/>
        <v>PEM040-001 - SDK 103</v>
      </c>
    </row>
    <row r="124" spans="24:28">
      <c r="X124" s="11">
        <f t="shared" si="3"/>
        <v>0</v>
      </c>
      <c r="Y124" s="8">
        <v>104</v>
      </c>
      <c r="Z124" s="12">
        <f t="shared" si="4"/>
        <v>0</v>
      </c>
      <c r="AA124" s="8" t="s">
        <v>12</v>
      </c>
      <c r="AB124" s="8" t="str">
        <f t="shared" si="6"/>
        <v>PEM040-001 - SDK 104</v>
      </c>
    </row>
    <row r="125" spans="24:28">
      <c r="X125" s="11">
        <f t="shared" si="3"/>
        <v>0</v>
      </c>
      <c r="Y125" s="8">
        <v>105</v>
      </c>
      <c r="Z125" s="12">
        <f t="shared" si="4"/>
        <v>0</v>
      </c>
      <c r="AA125" s="8" t="s">
        <v>12</v>
      </c>
      <c r="AB125" s="8" t="str">
        <f t="shared" si="6"/>
        <v>PEM040-001 - SDK 105</v>
      </c>
    </row>
    <row r="126" spans="24:28">
      <c r="X126" s="11">
        <f t="shared" si="3"/>
        <v>0</v>
      </c>
      <c r="Y126" s="8">
        <v>106</v>
      </c>
      <c r="Z126" s="12">
        <f t="shared" si="4"/>
        <v>0</v>
      </c>
      <c r="AA126" s="8" t="s">
        <v>12</v>
      </c>
      <c r="AB126" s="8" t="str">
        <f t="shared" si="6"/>
        <v>PEM040-001 - SDK 106</v>
      </c>
    </row>
    <row r="127" spans="24:28">
      <c r="X127" s="11">
        <f t="shared" si="3"/>
        <v>0</v>
      </c>
      <c r="Y127" s="8">
        <v>107</v>
      </c>
      <c r="Z127" s="12">
        <f t="shared" si="4"/>
        <v>0</v>
      </c>
      <c r="AA127" s="8" t="s">
        <v>12</v>
      </c>
      <c r="AB127" s="8" t="str">
        <f t="shared" si="6"/>
        <v>PEM040-001 - SDK 107</v>
      </c>
    </row>
    <row r="128" spans="24:28">
      <c r="X128" s="11">
        <f t="shared" si="3"/>
        <v>0</v>
      </c>
      <c r="Y128" s="8">
        <v>108</v>
      </c>
      <c r="Z128" s="12">
        <f t="shared" si="4"/>
        <v>0</v>
      </c>
      <c r="AA128" s="8" t="s">
        <v>12</v>
      </c>
      <c r="AB128" s="8" t="str">
        <f t="shared" si="6"/>
        <v>PEM040-001 - SDK 108</v>
      </c>
    </row>
    <row r="129" spans="24:28">
      <c r="X129" s="11">
        <f t="shared" si="3"/>
        <v>0</v>
      </c>
      <c r="Y129" s="8">
        <v>109</v>
      </c>
      <c r="Z129" s="12">
        <f t="shared" si="4"/>
        <v>0</v>
      </c>
      <c r="AA129" s="8" t="s">
        <v>12</v>
      </c>
      <c r="AB129" s="8" t="str">
        <f t="shared" si="6"/>
        <v>PEM040-001 - SDK 109</v>
      </c>
    </row>
    <row r="130" spans="24:28">
      <c r="X130" s="11">
        <f t="shared" si="3"/>
        <v>0</v>
      </c>
      <c r="Y130" s="8">
        <v>110</v>
      </c>
      <c r="Z130" s="12">
        <f t="shared" si="4"/>
        <v>0</v>
      </c>
      <c r="AA130" s="8" t="s">
        <v>12</v>
      </c>
      <c r="AB130" s="8" t="str">
        <f t="shared" si="6"/>
        <v>PEM040-001 - SDK 110</v>
      </c>
    </row>
    <row r="131" spans="24:28">
      <c r="X131" s="11">
        <f t="shared" si="3"/>
        <v>0</v>
      </c>
      <c r="Y131" s="8">
        <v>111</v>
      </c>
      <c r="Z131" s="12">
        <f t="shared" si="4"/>
        <v>0</v>
      </c>
      <c r="AA131" s="8" t="s">
        <v>12</v>
      </c>
      <c r="AB131" s="8" t="str">
        <f t="shared" si="6"/>
        <v>PEM040-001 - SDK 111</v>
      </c>
    </row>
    <row r="132" spans="24:28">
      <c r="X132" s="11">
        <f t="shared" si="3"/>
        <v>0</v>
      </c>
      <c r="Y132" s="8">
        <v>112</v>
      </c>
      <c r="Z132" s="12">
        <f t="shared" si="4"/>
        <v>0</v>
      </c>
      <c r="AA132" s="8" t="s">
        <v>12</v>
      </c>
      <c r="AB132" s="8" t="str">
        <f t="shared" si="6"/>
        <v>PEM040-001 - SDK 112</v>
      </c>
    </row>
    <row r="133" spans="24:28">
      <c r="X133" s="11">
        <f t="shared" si="3"/>
        <v>0</v>
      </c>
      <c r="Y133" s="8">
        <v>113</v>
      </c>
      <c r="Z133" s="12">
        <f t="shared" si="4"/>
        <v>0</v>
      </c>
      <c r="AA133" s="8" t="s">
        <v>12</v>
      </c>
      <c r="AB133" s="8" t="str">
        <f t="shared" si="6"/>
        <v>PEM040-001 - SDK 113</v>
      </c>
    </row>
    <row r="134" spans="24:28">
      <c r="X134" s="11">
        <f t="shared" si="3"/>
        <v>0</v>
      </c>
      <c r="Y134" s="8">
        <v>114</v>
      </c>
      <c r="Z134" s="12">
        <f t="shared" si="4"/>
        <v>0</v>
      </c>
      <c r="AA134" s="8" t="s">
        <v>12</v>
      </c>
      <c r="AB134" s="8" t="str">
        <f t="shared" si="6"/>
        <v>PEM040-001 - SDK 114</v>
      </c>
    </row>
    <row r="135" spans="24:28">
      <c r="X135" s="11">
        <f t="shared" si="3"/>
        <v>0</v>
      </c>
      <c r="Y135" s="8">
        <v>115</v>
      </c>
      <c r="Z135" s="12">
        <f t="shared" si="4"/>
        <v>0</v>
      </c>
      <c r="AA135" s="8" t="s">
        <v>12</v>
      </c>
      <c r="AB135" s="8" t="str">
        <f t="shared" si="6"/>
        <v>PEM040-001 - SDK 115</v>
      </c>
    </row>
    <row r="136" spans="24:28">
      <c r="X136" s="11">
        <f t="shared" si="3"/>
        <v>0</v>
      </c>
      <c r="Y136" s="8">
        <v>116</v>
      </c>
      <c r="Z136" s="12">
        <f t="shared" si="4"/>
        <v>0</v>
      </c>
      <c r="AA136" s="8" t="s">
        <v>12</v>
      </c>
      <c r="AB136" s="8" t="str">
        <f t="shared" si="6"/>
        <v>PEM040-001 - SDK 116</v>
      </c>
    </row>
    <row r="137" spans="24:28">
      <c r="X137" s="11">
        <f t="shared" si="3"/>
        <v>0</v>
      </c>
      <c r="Y137" s="8">
        <v>117</v>
      </c>
      <c r="Z137" s="12">
        <f t="shared" si="4"/>
        <v>0</v>
      </c>
      <c r="AA137" s="8" t="s">
        <v>12</v>
      </c>
      <c r="AB137" s="8" t="str">
        <f t="shared" si="6"/>
        <v>PEM040-001 - SDK 117</v>
      </c>
    </row>
    <row r="138" spans="24:28">
      <c r="X138" s="11">
        <f t="shared" si="3"/>
        <v>0</v>
      </c>
      <c r="Y138" s="8">
        <v>118</v>
      </c>
      <c r="Z138" s="12">
        <f t="shared" si="4"/>
        <v>0</v>
      </c>
      <c r="AA138" s="8" t="s">
        <v>12</v>
      </c>
      <c r="AB138" s="8" t="str">
        <f t="shared" si="6"/>
        <v>PEM040-001 - SDK 118</v>
      </c>
    </row>
    <row r="139" spans="24:28">
      <c r="X139" s="11">
        <f t="shared" si="3"/>
        <v>0</v>
      </c>
      <c r="Y139" s="8">
        <v>119</v>
      </c>
      <c r="Z139" s="12">
        <f t="shared" si="4"/>
        <v>0</v>
      </c>
      <c r="AA139" s="8" t="s">
        <v>12</v>
      </c>
      <c r="AB139" s="8" t="str">
        <f t="shared" si="6"/>
        <v>PEM040-001 - SDK 119</v>
      </c>
    </row>
    <row r="140" spans="24:28">
      <c r="X140" s="11">
        <f t="shared" si="3"/>
        <v>0</v>
      </c>
      <c r="Y140" s="8">
        <v>120</v>
      </c>
      <c r="Z140" s="12">
        <f t="shared" si="4"/>
        <v>0</v>
      </c>
      <c r="AA140" s="8" t="s">
        <v>12</v>
      </c>
      <c r="AB140" s="8" t="str">
        <f t="shared" si="6"/>
        <v>PEM040-001 - SDK 120</v>
      </c>
    </row>
    <row r="141" spans="24:28">
      <c r="X141" s="11">
        <f t="shared" si="3"/>
        <v>0</v>
      </c>
      <c r="Y141" s="8">
        <v>121</v>
      </c>
      <c r="Z141" s="12">
        <f t="shared" si="4"/>
        <v>0</v>
      </c>
      <c r="AA141" s="8" t="s">
        <v>12</v>
      </c>
      <c r="AB141" s="8" t="str">
        <f t="shared" si="6"/>
        <v>PEM040-001 - SDK 121</v>
      </c>
    </row>
    <row r="142" spans="24:28">
      <c r="X142" s="11">
        <f t="shared" si="3"/>
        <v>0</v>
      </c>
      <c r="Y142" s="8">
        <v>122</v>
      </c>
      <c r="Z142" s="12">
        <f t="shared" si="4"/>
        <v>0</v>
      </c>
      <c r="AA142" s="8" t="s">
        <v>12</v>
      </c>
      <c r="AB142" s="8" t="str">
        <f t="shared" si="6"/>
        <v>PEM040-001 - SDK 122</v>
      </c>
    </row>
    <row r="143" spans="24:28">
      <c r="X143" s="11">
        <f t="shared" si="3"/>
        <v>0</v>
      </c>
      <c r="Y143" s="8">
        <v>123</v>
      </c>
      <c r="Z143" s="12">
        <f t="shared" si="4"/>
        <v>0</v>
      </c>
      <c r="AA143" s="8" t="s">
        <v>12</v>
      </c>
      <c r="AB143" s="8" t="str">
        <f t="shared" si="6"/>
        <v>PEM040-001 - SDK 123</v>
      </c>
    </row>
    <row r="144" spans="24:28">
      <c r="X144" s="11">
        <f t="shared" si="3"/>
        <v>0</v>
      </c>
      <c r="Y144" s="8">
        <v>124</v>
      </c>
      <c r="Z144" s="12">
        <f t="shared" si="4"/>
        <v>0</v>
      </c>
      <c r="AA144" s="8" t="s">
        <v>12</v>
      </c>
      <c r="AB144" s="8" t="str">
        <f t="shared" si="6"/>
        <v>PEM040-001 - SDK 124</v>
      </c>
    </row>
    <row r="145" spans="24:28">
      <c r="X145" s="11">
        <f t="shared" si="3"/>
        <v>0</v>
      </c>
      <c r="Y145" s="8">
        <v>125</v>
      </c>
      <c r="Z145" s="12">
        <f t="shared" si="4"/>
        <v>0</v>
      </c>
      <c r="AA145" s="8" t="s">
        <v>12</v>
      </c>
      <c r="AB145" s="8" t="str">
        <f t="shared" si="6"/>
        <v>PEM040-001 - SDK 125</v>
      </c>
    </row>
    <row r="146" spans="24:28">
      <c r="X146" s="11">
        <f t="shared" si="3"/>
        <v>0</v>
      </c>
      <c r="Y146" s="8">
        <v>126</v>
      </c>
      <c r="Z146" s="12">
        <f t="shared" si="4"/>
        <v>0</v>
      </c>
      <c r="AA146" s="8" t="s">
        <v>12</v>
      </c>
      <c r="AB146" s="8" t="str">
        <f t="shared" si="6"/>
        <v>PEM040-001 - SDK 126</v>
      </c>
    </row>
    <row r="147" spans="24:28">
      <c r="X147" s="11">
        <f t="shared" si="3"/>
        <v>0</v>
      </c>
      <c r="Y147" s="8">
        <v>127</v>
      </c>
      <c r="Z147" s="12">
        <f t="shared" si="4"/>
        <v>0</v>
      </c>
      <c r="AA147" s="8" t="s">
        <v>12</v>
      </c>
      <c r="AB147" s="8" t="str">
        <f t="shared" si="6"/>
        <v>PEM040-001 - SDK 127</v>
      </c>
    </row>
    <row r="148" spans="24:28">
      <c r="X148" s="11">
        <f t="shared" si="3"/>
        <v>0</v>
      </c>
      <c r="Y148" s="8">
        <v>128</v>
      </c>
      <c r="Z148" s="12">
        <f t="shared" si="4"/>
        <v>0</v>
      </c>
      <c r="AA148" s="8" t="s">
        <v>12</v>
      </c>
      <c r="AB148" s="8" t="str">
        <f t="shared" si="6"/>
        <v>PEM040-001 - SDK 128</v>
      </c>
    </row>
    <row r="149" spans="24:28">
      <c r="X149" s="11">
        <f t="shared" si="3"/>
        <v>0</v>
      </c>
      <c r="Y149" s="8">
        <v>129</v>
      </c>
      <c r="Z149" s="12">
        <f t="shared" si="4"/>
        <v>0</v>
      </c>
      <c r="AA149" s="8" t="s">
        <v>12</v>
      </c>
      <c r="AB149" s="8" t="str">
        <f t="shared" si="6"/>
        <v>PEM040-001 - SDK 129</v>
      </c>
    </row>
    <row r="150" spans="24:28">
      <c r="X150" s="11">
        <f t="shared" si="3"/>
        <v>0</v>
      </c>
      <c r="Y150" s="8">
        <v>130</v>
      </c>
      <c r="Z150" s="12">
        <f t="shared" si="4"/>
        <v>0</v>
      </c>
      <c r="AA150" s="8" t="s">
        <v>12</v>
      </c>
      <c r="AB150" s="8" t="str">
        <f t="shared" si="6"/>
        <v>PEM040-001 - SDK 130</v>
      </c>
    </row>
    <row r="151" spans="24:28">
      <c r="X151" s="11">
        <f t="shared" ref="X151:X214" si="7">$X$21</f>
        <v>0</v>
      </c>
      <c r="Y151" s="8">
        <v>131</v>
      </c>
      <c r="Z151" s="12">
        <f t="shared" ref="Z151:Z214" si="8">$Z$21</f>
        <v>0</v>
      </c>
      <c r="AA151" s="8" t="s">
        <v>12</v>
      </c>
      <c r="AB151" s="8" t="str">
        <f t="shared" si="6"/>
        <v>PEM040-001 - SDK 131</v>
      </c>
    </row>
    <row r="152" spans="24:28">
      <c r="X152" s="11">
        <f t="shared" si="7"/>
        <v>0</v>
      </c>
      <c r="Y152" s="8">
        <v>132</v>
      </c>
      <c r="Z152" s="12">
        <f t="shared" si="8"/>
        <v>0</v>
      </c>
      <c r="AA152" s="8" t="s">
        <v>12</v>
      </c>
      <c r="AB152" s="8" t="str">
        <f t="shared" si="6"/>
        <v>PEM040-001 - SDK 132</v>
      </c>
    </row>
    <row r="153" spans="24:28">
      <c r="X153" s="11">
        <f t="shared" si="7"/>
        <v>0</v>
      </c>
      <c r="Y153" s="8">
        <v>133</v>
      </c>
      <c r="Z153" s="12">
        <f t="shared" si="8"/>
        <v>0</v>
      </c>
      <c r="AA153" s="8" t="s">
        <v>12</v>
      </c>
      <c r="AB153" s="8" t="str">
        <f t="shared" si="6"/>
        <v>PEM040-001 - SDK 133</v>
      </c>
    </row>
    <row r="154" spans="24:28">
      <c r="X154" s="11">
        <f t="shared" si="7"/>
        <v>0</v>
      </c>
      <c r="Y154" s="8">
        <v>134</v>
      </c>
      <c r="Z154" s="12">
        <f t="shared" si="8"/>
        <v>0</v>
      </c>
      <c r="AA154" s="8" t="s">
        <v>12</v>
      </c>
      <c r="AB154" s="8" t="str">
        <f t="shared" si="6"/>
        <v>PEM040-001 - SDK 134</v>
      </c>
    </row>
    <row r="155" spans="24:28">
      <c r="X155" s="11">
        <f t="shared" si="7"/>
        <v>0</v>
      </c>
      <c r="Y155" s="8">
        <v>135</v>
      </c>
      <c r="Z155" s="12">
        <f t="shared" si="8"/>
        <v>0</v>
      </c>
      <c r="AA155" s="8" t="s">
        <v>12</v>
      </c>
      <c r="AB155" s="8" t="str">
        <f t="shared" si="6"/>
        <v>PEM040-001 - SDK 135</v>
      </c>
    </row>
    <row r="156" spans="24:28">
      <c r="X156" s="11">
        <f t="shared" si="7"/>
        <v>0</v>
      </c>
      <c r="Y156" s="8">
        <v>136</v>
      </c>
      <c r="Z156" s="12">
        <f t="shared" si="8"/>
        <v>0</v>
      </c>
      <c r="AA156" s="8" t="s">
        <v>12</v>
      </c>
      <c r="AB156" s="8" t="str">
        <f t="shared" si="6"/>
        <v>PEM040-001 - SDK 136</v>
      </c>
    </row>
    <row r="157" spans="24:28">
      <c r="X157" s="11">
        <f t="shared" si="7"/>
        <v>0</v>
      </c>
      <c r="Y157" s="8">
        <v>137</v>
      </c>
      <c r="Z157" s="12">
        <f t="shared" si="8"/>
        <v>0</v>
      </c>
      <c r="AA157" s="8" t="s">
        <v>12</v>
      </c>
      <c r="AB157" s="8" t="str">
        <f t="shared" si="6"/>
        <v>PEM040-001 - SDK 137</v>
      </c>
    </row>
    <row r="158" spans="24:28">
      <c r="X158" s="11">
        <f t="shared" si="7"/>
        <v>0</v>
      </c>
      <c r="Y158" s="8">
        <v>138</v>
      </c>
      <c r="Z158" s="12">
        <f t="shared" si="8"/>
        <v>0</v>
      </c>
      <c r="AA158" s="8" t="s">
        <v>12</v>
      </c>
      <c r="AB158" s="8" t="str">
        <f t="shared" si="6"/>
        <v>PEM040-001 - SDK 138</v>
      </c>
    </row>
    <row r="159" spans="24:28">
      <c r="X159" s="11">
        <f t="shared" si="7"/>
        <v>0</v>
      </c>
      <c r="Y159" s="8">
        <v>139</v>
      </c>
      <c r="Z159" s="12">
        <f t="shared" si="8"/>
        <v>0</v>
      </c>
      <c r="AA159" s="8" t="s">
        <v>12</v>
      </c>
      <c r="AB159" s="8" t="str">
        <f t="shared" si="6"/>
        <v>PEM040-001 - SDK 139</v>
      </c>
    </row>
    <row r="160" spans="24:28">
      <c r="X160" s="11">
        <f t="shared" si="7"/>
        <v>0</v>
      </c>
      <c r="Y160" s="8">
        <v>140</v>
      </c>
      <c r="Z160" s="12">
        <f t="shared" si="8"/>
        <v>0</v>
      </c>
      <c r="AA160" s="8" t="s">
        <v>12</v>
      </c>
      <c r="AB160" s="8" t="str">
        <f t="shared" si="6"/>
        <v>PEM040-001 - SDK 140</v>
      </c>
    </row>
    <row r="161" spans="24:28">
      <c r="X161" s="11">
        <f t="shared" si="7"/>
        <v>0</v>
      </c>
      <c r="Y161" s="8">
        <v>141</v>
      </c>
      <c r="Z161" s="12">
        <f t="shared" si="8"/>
        <v>0</v>
      </c>
      <c r="AA161" s="8" t="s">
        <v>12</v>
      </c>
      <c r="AB161" s="8" t="str">
        <f t="shared" si="6"/>
        <v>PEM040-001 - SDK 141</v>
      </c>
    </row>
    <row r="162" spans="24:28">
      <c r="X162" s="11">
        <f t="shared" si="7"/>
        <v>0</v>
      </c>
      <c r="Y162" s="8">
        <v>142</v>
      </c>
      <c r="Z162" s="12">
        <f t="shared" si="8"/>
        <v>0</v>
      </c>
      <c r="AA162" s="8" t="s">
        <v>12</v>
      </c>
      <c r="AB162" s="8" t="str">
        <f t="shared" si="6"/>
        <v>PEM040-001 - SDK 142</v>
      </c>
    </row>
    <row r="163" spans="24:28">
      <c r="X163" s="11">
        <f t="shared" si="7"/>
        <v>0</v>
      </c>
      <c r="Y163" s="8">
        <v>143</v>
      </c>
      <c r="Z163" s="12">
        <f t="shared" si="8"/>
        <v>0</v>
      </c>
      <c r="AA163" s="8" t="s">
        <v>12</v>
      </c>
      <c r="AB163" s="8" t="str">
        <f t="shared" si="6"/>
        <v>PEM040-001 - SDK 143</v>
      </c>
    </row>
    <row r="164" spans="24:28">
      <c r="X164" s="11">
        <f t="shared" si="7"/>
        <v>0</v>
      </c>
      <c r="Y164" s="8">
        <v>144</v>
      </c>
      <c r="Z164" s="12">
        <f t="shared" si="8"/>
        <v>0</v>
      </c>
      <c r="AA164" s="8" t="s">
        <v>12</v>
      </c>
      <c r="AB164" s="8" t="str">
        <f t="shared" si="6"/>
        <v>PEM040-001 - SDK 144</v>
      </c>
    </row>
    <row r="165" spans="24:28">
      <c r="X165" s="11">
        <f t="shared" si="7"/>
        <v>0</v>
      </c>
      <c r="Y165" s="8">
        <v>145</v>
      </c>
      <c r="Z165" s="12">
        <f t="shared" si="8"/>
        <v>0</v>
      </c>
      <c r="AA165" s="8" t="s">
        <v>12</v>
      </c>
      <c r="AB165" s="8" t="str">
        <f t="shared" si="6"/>
        <v>PEM040-001 - SDK 145</v>
      </c>
    </row>
    <row r="166" spans="24:28">
      <c r="X166" s="11">
        <f t="shared" si="7"/>
        <v>0</v>
      </c>
      <c r="Y166" s="8">
        <v>146</v>
      </c>
      <c r="Z166" s="12">
        <f t="shared" si="8"/>
        <v>0</v>
      </c>
      <c r="AA166" s="8" t="s">
        <v>12</v>
      </c>
      <c r="AB166" s="8" t="str">
        <f t="shared" si="6"/>
        <v>PEM040-001 - SDK 146</v>
      </c>
    </row>
    <row r="167" spans="24:28">
      <c r="X167" s="11">
        <f t="shared" si="7"/>
        <v>0</v>
      </c>
      <c r="Y167" s="8">
        <v>147</v>
      </c>
      <c r="Z167" s="12">
        <f t="shared" si="8"/>
        <v>0</v>
      </c>
      <c r="AA167" s="8" t="s">
        <v>12</v>
      </c>
      <c r="AB167" s="8" t="str">
        <f t="shared" si="6"/>
        <v>PEM040-001 - SDK 147</v>
      </c>
    </row>
    <row r="168" spans="24:28">
      <c r="X168" s="11">
        <f t="shared" si="7"/>
        <v>0</v>
      </c>
      <c r="Y168" s="8">
        <v>148</v>
      </c>
      <c r="Z168" s="12">
        <f t="shared" si="8"/>
        <v>0</v>
      </c>
      <c r="AA168" s="8" t="s">
        <v>12</v>
      </c>
      <c r="AB168" s="8" t="str">
        <f t="shared" si="6"/>
        <v>PEM040-001 - SDK 148</v>
      </c>
    </row>
    <row r="169" spans="24:28">
      <c r="X169" s="11">
        <f t="shared" si="7"/>
        <v>0</v>
      </c>
      <c r="Y169" s="8">
        <v>149</v>
      </c>
      <c r="Z169" s="12">
        <f t="shared" si="8"/>
        <v>0</v>
      </c>
      <c r="AA169" s="8" t="s">
        <v>12</v>
      </c>
      <c r="AB169" s="8" t="str">
        <f t="shared" si="6"/>
        <v>PEM040-001 - SDK 149</v>
      </c>
    </row>
    <row r="170" spans="24:28">
      <c r="X170" s="11">
        <f t="shared" si="7"/>
        <v>0</v>
      </c>
      <c r="Y170" s="8">
        <v>150</v>
      </c>
      <c r="Z170" s="12">
        <f t="shared" si="8"/>
        <v>0</v>
      </c>
      <c r="AA170" s="8" t="s">
        <v>12</v>
      </c>
      <c r="AB170" s="8" t="str">
        <f t="shared" si="6"/>
        <v>PEM040-001 - SDK 150</v>
      </c>
    </row>
    <row r="171" spans="24:28">
      <c r="X171" s="11">
        <f t="shared" si="7"/>
        <v>0</v>
      </c>
      <c r="Y171" s="8">
        <v>151</v>
      </c>
      <c r="Z171" s="12">
        <f t="shared" si="8"/>
        <v>0</v>
      </c>
      <c r="AA171" s="8" t="s">
        <v>12</v>
      </c>
      <c r="AB171" s="8" t="str">
        <f t="shared" si="6"/>
        <v>PEM040-001 - SDK 151</v>
      </c>
    </row>
    <row r="172" spans="24:28">
      <c r="X172" s="11">
        <f t="shared" si="7"/>
        <v>0</v>
      </c>
      <c r="Y172" s="8">
        <v>152</v>
      </c>
      <c r="Z172" s="12">
        <f t="shared" si="8"/>
        <v>0</v>
      </c>
      <c r="AA172" s="8" t="s">
        <v>12</v>
      </c>
      <c r="AB172" s="8" t="str">
        <f t="shared" si="6"/>
        <v>PEM040-001 - SDK 152</v>
      </c>
    </row>
    <row r="173" spans="24:28">
      <c r="X173" s="11">
        <f t="shared" si="7"/>
        <v>0</v>
      </c>
      <c r="Y173" s="8">
        <v>153</v>
      </c>
      <c r="Z173" s="12">
        <f t="shared" si="8"/>
        <v>0</v>
      </c>
      <c r="AA173" s="8" t="s">
        <v>12</v>
      </c>
      <c r="AB173" s="8" t="str">
        <f t="shared" si="6"/>
        <v>PEM040-001 - SDK 153</v>
      </c>
    </row>
    <row r="174" spans="24:28">
      <c r="X174" s="11">
        <f t="shared" si="7"/>
        <v>0</v>
      </c>
      <c r="Y174" s="8">
        <v>154</v>
      </c>
      <c r="Z174" s="12">
        <f t="shared" si="8"/>
        <v>0</v>
      </c>
      <c r="AA174" s="8" t="s">
        <v>12</v>
      </c>
      <c r="AB174" s="8" t="str">
        <f t="shared" si="6"/>
        <v>PEM040-001 - SDK 154</v>
      </c>
    </row>
    <row r="175" spans="24:28">
      <c r="X175" s="11">
        <f t="shared" si="7"/>
        <v>0</v>
      </c>
      <c r="Y175" s="8">
        <v>155</v>
      </c>
      <c r="Z175" s="12">
        <f t="shared" si="8"/>
        <v>0</v>
      </c>
      <c r="AA175" s="8" t="s">
        <v>12</v>
      </c>
      <c r="AB175" s="8" t="str">
        <f t="shared" si="6"/>
        <v>PEM040-001 - SDK 155</v>
      </c>
    </row>
    <row r="176" spans="24:28">
      <c r="X176" s="11">
        <f t="shared" si="7"/>
        <v>0</v>
      </c>
      <c r="Y176" s="8">
        <v>156</v>
      </c>
      <c r="Z176" s="12">
        <f t="shared" si="8"/>
        <v>0</v>
      </c>
      <c r="AA176" s="8" t="s">
        <v>12</v>
      </c>
      <c r="AB176" s="8" t="str">
        <f t="shared" si="6"/>
        <v>PEM040-001 - SDK 156</v>
      </c>
    </row>
    <row r="177" spans="24:28">
      <c r="X177" s="11">
        <f t="shared" si="7"/>
        <v>0</v>
      </c>
      <c r="Y177" s="8">
        <v>157</v>
      </c>
      <c r="Z177" s="12">
        <f t="shared" si="8"/>
        <v>0</v>
      </c>
      <c r="AA177" s="8" t="s">
        <v>12</v>
      </c>
      <c r="AB177" s="8" t="str">
        <f t="shared" si="6"/>
        <v>PEM040-001 - SDK 157</v>
      </c>
    </row>
    <row r="178" spans="24:28">
      <c r="X178" s="11">
        <f t="shared" si="7"/>
        <v>0</v>
      </c>
      <c r="Y178" s="8">
        <v>158</v>
      </c>
      <c r="Z178" s="12">
        <f t="shared" si="8"/>
        <v>0</v>
      </c>
      <c r="AA178" s="8" t="s">
        <v>12</v>
      </c>
      <c r="AB178" s="8" t="str">
        <f t="shared" si="6"/>
        <v>PEM040-001 - SDK 158</v>
      </c>
    </row>
    <row r="179" spans="24:28">
      <c r="X179" s="11">
        <f t="shared" si="7"/>
        <v>0</v>
      </c>
      <c r="Y179" s="8">
        <v>159</v>
      </c>
      <c r="Z179" s="12">
        <f t="shared" si="8"/>
        <v>0</v>
      </c>
      <c r="AA179" s="8" t="s">
        <v>12</v>
      </c>
      <c r="AB179" s="8" t="str">
        <f t="shared" si="6"/>
        <v>PEM040-001 - SDK 159</v>
      </c>
    </row>
    <row r="180" spans="24:28">
      <c r="X180" s="11">
        <f t="shared" si="7"/>
        <v>0</v>
      </c>
      <c r="Y180" s="8">
        <v>160</v>
      </c>
      <c r="Z180" s="12">
        <f t="shared" si="8"/>
        <v>0</v>
      </c>
      <c r="AA180" s="8" t="s">
        <v>12</v>
      </c>
      <c r="AB180" s="8" t="str">
        <f t="shared" si="6"/>
        <v>PEM040-001 - SDK 160</v>
      </c>
    </row>
    <row r="181" spans="24:28">
      <c r="X181" s="11">
        <f t="shared" si="7"/>
        <v>0</v>
      </c>
      <c r="Y181" s="8">
        <v>161</v>
      </c>
      <c r="Z181" s="12">
        <f t="shared" si="8"/>
        <v>0</v>
      </c>
      <c r="AA181" s="8" t="s">
        <v>12</v>
      </c>
      <c r="AB181" s="8" t="str">
        <f t="shared" si="6"/>
        <v>PEM040-001 - SDK 161</v>
      </c>
    </row>
    <row r="182" spans="24:28">
      <c r="X182" s="11">
        <f t="shared" si="7"/>
        <v>0</v>
      </c>
      <c r="Y182" s="8">
        <v>162</v>
      </c>
      <c r="Z182" s="12">
        <f t="shared" si="8"/>
        <v>0</v>
      </c>
      <c r="AA182" s="8" t="s">
        <v>12</v>
      </c>
      <c r="AB182" s="8" t="str">
        <f t="shared" si="6"/>
        <v>PEM040-001 - SDK 162</v>
      </c>
    </row>
    <row r="183" spans="24:28">
      <c r="X183" s="11">
        <f t="shared" si="7"/>
        <v>0</v>
      </c>
      <c r="Y183" s="8">
        <v>163</v>
      </c>
      <c r="Z183" s="12">
        <f t="shared" si="8"/>
        <v>0</v>
      </c>
      <c r="AA183" s="8" t="s">
        <v>12</v>
      </c>
      <c r="AB183" s="8" t="str">
        <f t="shared" si="6"/>
        <v>PEM040-001 - SDK 163</v>
      </c>
    </row>
    <row r="184" spans="24:28">
      <c r="X184" s="11">
        <f t="shared" si="7"/>
        <v>0</v>
      </c>
      <c r="Y184" s="8">
        <v>164</v>
      </c>
      <c r="Z184" s="12">
        <f t="shared" si="8"/>
        <v>0</v>
      </c>
      <c r="AA184" s="8" t="s">
        <v>12</v>
      </c>
      <c r="AB184" s="8" t="str">
        <f t="shared" si="6"/>
        <v>PEM040-001 - SDK 164</v>
      </c>
    </row>
    <row r="185" spans="24:28">
      <c r="X185" s="11">
        <f t="shared" si="7"/>
        <v>0</v>
      </c>
      <c r="Y185" s="8">
        <v>165</v>
      </c>
      <c r="Z185" s="12">
        <f t="shared" si="8"/>
        <v>0</v>
      </c>
      <c r="AA185" s="8" t="s">
        <v>12</v>
      </c>
      <c r="AB185" s="8" t="str">
        <f t="shared" ref="AB185:AB248" si="9">$I$8&amp;" - SDK "&amp;Y185</f>
        <v>PEM040-001 - SDK 165</v>
      </c>
    </row>
    <row r="186" spans="24:28">
      <c r="X186" s="11">
        <f t="shared" si="7"/>
        <v>0</v>
      </c>
      <c r="Y186" s="8">
        <v>166</v>
      </c>
      <c r="Z186" s="12">
        <f t="shared" si="8"/>
        <v>0</v>
      </c>
      <c r="AA186" s="8" t="s">
        <v>12</v>
      </c>
      <c r="AB186" s="8" t="str">
        <f t="shared" si="9"/>
        <v>PEM040-001 - SDK 166</v>
      </c>
    </row>
    <row r="187" spans="24:28">
      <c r="X187" s="11">
        <f t="shared" si="7"/>
        <v>0</v>
      </c>
      <c r="Y187" s="8">
        <v>167</v>
      </c>
      <c r="Z187" s="12">
        <f t="shared" si="8"/>
        <v>0</v>
      </c>
      <c r="AA187" s="8" t="s">
        <v>12</v>
      </c>
      <c r="AB187" s="8" t="str">
        <f t="shared" si="9"/>
        <v>PEM040-001 - SDK 167</v>
      </c>
    </row>
    <row r="188" spans="24:28">
      <c r="X188" s="11">
        <f t="shared" si="7"/>
        <v>0</v>
      </c>
      <c r="Y188" s="8">
        <v>168</v>
      </c>
      <c r="Z188" s="12">
        <f t="shared" si="8"/>
        <v>0</v>
      </c>
      <c r="AA188" s="8" t="s">
        <v>12</v>
      </c>
      <c r="AB188" s="8" t="str">
        <f t="shared" si="9"/>
        <v>PEM040-001 - SDK 168</v>
      </c>
    </row>
    <row r="189" spans="24:28">
      <c r="X189" s="11">
        <f t="shared" si="7"/>
        <v>0</v>
      </c>
      <c r="Y189" s="8">
        <v>169</v>
      </c>
      <c r="Z189" s="12">
        <f t="shared" si="8"/>
        <v>0</v>
      </c>
      <c r="AA189" s="8" t="s">
        <v>12</v>
      </c>
      <c r="AB189" s="8" t="str">
        <f t="shared" si="9"/>
        <v>PEM040-001 - SDK 169</v>
      </c>
    </row>
    <row r="190" spans="24:28">
      <c r="X190" s="11">
        <f t="shared" si="7"/>
        <v>0</v>
      </c>
      <c r="Y190" s="8">
        <v>170</v>
      </c>
      <c r="Z190" s="12">
        <f t="shared" si="8"/>
        <v>0</v>
      </c>
      <c r="AA190" s="8" t="s">
        <v>12</v>
      </c>
      <c r="AB190" s="8" t="str">
        <f t="shared" si="9"/>
        <v>PEM040-001 - SDK 170</v>
      </c>
    </row>
    <row r="191" spans="24:28">
      <c r="X191" s="11">
        <f t="shared" si="7"/>
        <v>0</v>
      </c>
      <c r="Y191" s="8">
        <v>171</v>
      </c>
      <c r="Z191" s="12">
        <f t="shared" si="8"/>
        <v>0</v>
      </c>
      <c r="AA191" s="8" t="s">
        <v>12</v>
      </c>
      <c r="AB191" s="8" t="str">
        <f t="shared" si="9"/>
        <v>PEM040-001 - SDK 171</v>
      </c>
    </row>
    <row r="192" spans="24:28">
      <c r="X192" s="11">
        <f t="shared" si="7"/>
        <v>0</v>
      </c>
      <c r="Y192" s="8">
        <v>172</v>
      </c>
      <c r="Z192" s="12">
        <f t="shared" si="8"/>
        <v>0</v>
      </c>
      <c r="AA192" s="8" t="s">
        <v>12</v>
      </c>
      <c r="AB192" s="8" t="str">
        <f t="shared" si="9"/>
        <v>PEM040-001 - SDK 172</v>
      </c>
    </row>
    <row r="193" spans="24:28">
      <c r="X193" s="11">
        <f t="shared" si="7"/>
        <v>0</v>
      </c>
      <c r="Y193" s="8">
        <v>173</v>
      </c>
      <c r="Z193" s="12">
        <f t="shared" si="8"/>
        <v>0</v>
      </c>
      <c r="AA193" s="8" t="s">
        <v>12</v>
      </c>
      <c r="AB193" s="8" t="str">
        <f t="shared" si="9"/>
        <v>PEM040-001 - SDK 173</v>
      </c>
    </row>
    <row r="194" spans="24:28">
      <c r="X194" s="11">
        <f t="shared" si="7"/>
        <v>0</v>
      </c>
      <c r="Y194" s="8">
        <v>174</v>
      </c>
      <c r="Z194" s="12">
        <f t="shared" si="8"/>
        <v>0</v>
      </c>
      <c r="AA194" s="8" t="s">
        <v>12</v>
      </c>
      <c r="AB194" s="8" t="str">
        <f t="shared" si="9"/>
        <v>PEM040-001 - SDK 174</v>
      </c>
    </row>
    <row r="195" spans="24:28">
      <c r="X195" s="11">
        <f t="shared" si="7"/>
        <v>0</v>
      </c>
      <c r="Y195" s="8">
        <v>175</v>
      </c>
      <c r="Z195" s="12">
        <f t="shared" si="8"/>
        <v>0</v>
      </c>
      <c r="AA195" s="8" t="s">
        <v>12</v>
      </c>
      <c r="AB195" s="8" t="str">
        <f t="shared" si="9"/>
        <v>PEM040-001 - SDK 175</v>
      </c>
    </row>
    <row r="196" spans="24:28">
      <c r="X196" s="11">
        <f t="shared" si="7"/>
        <v>0</v>
      </c>
      <c r="Y196" s="8">
        <v>176</v>
      </c>
      <c r="Z196" s="12">
        <f t="shared" si="8"/>
        <v>0</v>
      </c>
      <c r="AA196" s="8" t="s">
        <v>12</v>
      </c>
      <c r="AB196" s="8" t="str">
        <f t="shared" si="9"/>
        <v>PEM040-001 - SDK 176</v>
      </c>
    </row>
    <row r="197" spans="24:28">
      <c r="X197" s="11">
        <f t="shared" si="7"/>
        <v>0</v>
      </c>
      <c r="Y197" s="8">
        <v>177</v>
      </c>
      <c r="Z197" s="12">
        <f t="shared" si="8"/>
        <v>0</v>
      </c>
      <c r="AA197" s="8" t="s">
        <v>12</v>
      </c>
      <c r="AB197" s="8" t="str">
        <f t="shared" si="9"/>
        <v>PEM040-001 - SDK 177</v>
      </c>
    </row>
    <row r="198" spans="24:28">
      <c r="X198" s="11">
        <f t="shared" si="7"/>
        <v>0</v>
      </c>
      <c r="Y198" s="8">
        <v>178</v>
      </c>
      <c r="Z198" s="12">
        <f t="shared" si="8"/>
        <v>0</v>
      </c>
      <c r="AA198" s="8" t="s">
        <v>12</v>
      </c>
      <c r="AB198" s="8" t="str">
        <f t="shared" si="9"/>
        <v>PEM040-001 - SDK 178</v>
      </c>
    </row>
    <row r="199" spans="24:28">
      <c r="X199" s="11">
        <f t="shared" si="7"/>
        <v>0</v>
      </c>
      <c r="Y199" s="8">
        <v>179</v>
      </c>
      <c r="Z199" s="12">
        <f t="shared" si="8"/>
        <v>0</v>
      </c>
      <c r="AA199" s="8" t="s">
        <v>12</v>
      </c>
      <c r="AB199" s="8" t="str">
        <f t="shared" si="9"/>
        <v>PEM040-001 - SDK 179</v>
      </c>
    </row>
    <row r="200" spans="24:28">
      <c r="X200" s="11">
        <f t="shared" si="7"/>
        <v>0</v>
      </c>
      <c r="Y200" s="8">
        <v>180</v>
      </c>
      <c r="Z200" s="12">
        <f t="shared" si="8"/>
        <v>0</v>
      </c>
      <c r="AA200" s="8" t="s">
        <v>12</v>
      </c>
      <c r="AB200" s="8" t="str">
        <f t="shared" si="9"/>
        <v>PEM040-001 - SDK 180</v>
      </c>
    </row>
    <row r="201" spans="24:28">
      <c r="X201" s="11">
        <f t="shared" si="7"/>
        <v>0</v>
      </c>
      <c r="Y201" s="8">
        <v>181</v>
      </c>
      <c r="Z201" s="12">
        <f t="shared" si="8"/>
        <v>0</v>
      </c>
      <c r="AA201" s="8" t="s">
        <v>12</v>
      </c>
      <c r="AB201" s="8" t="str">
        <f t="shared" si="9"/>
        <v>PEM040-001 - SDK 181</v>
      </c>
    </row>
    <row r="202" spans="24:28">
      <c r="X202" s="11">
        <f t="shared" si="7"/>
        <v>0</v>
      </c>
      <c r="Y202" s="8">
        <v>182</v>
      </c>
      <c r="Z202" s="12">
        <f t="shared" si="8"/>
        <v>0</v>
      </c>
      <c r="AA202" s="8" t="s">
        <v>12</v>
      </c>
      <c r="AB202" s="8" t="str">
        <f t="shared" si="9"/>
        <v>PEM040-001 - SDK 182</v>
      </c>
    </row>
    <row r="203" spans="24:28">
      <c r="X203" s="11">
        <f t="shared" si="7"/>
        <v>0</v>
      </c>
      <c r="Y203" s="8">
        <v>183</v>
      </c>
      <c r="Z203" s="12">
        <f t="shared" si="8"/>
        <v>0</v>
      </c>
      <c r="AA203" s="8" t="s">
        <v>12</v>
      </c>
      <c r="AB203" s="8" t="str">
        <f t="shared" si="9"/>
        <v>PEM040-001 - SDK 183</v>
      </c>
    </row>
    <row r="204" spans="24:28">
      <c r="X204" s="11">
        <f t="shared" si="7"/>
        <v>0</v>
      </c>
      <c r="Y204" s="8">
        <v>184</v>
      </c>
      <c r="Z204" s="12">
        <f t="shared" si="8"/>
        <v>0</v>
      </c>
      <c r="AA204" s="8" t="s">
        <v>12</v>
      </c>
      <c r="AB204" s="8" t="str">
        <f t="shared" si="9"/>
        <v>PEM040-001 - SDK 184</v>
      </c>
    </row>
    <row r="205" spans="24:28">
      <c r="X205" s="11">
        <f t="shared" si="7"/>
        <v>0</v>
      </c>
      <c r="Y205" s="8">
        <v>185</v>
      </c>
      <c r="Z205" s="12">
        <f t="shared" si="8"/>
        <v>0</v>
      </c>
      <c r="AA205" s="8" t="s">
        <v>12</v>
      </c>
      <c r="AB205" s="8" t="str">
        <f t="shared" si="9"/>
        <v>PEM040-001 - SDK 185</v>
      </c>
    </row>
    <row r="206" spans="24:28">
      <c r="X206" s="11">
        <f t="shared" si="7"/>
        <v>0</v>
      </c>
      <c r="Y206" s="8">
        <v>186</v>
      </c>
      <c r="Z206" s="12">
        <f t="shared" si="8"/>
        <v>0</v>
      </c>
      <c r="AA206" s="8" t="s">
        <v>12</v>
      </c>
      <c r="AB206" s="8" t="str">
        <f t="shared" si="9"/>
        <v>PEM040-001 - SDK 186</v>
      </c>
    </row>
    <row r="207" spans="24:28">
      <c r="X207" s="11">
        <f t="shared" si="7"/>
        <v>0</v>
      </c>
      <c r="Y207" s="8">
        <v>187</v>
      </c>
      <c r="Z207" s="12">
        <f t="shared" si="8"/>
        <v>0</v>
      </c>
      <c r="AA207" s="8" t="s">
        <v>12</v>
      </c>
      <c r="AB207" s="8" t="str">
        <f t="shared" si="9"/>
        <v>PEM040-001 - SDK 187</v>
      </c>
    </row>
    <row r="208" spans="24:28">
      <c r="X208" s="11">
        <f t="shared" si="7"/>
        <v>0</v>
      </c>
      <c r="Y208" s="8">
        <v>188</v>
      </c>
      <c r="Z208" s="12">
        <f t="shared" si="8"/>
        <v>0</v>
      </c>
      <c r="AA208" s="8" t="s">
        <v>12</v>
      </c>
      <c r="AB208" s="8" t="str">
        <f t="shared" si="9"/>
        <v>PEM040-001 - SDK 188</v>
      </c>
    </row>
    <row r="209" spans="24:28">
      <c r="X209" s="11">
        <f t="shared" si="7"/>
        <v>0</v>
      </c>
      <c r="Y209" s="8">
        <v>189</v>
      </c>
      <c r="Z209" s="12">
        <f t="shared" si="8"/>
        <v>0</v>
      </c>
      <c r="AA209" s="8" t="s">
        <v>12</v>
      </c>
      <c r="AB209" s="8" t="str">
        <f t="shared" si="9"/>
        <v>PEM040-001 - SDK 189</v>
      </c>
    </row>
    <row r="210" spans="24:28">
      <c r="X210" s="11">
        <f t="shared" si="7"/>
        <v>0</v>
      </c>
      <c r="Y210" s="8">
        <v>190</v>
      </c>
      <c r="Z210" s="12">
        <f t="shared" si="8"/>
        <v>0</v>
      </c>
      <c r="AA210" s="8" t="s">
        <v>12</v>
      </c>
      <c r="AB210" s="8" t="str">
        <f t="shared" si="9"/>
        <v>PEM040-001 - SDK 190</v>
      </c>
    </row>
    <row r="211" spans="24:28">
      <c r="X211" s="11">
        <f t="shared" si="7"/>
        <v>0</v>
      </c>
      <c r="Y211" s="8">
        <v>191</v>
      </c>
      <c r="Z211" s="12">
        <f t="shared" si="8"/>
        <v>0</v>
      </c>
      <c r="AA211" s="8" t="s">
        <v>12</v>
      </c>
      <c r="AB211" s="8" t="str">
        <f t="shared" si="9"/>
        <v>PEM040-001 - SDK 191</v>
      </c>
    </row>
    <row r="212" spans="24:28">
      <c r="X212" s="11">
        <f t="shared" si="7"/>
        <v>0</v>
      </c>
      <c r="Y212" s="8">
        <v>192</v>
      </c>
      <c r="Z212" s="12">
        <f t="shared" si="8"/>
        <v>0</v>
      </c>
      <c r="AA212" s="8" t="s">
        <v>12</v>
      </c>
      <c r="AB212" s="8" t="str">
        <f t="shared" si="9"/>
        <v>PEM040-001 - SDK 192</v>
      </c>
    </row>
    <row r="213" spans="24:28">
      <c r="X213" s="11">
        <f t="shared" si="7"/>
        <v>0</v>
      </c>
      <c r="Y213" s="8">
        <v>193</v>
      </c>
      <c r="Z213" s="12">
        <f t="shared" si="8"/>
        <v>0</v>
      </c>
      <c r="AA213" s="8" t="s">
        <v>12</v>
      </c>
      <c r="AB213" s="8" t="str">
        <f t="shared" si="9"/>
        <v>PEM040-001 - SDK 193</v>
      </c>
    </row>
    <row r="214" spans="24:28">
      <c r="X214" s="11">
        <f t="shared" si="7"/>
        <v>0</v>
      </c>
      <c r="Y214" s="8">
        <v>194</v>
      </c>
      <c r="Z214" s="12">
        <f t="shared" si="8"/>
        <v>0</v>
      </c>
      <c r="AA214" s="8" t="s">
        <v>12</v>
      </c>
      <c r="AB214" s="8" t="str">
        <f t="shared" si="9"/>
        <v>PEM040-001 - SDK 194</v>
      </c>
    </row>
    <row r="215" spans="24:28">
      <c r="X215" s="11">
        <f t="shared" ref="X215:X278" si="10">$X$21</f>
        <v>0</v>
      </c>
      <c r="Y215" s="8">
        <v>195</v>
      </c>
      <c r="Z215" s="12">
        <f t="shared" ref="Z215:Z278" si="11">$Z$21</f>
        <v>0</v>
      </c>
      <c r="AA215" s="8" t="s">
        <v>12</v>
      </c>
      <c r="AB215" s="8" t="str">
        <f t="shared" si="9"/>
        <v>PEM040-001 - SDK 195</v>
      </c>
    </row>
    <row r="216" spans="24:28">
      <c r="X216" s="11">
        <f t="shared" si="10"/>
        <v>0</v>
      </c>
      <c r="Y216" s="8">
        <v>196</v>
      </c>
      <c r="Z216" s="12">
        <f t="shared" si="11"/>
        <v>0</v>
      </c>
      <c r="AA216" s="8" t="s">
        <v>12</v>
      </c>
      <c r="AB216" s="8" t="str">
        <f t="shared" si="9"/>
        <v>PEM040-001 - SDK 196</v>
      </c>
    </row>
    <row r="217" spans="24:28">
      <c r="X217" s="11">
        <f t="shared" si="10"/>
        <v>0</v>
      </c>
      <c r="Y217" s="8">
        <v>197</v>
      </c>
      <c r="Z217" s="12">
        <f t="shared" si="11"/>
        <v>0</v>
      </c>
      <c r="AA217" s="8" t="s">
        <v>12</v>
      </c>
      <c r="AB217" s="8" t="str">
        <f t="shared" si="9"/>
        <v>PEM040-001 - SDK 197</v>
      </c>
    </row>
    <row r="218" spans="24:28">
      <c r="X218" s="11">
        <f t="shared" si="10"/>
        <v>0</v>
      </c>
      <c r="Y218" s="8">
        <v>198</v>
      </c>
      <c r="Z218" s="12">
        <f t="shared" si="11"/>
        <v>0</v>
      </c>
      <c r="AA218" s="8" t="s">
        <v>12</v>
      </c>
      <c r="AB218" s="8" t="str">
        <f t="shared" si="9"/>
        <v>PEM040-001 - SDK 198</v>
      </c>
    </row>
    <row r="219" spans="24:28">
      <c r="X219" s="11">
        <f t="shared" si="10"/>
        <v>0</v>
      </c>
      <c r="Y219" s="8">
        <v>199</v>
      </c>
      <c r="Z219" s="12">
        <f t="shared" si="11"/>
        <v>0</v>
      </c>
      <c r="AA219" s="8" t="s">
        <v>12</v>
      </c>
      <c r="AB219" s="8" t="str">
        <f t="shared" si="9"/>
        <v>PEM040-001 - SDK 199</v>
      </c>
    </row>
    <row r="220" spans="24:28">
      <c r="X220" s="11">
        <f t="shared" si="10"/>
        <v>0</v>
      </c>
      <c r="Y220" s="8">
        <v>200</v>
      </c>
      <c r="Z220" s="12">
        <f t="shared" si="11"/>
        <v>0</v>
      </c>
      <c r="AA220" s="8" t="s">
        <v>12</v>
      </c>
      <c r="AB220" s="8" t="str">
        <f t="shared" si="9"/>
        <v>PEM040-001 - SDK 200</v>
      </c>
    </row>
    <row r="221" spans="24:28">
      <c r="X221" s="11">
        <f t="shared" si="10"/>
        <v>0</v>
      </c>
      <c r="Y221" s="8">
        <v>201</v>
      </c>
      <c r="Z221" s="12">
        <f t="shared" si="11"/>
        <v>0</v>
      </c>
      <c r="AA221" s="8" t="s">
        <v>12</v>
      </c>
      <c r="AB221" s="8" t="str">
        <f t="shared" si="9"/>
        <v>PEM040-001 - SDK 201</v>
      </c>
    </row>
    <row r="222" spans="24:28">
      <c r="X222" s="11">
        <f t="shared" si="10"/>
        <v>0</v>
      </c>
      <c r="Y222" s="8">
        <v>202</v>
      </c>
      <c r="Z222" s="12">
        <f t="shared" si="11"/>
        <v>0</v>
      </c>
      <c r="AA222" s="8" t="s">
        <v>12</v>
      </c>
      <c r="AB222" s="8" t="str">
        <f t="shared" si="9"/>
        <v>PEM040-001 - SDK 202</v>
      </c>
    </row>
    <row r="223" spans="24:28">
      <c r="X223" s="11">
        <f t="shared" si="10"/>
        <v>0</v>
      </c>
      <c r="Y223" s="8">
        <v>203</v>
      </c>
      <c r="Z223" s="12">
        <f t="shared" si="11"/>
        <v>0</v>
      </c>
      <c r="AA223" s="8" t="s">
        <v>12</v>
      </c>
      <c r="AB223" s="8" t="str">
        <f t="shared" si="9"/>
        <v>PEM040-001 - SDK 203</v>
      </c>
    </row>
    <row r="224" spans="24:28">
      <c r="X224" s="11">
        <f t="shared" si="10"/>
        <v>0</v>
      </c>
      <c r="Y224" s="8">
        <v>204</v>
      </c>
      <c r="Z224" s="12">
        <f t="shared" si="11"/>
        <v>0</v>
      </c>
      <c r="AA224" s="8" t="s">
        <v>12</v>
      </c>
      <c r="AB224" s="8" t="str">
        <f t="shared" si="9"/>
        <v>PEM040-001 - SDK 204</v>
      </c>
    </row>
    <row r="225" spans="24:28">
      <c r="X225" s="11">
        <f t="shared" si="10"/>
        <v>0</v>
      </c>
      <c r="Y225" s="8">
        <v>205</v>
      </c>
      <c r="Z225" s="12">
        <f t="shared" si="11"/>
        <v>0</v>
      </c>
      <c r="AA225" s="8" t="s">
        <v>12</v>
      </c>
      <c r="AB225" s="8" t="str">
        <f t="shared" si="9"/>
        <v>PEM040-001 - SDK 205</v>
      </c>
    </row>
    <row r="226" spans="24:28">
      <c r="X226" s="11">
        <f t="shared" si="10"/>
        <v>0</v>
      </c>
      <c r="Y226" s="8">
        <v>206</v>
      </c>
      <c r="Z226" s="12">
        <f t="shared" si="11"/>
        <v>0</v>
      </c>
      <c r="AA226" s="8" t="s">
        <v>12</v>
      </c>
      <c r="AB226" s="8" t="str">
        <f t="shared" si="9"/>
        <v>PEM040-001 - SDK 206</v>
      </c>
    </row>
    <row r="227" spans="24:28">
      <c r="X227" s="11">
        <f t="shared" si="10"/>
        <v>0</v>
      </c>
      <c r="Y227" s="8">
        <v>207</v>
      </c>
      <c r="Z227" s="12">
        <f t="shared" si="11"/>
        <v>0</v>
      </c>
      <c r="AA227" s="8" t="s">
        <v>12</v>
      </c>
      <c r="AB227" s="8" t="str">
        <f t="shared" si="9"/>
        <v>PEM040-001 - SDK 207</v>
      </c>
    </row>
    <row r="228" spans="24:28">
      <c r="X228" s="11">
        <f t="shared" si="10"/>
        <v>0</v>
      </c>
      <c r="Y228" s="8">
        <v>208</v>
      </c>
      <c r="Z228" s="12">
        <f t="shared" si="11"/>
        <v>0</v>
      </c>
      <c r="AA228" s="8" t="s">
        <v>12</v>
      </c>
      <c r="AB228" s="8" t="str">
        <f t="shared" si="9"/>
        <v>PEM040-001 - SDK 208</v>
      </c>
    </row>
    <row r="229" spans="24:28">
      <c r="X229" s="11">
        <f t="shared" si="10"/>
        <v>0</v>
      </c>
      <c r="Y229" s="8">
        <v>209</v>
      </c>
      <c r="Z229" s="12">
        <f t="shared" si="11"/>
        <v>0</v>
      </c>
      <c r="AA229" s="8" t="s">
        <v>12</v>
      </c>
      <c r="AB229" s="8" t="str">
        <f t="shared" si="9"/>
        <v>PEM040-001 - SDK 209</v>
      </c>
    </row>
    <row r="230" spans="24:28">
      <c r="X230" s="11">
        <f t="shared" si="10"/>
        <v>0</v>
      </c>
      <c r="Y230" s="8">
        <v>210</v>
      </c>
      <c r="Z230" s="12">
        <f t="shared" si="11"/>
        <v>0</v>
      </c>
      <c r="AA230" s="8" t="s">
        <v>12</v>
      </c>
      <c r="AB230" s="8" t="str">
        <f t="shared" si="9"/>
        <v>PEM040-001 - SDK 210</v>
      </c>
    </row>
    <row r="231" spans="24:28">
      <c r="X231" s="11">
        <f t="shared" si="10"/>
        <v>0</v>
      </c>
      <c r="Y231" s="8">
        <v>211</v>
      </c>
      <c r="Z231" s="12">
        <f t="shared" si="11"/>
        <v>0</v>
      </c>
      <c r="AA231" s="8" t="s">
        <v>12</v>
      </c>
      <c r="AB231" s="8" t="str">
        <f t="shared" si="9"/>
        <v>PEM040-001 - SDK 211</v>
      </c>
    </row>
    <row r="232" spans="24:28">
      <c r="X232" s="11">
        <f t="shared" si="10"/>
        <v>0</v>
      </c>
      <c r="Y232" s="8">
        <v>212</v>
      </c>
      <c r="Z232" s="12">
        <f t="shared" si="11"/>
        <v>0</v>
      </c>
      <c r="AA232" s="8" t="s">
        <v>12</v>
      </c>
      <c r="AB232" s="8" t="str">
        <f t="shared" si="9"/>
        <v>PEM040-001 - SDK 212</v>
      </c>
    </row>
    <row r="233" spans="24:28">
      <c r="X233" s="11">
        <f t="shared" si="10"/>
        <v>0</v>
      </c>
      <c r="Y233" s="8">
        <v>213</v>
      </c>
      <c r="Z233" s="12">
        <f t="shared" si="11"/>
        <v>0</v>
      </c>
      <c r="AA233" s="8" t="s">
        <v>12</v>
      </c>
      <c r="AB233" s="8" t="str">
        <f t="shared" si="9"/>
        <v>PEM040-001 - SDK 213</v>
      </c>
    </row>
    <row r="234" spans="24:28">
      <c r="X234" s="11">
        <f t="shared" si="10"/>
        <v>0</v>
      </c>
      <c r="Y234" s="8">
        <v>214</v>
      </c>
      <c r="Z234" s="12">
        <f t="shared" si="11"/>
        <v>0</v>
      </c>
      <c r="AA234" s="8" t="s">
        <v>12</v>
      </c>
      <c r="AB234" s="8" t="str">
        <f t="shared" si="9"/>
        <v>PEM040-001 - SDK 214</v>
      </c>
    </row>
    <row r="235" spans="24:28">
      <c r="X235" s="11">
        <f t="shared" si="10"/>
        <v>0</v>
      </c>
      <c r="Y235" s="8">
        <v>215</v>
      </c>
      <c r="Z235" s="12">
        <f t="shared" si="11"/>
        <v>0</v>
      </c>
      <c r="AA235" s="8" t="s">
        <v>12</v>
      </c>
      <c r="AB235" s="8" t="str">
        <f t="shared" si="9"/>
        <v>PEM040-001 - SDK 215</v>
      </c>
    </row>
    <row r="236" spans="24:28">
      <c r="X236" s="11">
        <f t="shared" si="10"/>
        <v>0</v>
      </c>
      <c r="Y236" s="8">
        <v>216</v>
      </c>
      <c r="Z236" s="12">
        <f t="shared" si="11"/>
        <v>0</v>
      </c>
      <c r="AA236" s="8" t="s">
        <v>12</v>
      </c>
      <c r="AB236" s="8" t="str">
        <f t="shared" si="9"/>
        <v>PEM040-001 - SDK 216</v>
      </c>
    </row>
    <row r="237" spans="24:28">
      <c r="X237" s="11">
        <f t="shared" si="10"/>
        <v>0</v>
      </c>
      <c r="Y237" s="8">
        <v>217</v>
      </c>
      <c r="Z237" s="12">
        <f t="shared" si="11"/>
        <v>0</v>
      </c>
      <c r="AA237" s="8" t="s">
        <v>12</v>
      </c>
      <c r="AB237" s="8" t="str">
        <f t="shared" si="9"/>
        <v>PEM040-001 - SDK 217</v>
      </c>
    </row>
    <row r="238" spans="24:28">
      <c r="X238" s="11">
        <f t="shared" si="10"/>
        <v>0</v>
      </c>
      <c r="Y238" s="8">
        <v>218</v>
      </c>
      <c r="Z238" s="12">
        <f t="shared" si="11"/>
        <v>0</v>
      </c>
      <c r="AA238" s="8" t="s">
        <v>12</v>
      </c>
      <c r="AB238" s="8" t="str">
        <f t="shared" si="9"/>
        <v>PEM040-001 - SDK 218</v>
      </c>
    </row>
    <row r="239" spans="24:28">
      <c r="X239" s="11">
        <f t="shared" si="10"/>
        <v>0</v>
      </c>
      <c r="Y239" s="8">
        <v>219</v>
      </c>
      <c r="Z239" s="12">
        <f t="shared" si="11"/>
        <v>0</v>
      </c>
      <c r="AA239" s="8" t="s">
        <v>12</v>
      </c>
      <c r="AB239" s="8" t="str">
        <f t="shared" si="9"/>
        <v>PEM040-001 - SDK 219</v>
      </c>
    </row>
    <row r="240" spans="24:28">
      <c r="X240" s="11">
        <f t="shared" si="10"/>
        <v>0</v>
      </c>
      <c r="Y240" s="8">
        <v>220</v>
      </c>
      <c r="Z240" s="12">
        <f t="shared" si="11"/>
        <v>0</v>
      </c>
      <c r="AA240" s="8" t="s">
        <v>12</v>
      </c>
      <c r="AB240" s="8" t="str">
        <f t="shared" si="9"/>
        <v>PEM040-001 - SDK 220</v>
      </c>
    </row>
    <row r="241" spans="24:28">
      <c r="X241" s="11">
        <f t="shared" si="10"/>
        <v>0</v>
      </c>
      <c r="Y241" s="8">
        <v>221</v>
      </c>
      <c r="Z241" s="12">
        <f t="shared" si="11"/>
        <v>0</v>
      </c>
      <c r="AA241" s="8" t="s">
        <v>12</v>
      </c>
      <c r="AB241" s="8" t="str">
        <f t="shared" si="9"/>
        <v>PEM040-001 - SDK 221</v>
      </c>
    </row>
    <row r="242" spans="24:28">
      <c r="X242" s="11">
        <f t="shared" si="10"/>
        <v>0</v>
      </c>
      <c r="Y242" s="8">
        <v>222</v>
      </c>
      <c r="Z242" s="12">
        <f t="shared" si="11"/>
        <v>0</v>
      </c>
      <c r="AA242" s="8" t="s">
        <v>12</v>
      </c>
      <c r="AB242" s="8" t="str">
        <f t="shared" si="9"/>
        <v>PEM040-001 - SDK 222</v>
      </c>
    </row>
    <row r="243" spans="24:28">
      <c r="X243" s="11">
        <f t="shared" si="10"/>
        <v>0</v>
      </c>
      <c r="Y243" s="8">
        <v>223</v>
      </c>
      <c r="Z243" s="12">
        <f t="shared" si="11"/>
        <v>0</v>
      </c>
      <c r="AA243" s="8" t="s">
        <v>12</v>
      </c>
      <c r="AB243" s="8" t="str">
        <f t="shared" si="9"/>
        <v>PEM040-001 - SDK 223</v>
      </c>
    </row>
    <row r="244" spans="24:28">
      <c r="X244" s="11">
        <f t="shared" si="10"/>
        <v>0</v>
      </c>
      <c r="Y244" s="8">
        <v>224</v>
      </c>
      <c r="Z244" s="12">
        <f t="shared" si="11"/>
        <v>0</v>
      </c>
      <c r="AA244" s="8" t="s">
        <v>12</v>
      </c>
      <c r="AB244" s="8" t="str">
        <f t="shared" si="9"/>
        <v>PEM040-001 - SDK 224</v>
      </c>
    </row>
    <row r="245" spans="24:28">
      <c r="X245" s="11">
        <f t="shared" si="10"/>
        <v>0</v>
      </c>
      <c r="Y245" s="8">
        <v>225</v>
      </c>
      <c r="Z245" s="12">
        <f t="shared" si="11"/>
        <v>0</v>
      </c>
      <c r="AA245" s="8" t="s">
        <v>12</v>
      </c>
      <c r="AB245" s="8" t="str">
        <f t="shared" si="9"/>
        <v>PEM040-001 - SDK 225</v>
      </c>
    </row>
    <row r="246" spans="24:28">
      <c r="X246" s="11">
        <f t="shared" si="10"/>
        <v>0</v>
      </c>
      <c r="Y246" s="8">
        <v>226</v>
      </c>
      <c r="Z246" s="12">
        <f t="shared" si="11"/>
        <v>0</v>
      </c>
      <c r="AA246" s="8" t="s">
        <v>12</v>
      </c>
      <c r="AB246" s="8" t="str">
        <f t="shared" si="9"/>
        <v>PEM040-001 - SDK 226</v>
      </c>
    </row>
    <row r="247" spans="24:28">
      <c r="X247" s="11">
        <f t="shared" si="10"/>
        <v>0</v>
      </c>
      <c r="Y247" s="8">
        <v>227</v>
      </c>
      <c r="Z247" s="12">
        <f t="shared" si="11"/>
        <v>0</v>
      </c>
      <c r="AA247" s="8" t="s">
        <v>12</v>
      </c>
      <c r="AB247" s="8" t="str">
        <f t="shared" si="9"/>
        <v>PEM040-001 - SDK 227</v>
      </c>
    </row>
    <row r="248" spans="24:28">
      <c r="X248" s="11">
        <f t="shared" si="10"/>
        <v>0</v>
      </c>
      <c r="Y248" s="8">
        <v>228</v>
      </c>
      <c r="Z248" s="12">
        <f t="shared" si="11"/>
        <v>0</v>
      </c>
      <c r="AA248" s="8" t="s">
        <v>12</v>
      </c>
      <c r="AB248" s="8" t="str">
        <f t="shared" si="9"/>
        <v>PEM040-001 - SDK 228</v>
      </c>
    </row>
    <row r="249" spans="24:28">
      <c r="X249" s="11">
        <f t="shared" si="10"/>
        <v>0</v>
      </c>
      <c r="Y249" s="8">
        <v>229</v>
      </c>
      <c r="Z249" s="12">
        <f t="shared" si="11"/>
        <v>0</v>
      </c>
      <c r="AA249" s="8" t="s">
        <v>12</v>
      </c>
      <c r="AB249" s="8" t="str">
        <f t="shared" ref="AB249:AB312" si="12">$I$8&amp;" - SDK "&amp;Y249</f>
        <v>PEM040-001 - SDK 229</v>
      </c>
    </row>
    <row r="250" spans="24:28">
      <c r="X250" s="11">
        <f t="shared" si="10"/>
        <v>0</v>
      </c>
      <c r="Y250" s="8">
        <v>230</v>
      </c>
      <c r="Z250" s="12">
        <f t="shared" si="11"/>
        <v>0</v>
      </c>
      <c r="AA250" s="8" t="s">
        <v>12</v>
      </c>
      <c r="AB250" s="8" t="str">
        <f t="shared" si="12"/>
        <v>PEM040-001 - SDK 230</v>
      </c>
    </row>
    <row r="251" spans="24:28">
      <c r="X251" s="11">
        <f t="shared" si="10"/>
        <v>0</v>
      </c>
      <c r="Y251" s="8">
        <v>231</v>
      </c>
      <c r="Z251" s="12">
        <f t="shared" si="11"/>
        <v>0</v>
      </c>
      <c r="AA251" s="8" t="s">
        <v>12</v>
      </c>
      <c r="AB251" s="8" t="str">
        <f t="shared" si="12"/>
        <v>PEM040-001 - SDK 231</v>
      </c>
    </row>
    <row r="252" spans="24:28">
      <c r="X252" s="11">
        <f t="shared" si="10"/>
        <v>0</v>
      </c>
      <c r="Y252" s="8">
        <v>232</v>
      </c>
      <c r="Z252" s="12">
        <f t="shared" si="11"/>
        <v>0</v>
      </c>
      <c r="AA252" s="8" t="s">
        <v>12</v>
      </c>
      <c r="AB252" s="8" t="str">
        <f t="shared" si="12"/>
        <v>PEM040-001 - SDK 232</v>
      </c>
    </row>
    <row r="253" spans="24:28">
      <c r="X253" s="11">
        <f t="shared" si="10"/>
        <v>0</v>
      </c>
      <c r="Y253" s="8">
        <v>233</v>
      </c>
      <c r="Z253" s="12">
        <f t="shared" si="11"/>
        <v>0</v>
      </c>
      <c r="AA253" s="8" t="s">
        <v>12</v>
      </c>
      <c r="AB253" s="8" t="str">
        <f t="shared" si="12"/>
        <v>PEM040-001 - SDK 233</v>
      </c>
    </row>
    <row r="254" spans="24:28">
      <c r="X254" s="11">
        <f t="shared" si="10"/>
        <v>0</v>
      </c>
      <c r="Y254" s="8">
        <v>234</v>
      </c>
      <c r="Z254" s="12">
        <f t="shared" si="11"/>
        <v>0</v>
      </c>
      <c r="AA254" s="8" t="s">
        <v>12</v>
      </c>
      <c r="AB254" s="8" t="str">
        <f t="shared" si="12"/>
        <v>PEM040-001 - SDK 234</v>
      </c>
    </row>
    <row r="255" spans="24:28">
      <c r="X255" s="11">
        <f t="shared" si="10"/>
        <v>0</v>
      </c>
      <c r="Y255" s="8">
        <v>235</v>
      </c>
      <c r="Z255" s="12">
        <f t="shared" si="11"/>
        <v>0</v>
      </c>
      <c r="AA255" s="8" t="s">
        <v>12</v>
      </c>
      <c r="AB255" s="8" t="str">
        <f t="shared" si="12"/>
        <v>PEM040-001 - SDK 235</v>
      </c>
    </row>
    <row r="256" spans="24:28">
      <c r="X256" s="11">
        <f t="shared" si="10"/>
        <v>0</v>
      </c>
      <c r="Y256" s="8">
        <v>236</v>
      </c>
      <c r="Z256" s="12">
        <f t="shared" si="11"/>
        <v>0</v>
      </c>
      <c r="AA256" s="8" t="s">
        <v>12</v>
      </c>
      <c r="AB256" s="8" t="str">
        <f t="shared" si="12"/>
        <v>PEM040-001 - SDK 236</v>
      </c>
    </row>
    <row r="257" spans="24:28">
      <c r="X257" s="11">
        <f t="shared" si="10"/>
        <v>0</v>
      </c>
      <c r="Y257" s="8">
        <v>237</v>
      </c>
      <c r="Z257" s="12">
        <f t="shared" si="11"/>
        <v>0</v>
      </c>
      <c r="AA257" s="8" t="s">
        <v>12</v>
      </c>
      <c r="AB257" s="8" t="str">
        <f t="shared" si="12"/>
        <v>PEM040-001 - SDK 237</v>
      </c>
    </row>
    <row r="258" spans="24:28">
      <c r="X258" s="11">
        <f t="shared" si="10"/>
        <v>0</v>
      </c>
      <c r="Y258" s="8">
        <v>238</v>
      </c>
      <c r="Z258" s="12">
        <f t="shared" si="11"/>
        <v>0</v>
      </c>
      <c r="AA258" s="8" t="s">
        <v>12</v>
      </c>
      <c r="AB258" s="8" t="str">
        <f t="shared" si="12"/>
        <v>PEM040-001 - SDK 238</v>
      </c>
    </row>
    <row r="259" spans="24:28">
      <c r="X259" s="11">
        <f t="shared" si="10"/>
        <v>0</v>
      </c>
      <c r="Y259" s="8">
        <v>239</v>
      </c>
      <c r="Z259" s="12">
        <f t="shared" si="11"/>
        <v>0</v>
      </c>
      <c r="AA259" s="8" t="s">
        <v>12</v>
      </c>
      <c r="AB259" s="8" t="str">
        <f t="shared" si="12"/>
        <v>PEM040-001 - SDK 239</v>
      </c>
    </row>
    <row r="260" spans="24:28">
      <c r="X260" s="11">
        <f t="shared" si="10"/>
        <v>0</v>
      </c>
      <c r="Y260" s="8">
        <v>240</v>
      </c>
      <c r="Z260" s="12">
        <f t="shared" si="11"/>
        <v>0</v>
      </c>
      <c r="AA260" s="8" t="s">
        <v>12</v>
      </c>
      <c r="AB260" s="8" t="str">
        <f t="shared" si="12"/>
        <v>PEM040-001 - SDK 240</v>
      </c>
    </row>
    <row r="261" spans="24:28">
      <c r="X261" s="11">
        <f t="shared" si="10"/>
        <v>0</v>
      </c>
      <c r="Y261" s="8">
        <v>241</v>
      </c>
      <c r="Z261" s="12">
        <f t="shared" si="11"/>
        <v>0</v>
      </c>
      <c r="AA261" s="8" t="s">
        <v>12</v>
      </c>
      <c r="AB261" s="8" t="str">
        <f t="shared" si="12"/>
        <v>PEM040-001 - SDK 241</v>
      </c>
    </row>
    <row r="262" spans="24:28">
      <c r="X262" s="11">
        <f t="shared" si="10"/>
        <v>0</v>
      </c>
      <c r="Y262" s="8">
        <v>242</v>
      </c>
      <c r="Z262" s="12">
        <f t="shared" si="11"/>
        <v>0</v>
      </c>
      <c r="AA262" s="8" t="s">
        <v>12</v>
      </c>
      <c r="AB262" s="8" t="str">
        <f t="shared" si="12"/>
        <v>PEM040-001 - SDK 242</v>
      </c>
    </row>
    <row r="263" spans="24:28">
      <c r="X263" s="11">
        <f t="shared" si="10"/>
        <v>0</v>
      </c>
      <c r="Y263" s="8">
        <v>243</v>
      </c>
      <c r="Z263" s="12">
        <f t="shared" si="11"/>
        <v>0</v>
      </c>
      <c r="AA263" s="8" t="s">
        <v>12</v>
      </c>
      <c r="AB263" s="8" t="str">
        <f t="shared" si="12"/>
        <v>PEM040-001 - SDK 243</v>
      </c>
    </row>
    <row r="264" spans="24:28">
      <c r="X264" s="11">
        <f t="shared" si="10"/>
        <v>0</v>
      </c>
      <c r="Y264" s="8">
        <v>244</v>
      </c>
      <c r="Z264" s="12">
        <f t="shared" si="11"/>
        <v>0</v>
      </c>
      <c r="AA264" s="8" t="s">
        <v>12</v>
      </c>
      <c r="AB264" s="8" t="str">
        <f t="shared" si="12"/>
        <v>PEM040-001 - SDK 244</v>
      </c>
    </row>
    <row r="265" spans="24:28">
      <c r="X265" s="11">
        <f t="shared" si="10"/>
        <v>0</v>
      </c>
      <c r="Y265" s="8">
        <v>245</v>
      </c>
      <c r="Z265" s="12">
        <f t="shared" si="11"/>
        <v>0</v>
      </c>
      <c r="AA265" s="8" t="s">
        <v>12</v>
      </c>
      <c r="AB265" s="8" t="str">
        <f t="shared" si="12"/>
        <v>PEM040-001 - SDK 245</v>
      </c>
    </row>
    <row r="266" spans="24:28">
      <c r="X266" s="11">
        <f t="shared" si="10"/>
        <v>0</v>
      </c>
      <c r="Y266" s="8">
        <v>246</v>
      </c>
      <c r="Z266" s="12">
        <f t="shared" si="11"/>
        <v>0</v>
      </c>
      <c r="AA266" s="8" t="s">
        <v>12</v>
      </c>
      <c r="AB266" s="8" t="str">
        <f t="shared" si="12"/>
        <v>PEM040-001 - SDK 246</v>
      </c>
    </row>
    <row r="267" spans="24:28">
      <c r="X267" s="11">
        <f t="shared" si="10"/>
        <v>0</v>
      </c>
      <c r="Y267" s="8">
        <v>247</v>
      </c>
      <c r="Z267" s="12">
        <f t="shared" si="11"/>
        <v>0</v>
      </c>
      <c r="AA267" s="8" t="s">
        <v>12</v>
      </c>
      <c r="AB267" s="8" t="str">
        <f t="shared" si="12"/>
        <v>PEM040-001 - SDK 247</v>
      </c>
    </row>
    <row r="268" spans="24:28">
      <c r="X268" s="11">
        <f t="shared" si="10"/>
        <v>0</v>
      </c>
      <c r="Y268" s="8">
        <v>248</v>
      </c>
      <c r="Z268" s="12">
        <f t="shared" si="11"/>
        <v>0</v>
      </c>
      <c r="AA268" s="8" t="s">
        <v>12</v>
      </c>
      <c r="AB268" s="8" t="str">
        <f t="shared" si="12"/>
        <v>PEM040-001 - SDK 248</v>
      </c>
    </row>
    <row r="269" spans="24:28">
      <c r="X269" s="11">
        <f t="shared" si="10"/>
        <v>0</v>
      </c>
      <c r="Y269" s="8">
        <v>249</v>
      </c>
      <c r="Z269" s="12">
        <f t="shared" si="11"/>
        <v>0</v>
      </c>
      <c r="AA269" s="8" t="s">
        <v>12</v>
      </c>
      <c r="AB269" s="8" t="str">
        <f t="shared" si="12"/>
        <v>PEM040-001 - SDK 249</v>
      </c>
    </row>
    <row r="270" spans="24:28">
      <c r="X270" s="11">
        <f t="shared" si="10"/>
        <v>0</v>
      </c>
      <c r="Y270" s="8">
        <v>250</v>
      </c>
      <c r="Z270" s="12">
        <f t="shared" si="11"/>
        <v>0</v>
      </c>
      <c r="AA270" s="8" t="s">
        <v>12</v>
      </c>
      <c r="AB270" s="8" t="str">
        <f t="shared" si="12"/>
        <v>PEM040-001 - SDK 250</v>
      </c>
    </row>
    <row r="271" spans="24:28">
      <c r="X271" s="11">
        <f t="shared" si="10"/>
        <v>0</v>
      </c>
      <c r="Y271" s="8">
        <v>251</v>
      </c>
      <c r="Z271" s="12">
        <f t="shared" si="11"/>
        <v>0</v>
      </c>
      <c r="AA271" s="8" t="s">
        <v>12</v>
      </c>
      <c r="AB271" s="8" t="str">
        <f t="shared" si="12"/>
        <v>PEM040-001 - SDK 251</v>
      </c>
    </row>
    <row r="272" spans="24:28">
      <c r="X272" s="11">
        <f t="shared" si="10"/>
        <v>0</v>
      </c>
      <c r="Y272" s="8">
        <v>252</v>
      </c>
      <c r="Z272" s="12">
        <f t="shared" si="11"/>
        <v>0</v>
      </c>
      <c r="AA272" s="8" t="s">
        <v>12</v>
      </c>
      <c r="AB272" s="8" t="str">
        <f t="shared" si="12"/>
        <v>PEM040-001 - SDK 252</v>
      </c>
    </row>
    <row r="273" spans="24:28">
      <c r="X273" s="11">
        <f t="shared" si="10"/>
        <v>0</v>
      </c>
      <c r="Y273" s="8">
        <v>253</v>
      </c>
      <c r="Z273" s="12">
        <f t="shared" si="11"/>
        <v>0</v>
      </c>
      <c r="AA273" s="8" t="s">
        <v>12</v>
      </c>
      <c r="AB273" s="8" t="str">
        <f t="shared" si="12"/>
        <v>PEM040-001 - SDK 253</v>
      </c>
    </row>
    <row r="274" spans="24:28">
      <c r="X274" s="11">
        <f t="shared" si="10"/>
        <v>0</v>
      </c>
      <c r="Y274" s="8">
        <v>254</v>
      </c>
      <c r="Z274" s="12">
        <f t="shared" si="11"/>
        <v>0</v>
      </c>
      <c r="AA274" s="8" t="s">
        <v>12</v>
      </c>
      <c r="AB274" s="8" t="str">
        <f t="shared" si="12"/>
        <v>PEM040-001 - SDK 254</v>
      </c>
    </row>
    <row r="275" spans="24:28">
      <c r="X275" s="11">
        <f t="shared" si="10"/>
        <v>0</v>
      </c>
      <c r="Y275" s="8">
        <v>255</v>
      </c>
      <c r="Z275" s="12">
        <f t="shared" si="11"/>
        <v>0</v>
      </c>
      <c r="AA275" s="8" t="s">
        <v>12</v>
      </c>
      <c r="AB275" s="8" t="str">
        <f t="shared" si="12"/>
        <v>PEM040-001 - SDK 255</v>
      </c>
    </row>
    <row r="276" spans="24:28">
      <c r="X276" s="11">
        <f t="shared" si="10"/>
        <v>0</v>
      </c>
      <c r="Y276" s="8">
        <v>256</v>
      </c>
      <c r="Z276" s="12">
        <f t="shared" si="11"/>
        <v>0</v>
      </c>
      <c r="AA276" s="8" t="s">
        <v>12</v>
      </c>
      <c r="AB276" s="8" t="str">
        <f t="shared" si="12"/>
        <v>PEM040-001 - SDK 256</v>
      </c>
    </row>
    <row r="277" spans="24:28">
      <c r="X277" s="11">
        <f t="shared" si="10"/>
        <v>0</v>
      </c>
      <c r="Y277" s="8">
        <v>257</v>
      </c>
      <c r="Z277" s="12">
        <f t="shared" si="11"/>
        <v>0</v>
      </c>
      <c r="AA277" s="8" t="s">
        <v>12</v>
      </c>
      <c r="AB277" s="8" t="str">
        <f t="shared" si="12"/>
        <v>PEM040-001 - SDK 257</v>
      </c>
    </row>
    <row r="278" spans="24:28">
      <c r="X278" s="11">
        <f t="shared" si="10"/>
        <v>0</v>
      </c>
      <c r="Y278" s="8">
        <v>258</v>
      </c>
      <c r="Z278" s="12">
        <f t="shared" si="11"/>
        <v>0</v>
      </c>
      <c r="AA278" s="8" t="s">
        <v>12</v>
      </c>
      <c r="AB278" s="8" t="str">
        <f t="shared" si="12"/>
        <v>PEM040-001 - SDK 258</v>
      </c>
    </row>
    <row r="279" spans="24:28">
      <c r="X279" s="11">
        <f t="shared" ref="X279:X342" si="13">$X$21</f>
        <v>0</v>
      </c>
      <c r="Y279" s="8">
        <v>259</v>
      </c>
      <c r="Z279" s="12">
        <f t="shared" ref="Z279:Z342" si="14">$Z$21</f>
        <v>0</v>
      </c>
      <c r="AA279" s="8" t="s">
        <v>12</v>
      </c>
      <c r="AB279" s="8" t="str">
        <f t="shared" si="12"/>
        <v>PEM040-001 - SDK 259</v>
      </c>
    </row>
    <row r="280" spans="24:28">
      <c r="X280" s="11">
        <f t="shared" si="13"/>
        <v>0</v>
      </c>
      <c r="Y280" s="8">
        <v>260</v>
      </c>
      <c r="Z280" s="12">
        <f t="shared" si="14"/>
        <v>0</v>
      </c>
      <c r="AA280" s="8" t="s">
        <v>12</v>
      </c>
      <c r="AB280" s="8" t="str">
        <f t="shared" si="12"/>
        <v>PEM040-001 - SDK 260</v>
      </c>
    </row>
    <row r="281" spans="24:28">
      <c r="X281" s="11">
        <f t="shared" si="13"/>
        <v>0</v>
      </c>
      <c r="Y281" s="8">
        <v>261</v>
      </c>
      <c r="Z281" s="12">
        <f t="shared" si="14"/>
        <v>0</v>
      </c>
      <c r="AA281" s="8" t="s">
        <v>12</v>
      </c>
      <c r="AB281" s="8" t="str">
        <f t="shared" si="12"/>
        <v>PEM040-001 - SDK 261</v>
      </c>
    </row>
    <row r="282" spans="24:28">
      <c r="X282" s="11">
        <f t="shared" si="13"/>
        <v>0</v>
      </c>
      <c r="Y282" s="8">
        <v>262</v>
      </c>
      <c r="Z282" s="12">
        <f t="shared" si="14"/>
        <v>0</v>
      </c>
      <c r="AA282" s="8" t="s">
        <v>12</v>
      </c>
      <c r="AB282" s="8" t="str">
        <f t="shared" si="12"/>
        <v>PEM040-001 - SDK 262</v>
      </c>
    </row>
    <row r="283" spans="24:28">
      <c r="X283" s="11">
        <f t="shared" si="13"/>
        <v>0</v>
      </c>
      <c r="Y283" s="8">
        <v>263</v>
      </c>
      <c r="Z283" s="12">
        <f t="shared" si="14"/>
        <v>0</v>
      </c>
      <c r="AA283" s="8" t="s">
        <v>12</v>
      </c>
      <c r="AB283" s="8" t="str">
        <f t="shared" si="12"/>
        <v>PEM040-001 - SDK 263</v>
      </c>
    </row>
    <row r="284" spans="24:28">
      <c r="X284" s="11">
        <f t="shared" si="13"/>
        <v>0</v>
      </c>
      <c r="Y284" s="8">
        <v>264</v>
      </c>
      <c r="Z284" s="12">
        <f t="shared" si="14"/>
        <v>0</v>
      </c>
      <c r="AA284" s="8" t="s">
        <v>12</v>
      </c>
      <c r="AB284" s="8" t="str">
        <f t="shared" si="12"/>
        <v>PEM040-001 - SDK 264</v>
      </c>
    </row>
    <row r="285" spans="24:28">
      <c r="X285" s="11">
        <f t="shared" si="13"/>
        <v>0</v>
      </c>
      <c r="Y285" s="8">
        <v>265</v>
      </c>
      <c r="Z285" s="12">
        <f t="shared" si="14"/>
        <v>0</v>
      </c>
      <c r="AA285" s="8" t="s">
        <v>12</v>
      </c>
      <c r="AB285" s="8" t="str">
        <f t="shared" si="12"/>
        <v>PEM040-001 - SDK 265</v>
      </c>
    </row>
    <row r="286" spans="24:28">
      <c r="X286" s="11">
        <f t="shared" si="13"/>
        <v>0</v>
      </c>
      <c r="Y286" s="8">
        <v>266</v>
      </c>
      <c r="Z286" s="12">
        <f t="shared" si="14"/>
        <v>0</v>
      </c>
      <c r="AA286" s="8" t="s">
        <v>12</v>
      </c>
      <c r="AB286" s="8" t="str">
        <f t="shared" si="12"/>
        <v>PEM040-001 - SDK 266</v>
      </c>
    </row>
    <row r="287" spans="24:28">
      <c r="X287" s="11">
        <f t="shared" si="13"/>
        <v>0</v>
      </c>
      <c r="Y287" s="8">
        <v>267</v>
      </c>
      <c r="Z287" s="12">
        <f t="shared" si="14"/>
        <v>0</v>
      </c>
      <c r="AA287" s="8" t="s">
        <v>12</v>
      </c>
      <c r="AB287" s="8" t="str">
        <f t="shared" si="12"/>
        <v>PEM040-001 - SDK 267</v>
      </c>
    </row>
    <row r="288" spans="24:28">
      <c r="X288" s="11">
        <f t="shared" si="13"/>
        <v>0</v>
      </c>
      <c r="Y288" s="8">
        <v>268</v>
      </c>
      <c r="Z288" s="12">
        <f t="shared" si="14"/>
        <v>0</v>
      </c>
      <c r="AA288" s="8" t="s">
        <v>12</v>
      </c>
      <c r="AB288" s="8" t="str">
        <f t="shared" si="12"/>
        <v>PEM040-001 - SDK 268</v>
      </c>
    </row>
    <row r="289" spans="24:28">
      <c r="X289" s="11">
        <f t="shared" si="13"/>
        <v>0</v>
      </c>
      <c r="Y289" s="8">
        <v>269</v>
      </c>
      <c r="Z289" s="12">
        <f t="shared" si="14"/>
        <v>0</v>
      </c>
      <c r="AA289" s="8" t="s">
        <v>12</v>
      </c>
      <c r="AB289" s="8" t="str">
        <f t="shared" si="12"/>
        <v>PEM040-001 - SDK 269</v>
      </c>
    </row>
    <row r="290" spans="24:28">
      <c r="X290" s="11">
        <f t="shared" si="13"/>
        <v>0</v>
      </c>
      <c r="Y290" s="8">
        <v>270</v>
      </c>
      <c r="Z290" s="12">
        <f t="shared" si="14"/>
        <v>0</v>
      </c>
      <c r="AA290" s="8" t="s">
        <v>12</v>
      </c>
      <c r="AB290" s="8" t="str">
        <f t="shared" si="12"/>
        <v>PEM040-001 - SDK 270</v>
      </c>
    </row>
    <row r="291" spans="24:28">
      <c r="X291" s="11">
        <f t="shared" si="13"/>
        <v>0</v>
      </c>
      <c r="Y291" s="8">
        <v>271</v>
      </c>
      <c r="Z291" s="12">
        <f t="shared" si="14"/>
        <v>0</v>
      </c>
      <c r="AA291" s="8" t="s">
        <v>12</v>
      </c>
      <c r="AB291" s="8" t="str">
        <f t="shared" si="12"/>
        <v>PEM040-001 - SDK 271</v>
      </c>
    </row>
    <row r="292" spans="24:28">
      <c r="X292" s="11">
        <f t="shared" si="13"/>
        <v>0</v>
      </c>
      <c r="Y292" s="8">
        <v>272</v>
      </c>
      <c r="Z292" s="12">
        <f t="shared" si="14"/>
        <v>0</v>
      </c>
      <c r="AA292" s="8" t="s">
        <v>12</v>
      </c>
      <c r="AB292" s="8" t="str">
        <f t="shared" si="12"/>
        <v>PEM040-001 - SDK 272</v>
      </c>
    </row>
    <row r="293" spans="24:28">
      <c r="X293" s="11">
        <f t="shared" si="13"/>
        <v>0</v>
      </c>
      <c r="Y293" s="8">
        <v>273</v>
      </c>
      <c r="Z293" s="12">
        <f t="shared" si="14"/>
        <v>0</v>
      </c>
      <c r="AA293" s="8" t="s">
        <v>12</v>
      </c>
      <c r="AB293" s="8" t="str">
        <f t="shared" si="12"/>
        <v>PEM040-001 - SDK 273</v>
      </c>
    </row>
    <row r="294" spans="24:28">
      <c r="X294" s="11">
        <f t="shared" si="13"/>
        <v>0</v>
      </c>
      <c r="Y294" s="8">
        <v>274</v>
      </c>
      <c r="Z294" s="12">
        <f t="shared" si="14"/>
        <v>0</v>
      </c>
      <c r="AA294" s="8" t="s">
        <v>12</v>
      </c>
      <c r="AB294" s="8" t="str">
        <f t="shared" si="12"/>
        <v>PEM040-001 - SDK 274</v>
      </c>
    </row>
    <row r="295" spans="24:28">
      <c r="X295" s="11">
        <f t="shared" si="13"/>
        <v>0</v>
      </c>
      <c r="Y295" s="8">
        <v>275</v>
      </c>
      <c r="Z295" s="12">
        <f t="shared" si="14"/>
        <v>0</v>
      </c>
      <c r="AA295" s="8" t="s">
        <v>12</v>
      </c>
      <c r="AB295" s="8" t="str">
        <f t="shared" si="12"/>
        <v>PEM040-001 - SDK 275</v>
      </c>
    </row>
    <row r="296" spans="24:28">
      <c r="X296" s="11">
        <f t="shared" si="13"/>
        <v>0</v>
      </c>
      <c r="Y296" s="8">
        <v>276</v>
      </c>
      <c r="Z296" s="12">
        <f t="shared" si="14"/>
        <v>0</v>
      </c>
      <c r="AA296" s="8" t="s">
        <v>12</v>
      </c>
      <c r="AB296" s="8" t="str">
        <f t="shared" si="12"/>
        <v>PEM040-001 - SDK 276</v>
      </c>
    </row>
    <row r="297" spans="24:28">
      <c r="X297" s="11">
        <f t="shared" si="13"/>
        <v>0</v>
      </c>
      <c r="Y297" s="8">
        <v>277</v>
      </c>
      <c r="Z297" s="12">
        <f t="shared" si="14"/>
        <v>0</v>
      </c>
      <c r="AA297" s="8" t="s">
        <v>12</v>
      </c>
      <c r="AB297" s="8" t="str">
        <f t="shared" si="12"/>
        <v>PEM040-001 - SDK 277</v>
      </c>
    </row>
    <row r="298" spans="24:28">
      <c r="X298" s="11">
        <f t="shared" si="13"/>
        <v>0</v>
      </c>
      <c r="Y298" s="8">
        <v>278</v>
      </c>
      <c r="Z298" s="12">
        <f t="shared" si="14"/>
        <v>0</v>
      </c>
      <c r="AA298" s="8" t="s">
        <v>12</v>
      </c>
      <c r="AB298" s="8" t="str">
        <f t="shared" si="12"/>
        <v>PEM040-001 - SDK 278</v>
      </c>
    </row>
    <row r="299" spans="24:28">
      <c r="X299" s="11">
        <f t="shared" si="13"/>
        <v>0</v>
      </c>
      <c r="Y299" s="8">
        <v>279</v>
      </c>
      <c r="Z299" s="12">
        <f t="shared" si="14"/>
        <v>0</v>
      </c>
      <c r="AA299" s="8" t="s">
        <v>12</v>
      </c>
      <c r="AB299" s="8" t="str">
        <f t="shared" si="12"/>
        <v>PEM040-001 - SDK 279</v>
      </c>
    </row>
    <row r="300" spans="24:28">
      <c r="X300" s="11">
        <f t="shared" si="13"/>
        <v>0</v>
      </c>
      <c r="Y300" s="8">
        <v>280</v>
      </c>
      <c r="Z300" s="12">
        <f t="shared" si="14"/>
        <v>0</v>
      </c>
      <c r="AA300" s="8" t="s">
        <v>12</v>
      </c>
      <c r="AB300" s="8" t="str">
        <f t="shared" si="12"/>
        <v>PEM040-001 - SDK 280</v>
      </c>
    </row>
    <row r="301" spans="24:28">
      <c r="X301" s="11">
        <f t="shared" si="13"/>
        <v>0</v>
      </c>
      <c r="Y301" s="8">
        <v>281</v>
      </c>
      <c r="Z301" s="12">
        <f t="shared" si="14"/>
        <v>0</v>
      </c>
      <c r="AA301" s="8" t="s">
        <v>12</v>
      </c>
      <c r="AB301" s="8" t="str">
        <f t="shared" si="12"/>
        <v>PEM040-001 - SDK 281</v>
      </c>
    </row>
    <row r="302" spans="24:28">
      <c r="X302" s="11">
        <f t="shared" si="13"/>
        <v>0</v>
      </c>
      <c r="Y302" s="8">
        <v>282</v>
      </c>
      <c r="Z302" s="12">
        <f t="shared" si="14"/>
        <v>0</v>
      </c>
      <c r="AA302" s="8" t="s">
        <v>12</v>
      </c>
      <c r="AB302" s="8" t="str">
        <f t="shared" si="12"/>
        <v>PEM040-001 - SDK 282</v>
      </c>
    </row>
    <row r="303" spans="24:28">
      <c r="X303" s="11">
        <f t="shared" si="13"/>
        <v>0</v>
      </c>
      <c r="Y303" s="8">
        <v>283</v>
      </c>
      <c r="Z303" s="12">
        <f t="shared" si="14"/>
        <v>0</v>
      </c>
      <c r="AA303" s="8" t="s">
        <v>12</v>
      </c>
      <c r="AB303" s="8" t="str">
        <f t="shared" si="12"/>
        <v>PEM040-001 - SDK 283</v>
      </c>
    </row>
    <row r="304" spans="24:28">
      <c r="X304" s="11">
        <f t="shared" si="13"/>
        <v>0</v>
      </c>
      <c r="Y304" s="8">
        <v>284</v>
      </c>
      <c r="Z304" s="12">
        <f t="shared" si="14"/>
        <v>0</v>
      </c>
      <c r="AA304" s="8" t="s">
        <v>12</v>
      </c>
      <c r="AB304" s="8" t="str">
        <f t="shared" si="12"/>
        <v>PEM040-001 - SDK 284</v>
      </c>
    </row>
    <row r="305" spans="24:28">
      <c r="X305" s="11">
        <f t="shared" si="13"/>
        <v>0</v>
      </c>
      <c r="Y305" s="8">
        <v>285</v>
      </c>
      <c r="Z305" s="12">
        <f t="shared" si="14"/>
        <v>0</v>
      </c>
      <c r="AA305" s="8" t="s">
        <v>12</v>
      </c>
      <c r="AB305" s="8" t="str">
        <f t="shared" si="12"/>
        <v>PEM040-001 - SDK 285</v>
      </c>
    </row>
    <row r="306" spans="24:28">
      <c r="X306" s="11">
        <f t="shared" si="13"/>
        <v>0</v>
      </c>
      <c r="Y306" s="8">
        <v>286</v>
      </c>
      <c r="Z306" s="12">
        <f t="shared" si="14"/>
        <v>0</v>
      </c>
      <c r="AA306" s="8" t="s">
        <v>12</v>
      </c>
      <c r="AB306" s="8" t="str">
        <f t="shared" si="12"/>
        <v>PEM040-001 - SDK 286</v>
      </c>
    </row>
    <row r="307" spans="24:28">
      <c r="X307" s="11">
        <f t="shared" si="13"/>
        <v>0</v>
      </c>
      <c r="Y307" s="8">
        <v>287</v>
      </c>
      <c r="Z307" s="12">
        <f t="shared" si="14"/>
        <v>0</v>
      </c>
      <c r="AA307" s="8" t="s">
        <v>12</v>
      </c>
      <c r="AB307" s="8" t="str">
        <f t="shared" si="12"/>
        <v>PEM040-001 - SDK 287</v>
      </c>
    </row>
    <row r="308" spans="24:28">
      <c r="X308" s="11">
        <f t="shared" si="13"/>
        <v>0</v>
      </c>
      <c r="Y308" s="8">
        <v>288</v>
      </c>
      <c r="Z308" s="12">
        <f t="shared" si="14"/>
        <v>0</v>
      </c>
      <c r="AA308" s="8" t="s">
        <v>12</v>
      </c>
      <c r="AB308" s="8" t="str">
        <f t="shared" si="12"/>
        <v>PEM040-001 - SDK 288</v>
      </c>
    </row>
    <row r="309" spans="24:28">
      <c r="X309" s="11">
        <f t="shared" si="13"/>
        <v>0</v>
      </c>
      <c r="Y309" s="8">
        <v>289</v>
      </c>
      <c r="Z309" s="12">
        <f t="shared" si="14"/>
        <v>0</v>
      </c>
      <c r="AA309" s="8" t="s">
        <v>12</v>
      </c>
      <c r="AB309" s="8" t="str">
        <f t="shared" si="12"/>
        <v>PEM040-001 - SDK 289</v>
      </c>
    </row>
    <row r="310" spans="24:28">
      <c r="X310" s="11">
        <f t="shared" si="13"/>
        <v>0</v>
      </c>
      <c r="Y310" s="8">
        <v>290</v>
      </c>
      <c r="Z310" s="12">
        <f t="shared" si="14"/>
        <v>0</v>
      </c>
      <c r="AA310" s="8" t="s">
        <v>12</v>
      </c>
      <c r="AB310" s="8" t="str">
        <f t="shared" si="12"/>
        <v>PEM040-001 - SDK 290</v>
      </c>
    </row>
    <row r="311" spans="24:28">
      <c r="X311" s="11">
        <f t="shared" si="13"/>
        <v>0</v>
      </c>
      <c r="Y311" s="8">
        <v>291</v>
      </c>
      <c r="Z311" s="12">
        <f t="shared" si="14"/>
        <v>0</v>
      </c>
      <c r="AA311" s="8" t="s">
        <v>12</v>
      </c>
      <c r="AB311" s="8" t="str">
        <f t="shared" si="12"/>
        <v>PEM040-001 - SDK 291</v>
      </c>
    </row>
    <row r="312" spans="24:28">
      <c r="X312" s="11">
        <f t="shared" si="13"/>
        <v>0</v>
      </c>
      <c r="Y312" s="8">
        <v>292</v>
      </c>
      <c r="Z312" s="12">
        <f t="shared" si="14"/>
        <v>0</v>
      </c>
      <c r="AA312" s="8" t="s">
        <v>12</v>
      </c>
      <c r="AB312" s="8" t="str">
        <f t="shared" si="12"/>
        <v>PEM040-001 - SDK 292</v>
      </c>
    </row>
    <row r="313" spans="24:28">
      <c r="X313" s="11">
        <f t="shared" si="13"/>
        <v>0</v>
      </c>
      <c r="Y313" s="8">
        <v>293</v>
      </c>
      <c r="Z313" s="12">
        <f t="shared" si="14"/>
        <v>0</v>
      </c>
      <c r="AA313" s="8" t="s">
        <v>12</v>
      </c>
      <c r="AB313" s="8" t="str">
        <f t="shared" ref="AB313:AB376" si="15">$I$8&amp;" - SDK "&amp;Y313</f>
        <v>PEM040-001 - SDK 293</v>
      </c>
    </row>
    <row r="314" spans="24:28">
      <c r="X314" s="11">
        <f t="shared" si="13"/>
        <v>0</v>
      </c>
      <c r="Y314" s="8">
        <v>294</v>
      </c>
      <c r="Z314" s="12">
        <f t="shared" si="14"/>
        <v>0</v>
      </c>
      <c r="AA314" s="8" t="s">
        <v>12</v>
      </c>
      <c r="AB314" s="8" t="str">
        <f t="shared" si="15"/>
        <v>PEM040-001 - SDK 294</v>
      </c>
    </row>
    <row r="315" spans="24:28">
      <c r="X315" s="11">
        <f t="shared" si="13"/>
        <v>0</v>
      </c>
      <c r="Y315" s="8">
        <v>295</v>
      </c>
      <c r="Z315" s="12">
        <f t="shared" si="14"/>
        <v>0</v>
      </c>
      <c r="AA315" s="8" t="s">
        <v>12</v>
      </c>
      <c r="AB315" s="8" t="str">
        <f t="shared" si="15"/>
        <v>PEM040-001 - SDK 295</v>
      </c>
    </row>
    <row r="316" spans="24:28">
      <c r="X316" s="11">
        <f t="shared" si="13"/>
        <v>0</v>
      </c>
      <c r="Y316" s="8">
        <v>296</v>
      </c>
      <c r="Z316" s="12">
        <f t="shared" si="14"/>
        <v>0</v>
      </c>
      <c r="AA316" s="8" t="s">
        <v>12</v>
      </c>
      <c r="AB316" s="8" t="str">
        <f t="shared" si="15"/>
        <v>PEM040-001 - SDK 296</v>
      </c>
    </row>
    <row r="317" spans="24:28">
      <c r="X317" s="11">
        <f t="shared" si="13"/>
        <v>0</v>
      </c>
      <c r="Y317" s="8">
        <v>297</v>
      </c>
      <c r="Z317" s="12">
        <f t="shared" si="14"/>
        <v>0</v>
      </c>
      <c r="AA317" s="8" t="s">
        <v>12</v>
      </c>
      <c r="AB317" s="8" t="str">
        <f t="shared" si="15"/>
        <v>PEM040-001 - SDK 297</v>
      </c>
    </row>
    <row r="318" spans="24:28">
      <c r="X318" s="11">
        <f t="shared" si="13"/>
        <v>0</v>
      </c>
      <c r="Y318" s="8">
        <v>298</v>
      </c>
      <c r="Z318" s="12">
        <f t="shared" si="14"/>
        <v>0</v>
      </c>
      <c r="AA318" s="8" t="s">
        <v>12</v>
      </c>
      <c r="AB318" s="8" t="str">
        <f t="shared" si="15"/>
        <v>PEM040-001 - SDK 298</v>
      </c>
    </row>
    <row r="319" spans="24:28">
      <c r="X319" s="11">
        <f t="shared" si="13"/>
        <v>0</v>
      </c>
      <c r="Y319" s="8">
        <v>299</v>
      </c>
      <c r="Z319" s="12">
        <f t="shared" si="14"/>
        <v>0</v>
      </c>
      <c r="AA319" s="8" t="s">
        <v>12</v>
      </c>
      <c r="AB319" s="8" t="str">
        <f t="shared" si="15"/>
        <v>PEM040-001 - SDK 299</v>
      </c>
    </row>
    <row r="320" spans="24:28">
      <c r="X320" s="11">
        <f t="shared" si="13"/>
        <v>0</v>
      </c>
      <c r="Y320" s="8">
        <v>300</v>
      </c>
      <c r="Z320" s="12">
        <f t="shared" si="14"/>
        <v>0</v>
      </c>
      <c r="AA320" s="8" t="s">
        <v>12</v>
      </c>
      <c r="AB320" s="8" t="str">
        <f t="shared" si="15"/>
        <v>PEM040-001 - SDK 300</v>
      </c>
    </row>
    <row r="321" spans="24:28">
      <c r="X321" s="11">
        <f t="shared" si="13"/>
        <v>0</v>
      </c>
      <c r="Y321" s="8">
        <v>301</v>
      </c>
      <c r="Z321" s="12">
        <f t="shared" si="14"/>
        <v>0</v>
      </c>
      <c r="AA321" s="8" t="s">
        <v>12</v>
      </c>
      <c r="AB321" s="8" t="str">
        <f t="shared" si="15"/>
        <v>PEM040-001 - SDK 301</v>
      </c>
    </row>
    <row r="322" spans="24:28">
      <c r="X322" s="11">
        <f t="shared" si="13"/>
        <v>0</v>
      </c>
      <c r="Y322" s="8">
        <v>302</v>
      </c>
      <c r="Z322" s="12">
        <f t="shared" si="14"/>
        <v>0</v>
      </c>
      <c r="AA322" s="8" t="s">
        <v>12</v>
      </c>
      <c r="AB322" s="8" t="str">
        <f t="shared" si="15"/>
        <v>PEM040-001 - SDK 302</v>
      </c>
    </row>
    <row r="323" spans="24:28">
      <c r="X323" s="11">
        <f t="shared" si="13"/>
        <v>0</v>
      </c>
      <c r="Y323" s="8">
        <v>303</v>
      </c>
      <c r="Z323" s="12">
        <f t="shared" si="14"/>
        <v>0</v>
      </c>
      <c r="AA323" s="8" t="s">
        <v>12</v>
      </c>
      <c r="AB323" s="8" t="str">
        <f t="shared" si="15"/>
        <v>PEM040-001 - SDK 303</v>
      </c>
    </row>
    <row r="324" spans="24:28">
      <c r="X324" s="11">
        <f t="shared" si="13"/>
        <v>0</v>
      </c>
      <c r="Y324" s="8">
        <v>304</v>
      </c>
      <c r="Z324" s="12">
        <f t="shared" si="14"/>
        <v>0</v>
      </c>
      <c r="AA324" s="8" t="s">
        <v>12</v>
      </c>
      <c r="AB324" s="8" t="str">
        <f t="shared" si="15"/>
        <v>PEM040-001 - SDK 304</v>
      </c>
    </row>
    <row r="325" spans="24:28">
      <c r="X325" s="11">
        <f t="shared" si="13"/>
        <v>0</v>
      </c>
      <c r="Y325" s="8">
        <v>305</v>
      </c>
      <c r="Z325" s="12">
        <f t="shared" si="14"/>
        <v>0</v>
      </c>
      <c r="AA325" s="8" t="s">
        <v>12</v>
      </c>
      <c r="AB325" s="8" t="str">
        <f t="shared" si="15"/>
        <v>PEM040-001 - SDK 305</v>
      </c>
    </row>
    <row r="326" spans="24:28">
      <c r="X326" s="11">
        <f t="shared" si="13"/>
        <v>0</v>
      </c>
      <c r="Y326" s="8">
        <v>306</v>
      </c>
      <c r="Z326" s="12">
        <f t="shared" si="14"/>
        <v>0</v>
      </c>
      <c r="AA326" s="8" t="s">
        <v>12</v>
      </c>
      <c r="AB326" s="8" t="str">
        <f t="shared" si="15"/>
        <v>PEM040-001 - SDK 306</v>
      </c>
    </row>
    <row r="327" spans="24:28">
      <c r="X327" s="11">
        <f t="shared" si="13"/>
        <v>0</v>
      </c>
      <c r="Y327" s="8">
        <v>307</v>
      </c>
      <c r="Z327" s="12">
        <f t="shared" si="14"/>
        <v>0</v>
      </c>
      <c r="AA327" s="8" t="s">
        <v>12</v>
      </c>
      <c r="AB327" s="8" t="str">
        <f t="shared" si="15"/>
        <v>PEM040-001 - SDK 307</v>
      </c>
    </row>
    <row r="328" spans="24:28">
      <c r="X328" s="11">
        <f t="shared" si="13"/>
        <v>0</v>
      </c>
      <c r="Y328" s="8">
        <v>308</v>
      </c>
      <c r="Z328" s="12">
        <f t="shared" si="14"/>
        <v>0</v>
      </c>
      <c r="AA328" s="8" t="s">
        <v>12</v>
      </c>
      <c r="AB328" s="8" t="str">
        <f t="shared" si="15"/>
        <v>PEM040-001 - SDK 308</v>
      </c>
    </row>
    <row r="329" spans="24:28">
      <c r="X329" s="11">
        <f t="shared" si="13"/>
        <v>0</v>
      </c>
      <c r="Y329" s="8">
        <v>309</v>
      </c>
      <c r="Z329" s="12">
        <f t="shared" si="14"/>
        <v>0</v>
      </c>
      <c r="AA329" s="8" t="s">
        <v>12</v>
      </c>
      <c r="AB329" s="8" t="str">
        <f t="shared" si="15"/>
        <v>PEM040-001 - SDK 309</v>
      </c>
    </row>
    <row r="330" spans="24:28">
      <c r="X330" s="11">
        <f t="shared" si="13"/>
        <v>0</v>
      </c>
      <c r="Y330" s="8">
        <v>310</v>
      </c>
      <c r="Z330" s="12">
        <f t="shared" si="14"/>
        <v>0</v>
      </c>
      <c r="AA330" s="8" t="s">
        <v>12</v>
      </c>
      <c r="AB330" s="8" t="str">
        <f t="shared" si="15"/>
        <v>PEM040-001 - SDK 310</v>
      </c>
    </row>
    <row r="331" spans="24:28">
      <c r="X331" s="11">
        <f t="shared" si="13"/>
        <v>0</v>
      </c>
      <c r="Y331" s="8">
        <v>311</v>
      </c>
      <c r="Z331" s="12">
        <f t="shared" si="14"/>
        <v>0</v>
      </c>
      <c r="AA331" s="8" t="s">
        <v>12</v>
      </c>
      <c r="AB331" s="8" t="str">
        <f t="shared" si="15"/>
        <v>PEM040-001 - SDK 311</v>
      </c>
    </row>
    <row r="332" spans="24:28">
      <c r="X332" s="11">
        <f t="shared" si="13"/>
        <v>0</v>
      </c>
      <c r="Y332" s="8">
        <v>312</v>
      </c>
      <c r="Z332" s="12">
        <f t="shared" si="14"/>
        <v>0</v>
      </c>
      <c r="AA332" s="8" t="s">
        <v>12</v>
      </c>
      <c r="AB332" s="8" t="str">
        <f t="shared" si="15"/>
        <v>PEM040-001 - SDK 312</v>
      </c>
    </row>
    <row r="333" spans="24:28">
      <c r="X333" s="11">
        <f t="shared" si="13"/>
        <v>0</v>
      </c>
      <c r="Y333" s="8">
        <v>313</v>
      </c>
      <c r="Z333" s="12">
        <f t="shared" si="14"/>
        <v>0</v>
      </c>
      <c r="AA333" s="8" t="s">
        <v>12</v>
      </c>
      <c r="AB333" s="8" t="str">
        <f t="shared" si="15"/>
        <v>PEM040-001 - SDK 313</v>
      </c>
    </row>
    <row r="334" spans="24:28">
      <c r="X334" s="11">
        <f t="shared" si="13"/>
        <v>0</v>
      </c>
      <c r="Y334" s="8">
        <v>314</v>
      </c>
      <c r="Z334" s="12">
        <f t="shared" si="14"/>
        <v>0</v>
      </c>
      <c r="AA334" s="8" t="s">
        <v>12</v>
      </c>
      <c r="AB334" s="8" t="str">
        <f t="shared" si="15"/>
        <v>PEM040-001 - SDK 314</v>
      </c>
    </row>
    <row r="335" spans="24:28">
      <c r="X335" s="11">
        <f t="shared" si="13"/>
        <v>0</v>
      </c>
      <c r="Y335" s="8">
        <v>315</v>
      </c>
      <c r="Z335" s="12">
        <f t="shared" si="14"/>
        <v>0</v>
      </c>
      <c r="AA335" s="8" t="s">
        <v>12</v>
      </c>
      <c r="AB335" s="8" t="str">
        <f t="shared" si="15"/>
        <v>PEM040-001 - SDK 315</v>
      </c>
    </row>
    <row r="336" spans="24:28">
      <c r="X336" s="11">
        <f t="shared" si="13"/>
        <v>0</v>
      </c>
      <c r="Y336" s="8">
        <v>316</v>
      </c>
      <c r="Z336" s="12">
        <f t="shared" si="14"/>
        <v>0</v>
      </c>
      <c r="AA336" s="8" t="s">
        <v>12</v>
      </c>
      <c r="AB336" s="8" t="str">
        <f t="shared" si="15"/>
        <v>PEM040-001 - SDK 316</v>
      </c>
    </row>
    <row r="337" spans="24:28">
      <c r="X337" s="11">
        <f t="shared" si="13"/>
        <v>0</v>
      </c>
      <c r="Y337" s="8">
        <v>317</v>
      </c>
      <c r="Z337" s="12">
        <f t="shared" si="14"/>
        <v>0</v>
      </c>
      <c r="AA337" s="8" t="s">
        <v>12</v>
      </c>
      <c r="AB337" s="8" t="str">
        <f t="shared" si="15"/>
        <v>PEM040-001 - SDK 317</v>
      </c>
    </row>
    <row r="338" spans="24:28">
      <c r="X338" s="11">
        <f t="shared" si="13"/>
        <v>0</v>
      </c>
      <c r="Y338" s="8">
        <v>318</v>
      </c>
      <c r="Z338" s="12">
        <f t="shared" si="14"/>
        <v>0</v>
      </c>
      <c r="AA338" s="8" t="s">
        <v>12</v>
      </c>
      <c r="AB338" s="8" t="str">
        <f t="shared" si="15"/>
        <v>PEM040-001 - SDK 318</v>
      </c>
    </row>
    <row r="339" spans="24:28">
      <c r="X339" s="11">
        <f t="shared" si="13"/>
        <v>0</v>
      </c>
      <c r="Y339" s="8">
        <v>319</v>
      </c>
      <c r="Z339" s="12">
        <f t="shared" si="14"/>
        <v>0</v>
      </c>
      <c r="AA339" s="8" t="s">
        <v>12</v>
      </c>
      <c r="AB339" s="8" t="str">
        <f t="shared" si="15"/>
        <v>PEM040-001 - SDK 319</v>
      </c>
    </row>
    <row r="340" spans="24:28">
      <c r="X340" s="11">
        <f t="shared" si="13"/>
        <v>0</v>
      </c>
      <c r="Y340" s="8">
        <v>320</v>
      </c>
      <c r="Z340" s="12">
        <f t="shared" si="14"/>
        <v>0</v>
      </c>
      <c r="AA340" s="8" t="s">
        <v>12</v>
      </c>
      <c r="AB340" s="8" t="str">
        <f t="shared" si="15"/>
        <v>PEM040-001 - SDK 320</v>
      </c>
    </row>
    <row r="341" spans="24:28">
      <c r="X341" s="11">
        <f t="shared" si="13"/>
        <v>0</v>
      </c>
      <c r="Y341" s="8">
        <v>321</v>
      </c>
      <c r="Z341" s="12">
        <f t="shared" si="14"/>
        <v>0</v>
      </c>
      <c r="AA341" s="8" t="s">
        <v>12</v>
      </c>
      <c r="AB341" s="8" t="str">
        <f t="shared" si="15"/>
        <v>PEM040-001 - SDK 321</v>
      </c>
    </row>
    <row r="342" spans="24:28">
      <c r="X342" s="11">
        <f t="shared" si="13"/>
        <v>0</v>
      </c>
      <c r="Y342" s="8">
        <v>322</v>
      </c>
      <c r="Z342" s="12">
        <f t="shared" si="14"/>
        <v>0</v>
      </c>
      <c r="AA342" s="8" t="s">
        <v>12</v>
      </c>
      <c r="AB342" s="8" t="str">
        <f t="shared" si="15"/>
        <v>PEM040-001 - SDK 322</v>
      </c>
    </row>
    <row r="343" spans="24:28">
      <c r="X343" s="11">
        <f t="shared" ref="X343:X406" si="16">$X$21</f>
        <v>0</v>
      </c>
      <c r="Y343" s="8">
        <v>323</v>
      </c>
      <c r="Z343" s="12">
        <f t="shared" ref="Z343:Z406" si="17">$Z$21</f>
        <v>0</v>
      </c>
      <c r="AA343" s="8" t="s">
        <v>12</v>
      </c>
      <c r="AB343" s="8" t="str">
        <f t="shared" si="15"/>
        <v>PEM040-001 - SDK 323</v>
      </c>
    </row>
    <row r="344" spans="24:28">
      <c r="X344" s="11">
        <f t="shared" si="16"/>
        <v>0</v>
      </c>
      <c r="Y344" s="8">
        <v>324</v>
      </c>
      <c r="Z344" s="12">
        <f t="shared" si="17"/>
        <v>0</v>
      </c>
      <c r="AA344" s="8" t="s">
        <v>12</v>
      </c>
      <c r="AB344" s="8" t="str">
        <f t="shared" si="15"/>
        <v>PEM040-001 - SDK 324</v>
      </c>
    </row>
    <row r="345" spans="24:28">
      <c r="X345" s="11">
        <f t="shared" si="16"/>
        <v>0</v>
      </c>
      <c r="Y345" s="8">
        <v>325</v>
      </c>
      <c r="Z345" s="12">
        <f t="shared" si="17"/>
        <v>0</v>
      </c>
      <c r="AA345" s="8" t="s">
        <v>12</v>
      </c>
      <c r="AB345" s="8" t="str">
        <f t="shared" si="15"/>
        <v>PEM040-001 - SDK 325</v>
      </c>
    </row>
    <row r="346" spans="24:28">
      <c r="X346" s="11">
        <f t="shared" si="16"/>
        <v>0</v>
      </c>
      <c r="Y346" s="8">
        <v>326</v>
      </c>
      <c r="Z346" s="12">
        <f t="shared" si="17"/>
        <v>0</v>
      </c>
      <c r="AA346" s="8" t="s">
        <v>12</v>
      </c>
      <c r="AB346" s="8" t="str">
        <f t="shared" si="15"/>
        <v>PEM040-001 - SDK 326</v>
      </c>
    </row>
    <row r="347" spans="24:28">
      <c r="X347" s="11">
        <f t="shared" si="16"/>
        <v>0</v>
      </c>
      <c r="Y347" s="8">
        <v>327</v>
      </c>
      <c r="Z347" s="12">
        <f t="shared" si="17"/>
        <v>0</v>
      </c>
      <c r="AA347" s="8" t="s">
        <v>12</v>
      </c>
      <c r="AB347" s="8" t="str">
        <f t="shared" si="15"/>
        <v>PEM040-001 - SDK 327</v>
      </c>
    </row>
    <row r="348" spans="24:28">
      <c r="X348" s="11">
        <f t="shared" si="16"/>
        <v>0</v>
      </c>
      <c r="Y348" s="8">
        <v>328</v>
      </c>
      <c r="Z348" s="12">
        <f t="shared" si="17"/>
        <v>0</v>
      </c>
      <c r="AA348" s="8" t="s">
        <v>12</v>
      </c>
      <c r="AB348" s="8" t="str">
        <f t="shared" si="15"/>
        <v>PEM040-001 - SDK 328</v>
      </c>
    </row>
    <row r="349" spans="24:28">
      <c r="X349" s="11">
        <f t="shared" si="16"/>
        <v>0</v>
      </c>
      <c r="Y349" s="8">
        <v>329</v>
      </c>
      <c r="Z349" s="12">
        <f t="shared" si="17"/>
        <v>0</v>
      </c>
      <c r="AA349" s="8" t="s">
        <v>12</v>
      </c>
      <c r="AB349" s="8" t="str">
        <f t="shared" si="15"/>
        <v>PEM040-001 - SDK 329</v>
      </c>
    </row>
    <row r="350" spans="24:28">
      <c r="X350" s="11">
        <f t="shared" si="16"/>
        <v>0</v>
      </c>
      <c r="Y350" s="8">
        <v>330</v>
      </c>
      <c r="Z350" s="12">
        <f t="shared" si="17"/>
        <v>0</v>
      </c>
      <c r="AA350" s="8" t="s">
        <v>12</v>
      </c>
      <c r="AB350" s="8" t="str">
        <f t="shared" si="15"/>
        <v>PEM040-001 - SDK 330</v>
      </c>
    </row>
    <row r="351" spans="24:28">
      <c r="X351" s="11">
        <f t="shared" si="16"/>
        <v>0</v>
      </c>
      <c r="Y351" s="8">
        <v>331</v>
      </c>
      <c r="Z351" s="12">
        <f t="shared" si="17"/>
        <v>0</v>
      </c>
      <c r="AA351" s="8" t="s">
        <v>12</v>
      </c>
      <c r="AB351" s="8" t="str">
        <f t="shared" si="15"/>
        <v>PEM040-001 - SDK 331</v>
      </c>
    </row>
    <row r="352" spans="24:28">
      <c r="X352" s="11">
        <f t="shared" si="16"/>
        <v>0</v>
      </c>
      <c r="Y352" s="8">
        <v>332</v>
      </c>
      <c r="Z352" s="12">
        <f t="shared" si="17"/>
        <v>0</v>
      </c>
      <c r="AA352" s="8" t="s">
        <v>12</v>
      </c>
      <c r="AB352" s="8" t="str">
        <f t="shared" si="15"/>
        <v>PEM040-001 - SDK 332</v>
      </c>
    </row>
    <row r="353" spans="24:28">
      <c r="X353" s="11">
        <f t="shared" si="16"/>
        <v>0</v>
      </c>
      <c r="Y353" s="8">
        <v>333</v>
      </c>
      <c r="Z353" s="12">
        <f t="shared" si="17"/>
        <v>0</v>
      </c>
      <c r="AA353" s="8" t="s">
        <v>12</v>
      </c>
      <c r="AB353" s="8" t="str">
        <f t="shared" si="15"/>
        <v>PEM040-001 - SDK 333</v>
      </c>
    </row>
    <row r="354" spans="24:28">
      <c r="X354" s="11">
        <f t="shared" si="16"/>
        <v>0</v>
      </c>
      <c r="Y354" s="8">
        <v>334</v>
      </c>
      <c r="Z354" s="12">
        <f t="shared" si="17"/>
        <v>0</v>
      </c>
      <c r="AA354" s="8" t="s">
        <v>12</v>
      </c>
      <c r="AB354" s="8" t="str">
        <f t="shared" si="15"/>
        <v>PEM040-001 - SDK 334</v>
      </c>
    </row>
    <row r="355" spans="24:28">
      <c r="X355" s="11">
        <f t="shared" si="16"/>
        <v>0</v>
      </c>
      <c r="Y355" s="8">
        <v>335</v>
      </c>
      <c r="Z355" s="12">
        <f t="shared" si="17"/>
        <v>0</v>
      </c>
      <c r="AA355" s="8" t="s">
        <v>12</v>
      </c>
      <c r="AB355" s="8" t="str">
        <f t="shared" si="15"/>
        <v>PEM040-001 - SDK 335</v>
      </c>
    </row>
    <row r="356" spans="24:28">
      <c r="X356" s="11">
        <f t="shared" si="16"/>
        <v>0</v>
      </c>
      <c r="Y356" s="8">
        <v>336</v>
      </c>
      <c r="Z356" s="12">
        <f t="shared" si="17"/>
        <v>0</v>
      </c>
      <c r="AA356" s="8" t="s">
        <v>12</v>
      </c>
      <c r="AB356" s="8" t="str">
        <f t="shared" si="15"/>
        <v>PEM040-001 - SDK 336</v>
      </c>
    </row>
    <row r="357" spans="24:28">
      <c r="X357" s="11">
        <f t="shared" si="16"/>
        <v>0</v>
      </c>
      <c r="Y357" s="8">
        <v>337</v>
      </c>
      <c r="Z357" s="12">
        <f t="shared" si="17"/>
        <v>0</v>
      </c>
      <c r="AA357" s="8" t="s">
        <v>12</v>
      </c>
      <c r="AB357" s="8" t="str">
        <f t="shared" si="15"/>
        <v>PEM040-001 - SDK 337</v>
      </c>
    </row>
    <row r="358" spans="24:28">
      <c r="X358" s="11">
        <f t="shared" si="16"/>
        <v>0</v>
      </c>
      <c r="Y358" s="8">
        <v>338</v>
      </c>
      <c r="Z358" s="12">
        <f t="shared" si="17"/>
        <v>0</v>
      </c>
      <c r="AA358" s="8" t="s">
        <v>12</v>
      </c>
      <c r="AB358" s="8" t="str">
        <f t="shared" si="15"/>
        <v>PEM040-001 - SDK 338</v>
      </c>
    </row>
    <row r="359" spans="24:28">
      <c r="X359" s="11">
        <f t="shared" si="16"/>
        <v>0</v>
      </c>
      <c r="Y359" s="8">
        <v>339</v>
      </c>
      <c r="Z359" s="12">
        <f t="shared" si="17"/>
        <v>0</v>
      </c>
      <c r="AA359" s="8" t="s">
        <v>12</v>
      </c>
      <c r="AB359" s="8" t="str">
        <f t="shared" si="15"/>
        <v>PEM040-001 - SDK 339</v>
      </c>
    </row>
    <row r="360" spans="24:28">
      <c r="X360" s="11">
        <f t="shared" si="16"/>
        <v>0</v>
      </c>
      <c r="Y360" s="8">
        <v>340</v>
      </c>
      <c r="Z360" s="12">
        <f t="shared" si="17"/>
        <v>0</v>
      </c>
      <c r="AA360" s="8" t="s">
        <v>12</v>
      </c>
      <c r="AB360" s="8" t="str">
        <f t="shared" si="15"/>
        <v>PEM040-001 - SDK 340</v>
      </c>
    </row>
    <row r="361" spans="24:28">
      <c r="X361" s="11">
        <f t="shared" si="16"/>
        <v>0</v>
      </c>
      <c r="Y361" s="8">
        <v>341</v>
      </c>
      <c r="Z361" s="12">
        <f t="shared" si="17"/>
        <v>0</v>
      </c>
      <c r="AA361" s="8" t="s">
        <v>12</v>
      </c>
      <c r="AB361" s="8" t="str">
        <f t="shared" si="15"/>
        <v>PEM040-001 - SDK 341</v>
      </c>
    </row>
    <row r="362" spans="24:28">
      <c r="X362" s="11">
        <f t="shared" si="16"/>
        <v>0</v>
      </c>
      <c r="Y362" s="8">
        <v>342</v>
      </c>
      <c r="Z362" s="12">
        <f t="shared" si="17"/>
        <v>0</v>
      </c>
      <c r="AA362" s="8" t="s">
        <v>12</v>
      </c>
      <c r="AB362" s="8" t="str">
        <f t="shared" si="15"/>
        <v>PEM040-001 - SDK 342</v>
      </c>
    </row>
    <row r="363" spans="24:28">
      <c r="X363" s="11">
        <f t="shared" si="16"/>
        <v>0</v>
      </c>
      <c r="Y363" s="8">
        <v>343</v>
      </c>
      <c r="Z363" s="12">
        <f t="shared" si="17"/>
        <v>0</v>
      </c>
      <c r="AA363" s="8" t="s">
        <v>12</v>
      </c>
      <c r="AB363" s="8" t="str">
        <f t="shared" si="15"/>
        <v>PEM040-001 - SDK 343</v>
      </c>
    </row>
    <row r="364" spans="24:28">
      <c r="X364" s="11">
        <f t="shared" si="16"/>
        <v>0</v>
      </c>
      <c r="Y364" s="8">
        <v>344</v>
      </c>
      <c r="Z364" s="12">
        <f t="shared" si="17"/>
        <v>0</v>
      </c>
      <c r="AA364" s="8" t="s">
        <v>12</v>
      </c>
      <c r="AB364" s="8" t="str">
        <f t="shared" si="15"/>
        <v>PEM040-001 - SDK 344</v>
      </c>
    </row>
    <row r="365" spans="24:28">
      <c r="X365" s="11">
        <f t="shared" si="16"/>
        <v>0</v>
      </c>
      <c r="Y365" s="8">
        <v>345</v>
      </c>
      <c r="Z365" s="12">
        <f t="shared" si="17"/>
        <v>0</v>
      </c>
      <c r="AA365" s="8" t="s">
        <v>12</v>
      </c>
      <c r="AB365" s="8" t="str">
        <f t="shared" si="15"/>
        <v>PEM040-001 - SDK 345</v>
      </c>
    </row>
    <row r="366" spans="24:28">
      <c r="X366" s="11">
        <f t="shared" si="16"/>
        <v>0</v>
      </c>
      <c r="Y366" s="8">
        <v>346</v>
      </c>
      <c r="Z366" s="12">
        <f t="shared" si="17"/>
        <v>0</v>
      </c>
      <c r="AA366" s="8" t="s">
        <v>12</v>
      </c>
      <c r="AB366" s="8" t="str">
        <f t="shared" si="15"/>
        <v>PEM040-001 - SDK 346</v>
      </c>
    </row>
    <row r="367" spans="24:28">
      <c r="X367" s="11">
        <f t="shared" si="16"/>
        <v>0</v>
      </c>
      <c r="Y367" s="8">
        <v>347</v>
      </c>
      <c r="Z367" s="12">
        <f t="shared" si="17"/>
        <v>0</v>
      </c>
      <c r="AA367" s="8" t="s">
        <v>12</v>
      </c>
      <c r="AB367" s="8" t="str">
        <f t="shared" si="15"/>
        <v>PEM040-001 - SDK 347</v>
      </c>
    </row>
    <row r="368" spans="24:28">
      <c r="X368" s="11">
        <f t="shared" si="16"/>
        <v>0</v>
      </c>
      <c r="Y368" s="8">
        <v>348</v>
      </c>
      <c r="Z368" s="12">
        <f t="shared" si="17"/>
        <v>0</v>
      </c>
      <c r="AA368" s="8" t="s">
        <v>12</v>
      </c>
      <c r="AB368" s="8" t="str">
        <f t="shared" si="15"/>
        <v>PEM040-001 - SDK 348</v>
      </c>
    </row>
    <row r="369" spans="24:28">
      <c r="X369" s="11">
        <f t="shared" si="16"/>
        <v>0</v>
      </c>
      <c r="Y369" s="8">
        <v>349</v>
      </c>
      <c r="Z369" s="12">
        <f t="shared" si="17"/>
        <v>0</v>
      </c>
      <c r="AA369" s="8" t="s">
        <v>12</v>
      </c>
      <c r="AB369" s="8" t="str">
        <f t="shared" si="15"/>
        <v>PEM040-001 - SDK 349</v>
      </c>
    </row>
    <row r="370" spans="24:28">
      <c r="X370" s="11">
        <f t="shared" si="16"/>
        <v>0</v>
      </c>
      <c r="Y370" s="8">
        <v>350</v>
      </c>
      <c r="Z370" s="12">
        <f t="shared" si="17"/>
        <v>0</v>
      </c>
      <c r="AA370" s="8" t="s">
        <v>12</v>
      </c>
      <c r="AB370" s="8" t="str">
        <f t="shared" si="15"/>
        <v>PEM040-001 - SDK 350</v>
      </c>
    </row>
    <row r="371" spans="24:28">
      <c r="X371" s="11">
        <f t="shared" si="16"/>
        <v>0</v>
      </c>
      <c r="Y371" s="8">
        <v>351</v>
      </c>
      <c r="Z371" s="12">
        <f t="shared" si="17"/>
        <v>0</v>
      </c>
      <c r="AA371" s="8" t="s">
        <v>12</v>
      </c>
      <c r="AB371" s="8" t="str">
        <f t="shared" si="15"/>
        <v>PEM040-001 - SDK 351</v>
      </c>
    </row>
    <row r="372" spans="24:28">
      <c r="X372" s="11">
        <f t="shared" si="16"/>
        <v>0</v>
      </c>
      <c r="Y372" s="8">
        <v>352</v>
      </c>
      <c r="Z372" s="12">
        <f t="shared" si="17"/>
        <v>0</v>
      </c>
      <c r="AA372" s="8" t="s">
        <v>12</v>
      </c>
      <c r="AB372" s="8" t="str">
        <f t="shared" si="15"/>
        <v>PEM040-001 - SDK 352</v>
      </c>
    </row>
    <row r="373" spans="24:28">
      <c r="X373" s="11">
        <f t="shared" si="16"/>
        <v>0</v>
      </c>
      <c r="Y373" s="8">
        <v>353</v>
      </c>
      <c r="Z373" s="12">
        <f t="shared" si="17"/>
        <v>0</v>
      </c>
      <c r="AA373" s="8" t="s">
        <v>12</v>
      </c>
      <c r="AB373" s="8" t="str">
        <f t="shared" si="15"/>
        <v>PEM040-001 - SDK 353</v>
      </c>
    </row>
    <row r="374" spans="24:28">
      <c r="X374" s="11">
        <f t="shared" si="16"/>
        <v>0</v>
      </c>
      <c r="Y374" s="8">
        <v>354</v>
      </c>
      <c r="Z374" s="12">
        <f t="shared" si="17"/>
        <v>0</v>
      </c>
      <c r="AA374" s="8" t="s">
        <v>12</v>
      </c>
      <c r="AB374" s="8" t="str">
        <f t="shared" si="15"/>
        <v>PEM040-001 - SDK 354</v>
      </c>
    </row>
    <row r="375" spans="24:28">
      <c r="X375" s="11">
        <f t="shared" si="16"/>
        <v>0</v>
      </c>
      <c r="Y375" s="8">
        <v>355</v>
      </c>
      <c r="Z375" s="12">
        <f t="shared" si="17"/>
        <v>0</v>
      </c>
      <c r="AA375" s="8" t="s">
        <v>12</v>
      </c>
      <c r="AB375" s="8" t="str">
        <f t="shared" si="15"/>
        <v>PEM040-001 - SDK 355</v>
      </c>
    </row>
    <row r="376" spans="24:28">
      <c r="X376" s="11">
        <f t="shared" si="16"/>
        <v>0</v>
      </c>
      <c r="Y376" s="8">
        <v>356</v>
      </c>
      <c r="Z376" s="12">
        <f t="shared" si="17"/>
        <v>0</v>
      </c>
      <c r="AA376" s="8" t="s">
        <v>12</v>
      </c>
      <c r="AB376" s="8" t="str">
        <f t="shared" si="15"/>
        <v>PEM040-001 - SDK 356</v>
      </c>
    </row>
    <row r="377" spans="24:28">
      <c r="X377" s="11">
        <f t="shared" si="16"/>
        <v>0</v>
      </c>
      <c r="Y377" s="8">
        <v>357</v>
      </c>
      <c r="Z377" s="12">
        <f t="shared" si="17"/>
        <v>0</v>
      </c>
      <c r="AA377" s="8" t="s">
        <v>12</v>
      </c>
      <c r="AB377" s="8" t="str">
        <f t="shared" ref="AB377:AB440" si="18">$I$8&amp;" - SDK "&amp;Y377</f>
        <v>PEM040-001 - SDK 357</v>
      </c>
    </row>
    <row r="378" spans="24:28">
      <c r="X378" s="11">
        <f t="shared" si="16"/>
        <v>0</v>
      </c>
      <c r="Y378" s="8">
        <v>358</v>
      </c>
      <c r="Z378" s="12">
        <f t="shared" si="17"/>
        <v>0</v>
      </c>
      <c r="AA378" s="8" t="s">
        <v>12</v>
      </c>
      <c r="AB378" s="8" t="str">
        <f t="shared" si="18"/>
        <v>PEM040-001 - SDK 358</v>
      </c>
    </row>
    <row r="379" spans="24:28">
      <c r="X379" s="11">
        <f t="shared" si="16"/>
        <v>0</v>
      </c>
      <c r="Y379" s="8">
        <v>359</v>
      </c>
      <c r="Z379" s="12">
        <f t="shared" si="17"/>
        <v>0</v>
      </c>
      <c r="AA379" s="8" t="s">
        <v>12</v>
      </c>
      <c r="AB379" s="8" t="str">
        <f t="shared" si="18"/>
        <v>PEM040-001 - SDK 359</v>
      </c>
    </row>
    <row r="380" spans="24:28">
      <c r="X380" s="11">
        <f t="shared" si="16"/>
        <v>0</v>
      </c>
      <c r="Y380" s="8">
        <v>360</v>
      </c>
      <c r="Z380" s="12">
        <f t="shared" si="17"/>
        <v>0</v>
      </c>
      <c r="AA380" s="8" t="s">
        <v>12</v>
      </c>
      <c r="AB380" s="8" t="str">
        <f t="shared" si="18"/>
        <v>PEM040-001 - SDK 360</v>
      </c>
    </row>
    <row r="381" spans="24:28">
      <c r="X381" s="11">
        <f t="shared" si="16"/>
        <v>0</v>
      </c>
      <c r="Y381" s="8">
        <v>361</v>
      </c>
      <c r="Z381" s="12">
        <f t="shared" si="17"/>
        <v>0</v>
      </c>
      <c r="AA381" s="8" t="s">
        <v>12</v>
      </c>
      <c r="AB381" s="8" t="str">
        <f t="shared" si="18"/>
        <v>PEM040-001 - SDK 361</v>
      </c>
    </row>
    <row r="382" spans="24:28">
      <c r="X382" s="11">
        <f t="shared" si="16"/>
        <v>0</v>
      </c>
      <c r="Y382" s="8">
        <v>362</v>
      </c>
      <c r="Z382" s="12">
        <f t="shared" si="17"/>
        <v>0</v>
      </c>
      <c r="AA382" s="8" t="s">
        <v>12</v>
      </c>
      <c r="AB382" s="8" t="str">
        <f t="shared" si="18"/>
        <v>PEM040-001 - SDK 362</v>
      </c>
    </row>
    <row r="383" spans="24:28">
      <c r="X383" s="11">
        <f t="shared" si="16"/>
        <v>0</v>
      </c>
      <c r="Y383" s="8">
        <v>363</v>
      </c>
      <c r="Z383" s="12">
        <f t="shared" si="17"/>
        <v>0</v>
      </c>
      <c r="AA383" s="8" t="s">
        <v>12</v>
      </c>
      <c r="AB383" s="8" t="str">
        <f t="shared" si="18"/>
        <v>PEM040-001 - SDK 363</v>
      </c>
    </row>
    <row r="384" spans="24:28">
      <c r="X384" s="11">
        <f t="shared" si="16"/>
        <v>0</v>
      </c>
      <c r="Y384" s="8">
        <v>364</v>
      </c>
      <c r="Z384" s="12">
        <f t="shared" si="17"/>
        <v>0</v>
      </c>
      <c r="AA384" s="8" t="s">
        <v>12</v>
      </c>
      <c r="AB384" s="8" t="str">
        <f t="shared" si="18"/>
        <v>PEM040-001 - SDK 364</v>
      </c>
    </row>
    <row r="385" spans="24:28">
      <c r="X385" s="11">
        <f t="shared" si="16"/>
        <v>0</v>
      </c>
      <c r="Y385" s="8">
        <v>365</v>
      </c>
      <c r="Z385" s="12">
        <f t="shared" si="17"/>
        <v>0</v>
      </c>
      <c r="AA385" s="8" t="s">
        <v>12</v>
      </c>
      <c r="AB385" s="8" t="str">
        <f t="shared" si="18"/>
        <v>PEM040-001 - SDK 365</v>
      </c>
    </row>
    <row r="386" spans="24:28">
      <c r="X386" s="11">
        <f t="shared" si="16"/>
        <v>0</v>
      </c>
      <c r="Y386" s="8">
        <v>366</v>
      </c>
      <c r="Z386" s="12">
        <f t="shared" si="17"/>
        <v>0</v>
      </c>
      <c r="AA386" s="8" t="s">
        <v>12</v>
      </c>
      <c r="AB386" s="8" t="str">
        <f t="shared" si="18"/>
        <v>PEM040-001 - SDK 366</v>
      </c>
    </row>
    <row r="387" spans="24:28">
      <c r="X387" s="11">
        <f t="shared" si="16"/>
        <v>0</v>
      </c>
      <c r="Y387" s="8">
        <v>367</v>
      </c>
      <c r="Z387" s="12">
        <f t="shared" si="17"/>
        <v>0</v>
      </c>
      <c r="AA387" s="8" t="s">
        <v>12</v>
      </c>
      <c r="AB387" s="8" t="str">
        <f t="shared" si="18"/>
        <v>PEM040-001 - SDK 367</v>
      </c>
    </row>
    <row r="388" spans="24:28">
      <c r="X388" s="11">
        <f t="shared" si="16"/>
        <v>0</v>
      </c>
      <c r="Y388" s="8">
        <v>368</v>
      </c>
      <c r="Z388" s="12">
        <f t="shared" si="17"/>
        <v>0</v>
      </c>
      <c r="AA388" s="8" t="s">
        <v>12</v>
      </c>
      <c r="AB388" s="8" t="str">
        <f t="shared" si="18"/>
        <v>PEM040-001 - SDK 368</v>
      </c>
    </row>
    <row r="389" spans="24:28">
      <c r="X389" s="11">
        <f t="shared" si="16"/>
        <v>0</v>
      </c>
      <c r="Y389" s="8">
        <v>369</v>
      </c>
      <c r="Z389" s="12">
        <f t="shared" si="17"/>
        <v>0</v>
      </c>
      <c r="AA389" s="8" t="s">
        <v>12</v>
      </c>
      <c r="AB389" s="8" t="str">
        <f t="shared" si="18"/>
        <v>PEM040-001 - SDK 369</v>
      </c>
    </row>
    <row r="390" spans="24:28">
      <c r="X390" s="11">
        <f t="shared" si="16"/>
        <v>0</v>
      </c>
      <c r="Y390" s="8">
        <v>370</v>
      </c>
      <c r="Z390" s="12">
        <f t="shared" si="17"/>
        <v>0</v>
      </c>
      <c r="AA390" s="8" t="s">
        <v>12</v>
      </c>
      <c r="AB390" s="8" t="str">
        <f t="shared" si="18"/>
        <v>PEM040-001 - SDK 370</v>
      </c>
    </row>
    <row r="391" spans="24:28">
      <c r="X391" s="11">
        <f t="shared" si="16"/>
        <v>0</v>
      </c>
      <c r="Y391" s="8">
        <v>371</v>
      </c>
      <c r="Z391" s="12">
        <f t="shared" si="17"/>
        <v>0</v>
      </c>
      <c r="AA391" s="8" t="s">
        <v>12</v>
      </c>
      <c r="AB391" s="8" t="str">
        <f t="shared" si="18"/>
        <v>PEM040-001 - SDK 371</v>
      </c>
    </row>
    <row r="392" spans="24:28">
      <c r="X392" s="11">
        <f t="shared" si="16"/>
        <v>0</v>
      </c>
      <c r="Y392" s="8">
        <v>372</v>
      </c>
      <c r="Z392" s="12">
        <f t="shared" si="17"/>
        <v>0</v>
      </c>
      <c r="AA392" s="8" t="s">
        <v>12</v>
      </c>
      <c r="AB392" s="8" t="str">
        <f t="shared" si="18"/>
        <v>PEM040-001 - SDK 372</v>
      </c>
    </row>
    <row r="393" spans="24:28">
      <c r="X393" s="11">
        <f t="shared" si="16"/>
        <v>0</v>
      </c>
      <c r="Y393" s="8">
        <v>373</v>
      </c>
      <c r="Z393" s="12">
        <f t="shared" si="17"/>
        <v>0</v>
      </c>
      <c r="AA393" s="8" t="s">
        <v>12</v>
      </c>
      <c r="AB393" s="8" t="str">
        <f t="shared" si="18"/>
        <v>PEM040-001 - SDK 373</v>
      </c>
    </row>
    <row r="394" spans="24:28">
      <c r="X394" s="11">
        <f t="shared" si="16"/>
        <v>0</v>
      </c>
      <c r="Y394" s="8">
        <v>374</v>
      </c>
      <c r="Z394" s="12">
        <f t="shared" si="17"/>
        <v>0</v>
      </c>
      <c r="AA394" s="8" t="s">
        <v>12</v>
      </c>
      <c r="AB394" s="8" t="str">
        <f t="shared" si="18"/>
        <v>PEM040-001 - SDK 374</v>
      </c>
    </row>
    <row r="395" spans="24:28">
      <c r="X395" s="11">
        <f t="shared" si="16"/>
        <v>0</v>
      </c>
      <c r="Y395" s="8">
        <v>375</v>
      </c>
      <c r="Z395" s="12">
        <f t="shared" si="17"/>
        <v>0</v>
      </c>
      <c r="AA395" s="8" t="s">
        <v>12</v>
      </c>
      <c r="AB395" s="8" t="str">
        <f t="shared" si="18"/>
        <v>PEM040-001 - SDK 375</v>
      </c>
    </row>
    <row r="396" spans="24:28">
      <c r="X396" s="11">
        <f t="shared" si="16"/>
        <v>0</v>
      </c>
      <c r="Y396" s="8">
        <v>376</v>
      </c>
      <c r="Z396" s="12">
        <f t="shared" si="17"/>
        <v>0</v>
      </c>
      <c r="AA396" s="8" t="s">
        <v>12</v>
      </c>
      <c r="AB396" s="8" t="str">
        <f t="shared" si="18"/>
        <v>PEM040-001 - SDK 376</v>
      </c>
    </row>
    <row r="397" spans="24:28">
      <c r="X397" s="11">
        <f t="shared" si="16"/>
        <v>0</v>
      </c>
      <c r="Y397" s="8">
        <v>377</v>
      </c>
      <c r="Z397" s="12">
        <f t="shared" si="17"/>
        <v>0</v>
      </c>
      <c r="AA397" s="8" t="s">
        <v>12</v>
      </c>
      <c r="AB397" s="8" t="str">
        <f t="shared" si="18"/>
        <v>PEM040-001 - SDK 377</v>
      </c>
    </row>
    <row r="398" spans="24:28">
      <c r="X398" s="11">
        <f t="shared" si="16"/>
        <v>0</v>
      </c>
      <c r="Y398" s="8">
        <v>378</v>
      </c>
      <c r="Z398" s="12">
        <f t="shared" si="17"/>
        <v>0</v>
      </c>
      <c r="AA398" s="8" t="s">
        <v>12</v>
      </c>
      <c r="AB398" s="8" t="str">
        <f t="shared" si="18"/>
        <v>PEM040-001 - SDK 378</v>
      </c>
    </row>
    <row r="399" spans="24:28">
      <c r="X399" s="11">
        <f t="shared" si="16"/>
        <v>0</v>
      </c>
      <c r="Y399" s="8">
        <v>379</v>
      </c>
      <c r="Z399" s="12">
        <f t="shared" si="17"/>
        <v>0</v>
      </c>
      <c r="AA399" s="8" t="s">
        <v>12</v>
      </c>
      <c r="AB399" s="8" t="str">
        <f t="shared" si="18"/>
        <v>PEM040-001 - SDK 379</v>
      </c>
    </row>
    <row r="400" spans="24:28">
      <c r="X400" s="11">
        <f t="shared" si="16"/>
        <v>0</v>
      </c>
      <c r="Y400" s="8">
        <v>380</v>
      </c>
      <c r="Z400" s="12">
        <f t="shared" si="17"/>
        <v>0</v>
      </c>
      <c r="AA400" s="8" t="s">
        <v>12</v>
      </c>
      <c r="AB400" s="8" t="str">
        <f t="shared" si="18"/>
        <v>PEM040-001 - SDK 380</v>
      </c>
    </row>
    <row r="401" spans="24:28">
      <c r="X401" s="11">
        <f t="shared" si="16"/>
        <v>0</v>
      </c>
      <c r="Y401" s="8">
        <v>381</v>
      </c>
      <c r="Z401" s="12">
        <f t="shared" si="17"/>
        <v>0</v>
      </c>
      <c r="AA401" s="8" t="s">
        <v>12</v>
      </c>
      <c r="AB401" s="8" t="str">
        <f t="shared" si="18"/>
        <v>PEM040-001 - SDK 381</v>
      </c>
    </row>
    <row r="402" spans="24:28">
      <c r="X402" s="11">
        <f t="shared" si="16"/>
        <v>0</v>
      </c>
      <c r="Y402" s="8">
        <v>382</v>
      </c>
      <c r="Z402" s="12">
        <f t="shared" si="17"/>
        <v>0</v>
      </c>
      <c r="AA402" s="8" t="s">
        <v>12</v>
      </c>
      <c r="AB402" s="8" t="str">
        <f t="shared" si="18"/>
        <v>PEM040-001 - SDK 382</v>
      </c>
    </row>
    <row r="403" spans="24:28">
      <c r="X403" s="11">
        <f t="shared" si="16"/>
        <v>0</v>
      </c>
      <c r="Y403" s="8">
        <v>383</v>
      </c>
      <c r="Z403" s="12">
        <f t="shared" si="17"/>
        <v>0</v>
      </c>
      <c r="AA403" s="8" t="s">
        <v>12</v>
      </c>
      <c r="AB403" s="8" t="str">
        <f t="shared" si="18"/>
        <v>PEM040-001 - SDK 383</v>
      </c>
    </row>
    <row r="404" spans="24:28">
      <c r="X404" s="11">
        <f t="shared" si="16"/>
        <v>0</v>
      </c>
      <c r="Y404" s="8">
        <v>384</v>
      </c>
      <c r="Z404" s="12">
        <f t="shared" si="17"/>
        <v>0</v>
      </c>
      <c r="AA404" s="8" t="s">
        <v>12</v>
      </c>
      <c r="AB404" s="8" t="str">
        <f t="shared" si="18"/>
        <v>PEM040-001 - SDK 384</v>
      </c>
    </row>
    <row r="405" spans="24:28">
      <c r="X405" s="11">
        <f t="shared" si="16"/>
        <v>0</v>
      </c>
      <c r="Y405" s="8">
        <v>385</v>
      </c>
      <c r="Z405" s="12">
        <f t="shared" si="17"/>
        <v>0</v>
      </c>
      <c r="AA405" s="8" t="s">
        <v>12</v>
      </c>
      <c r="AB405" s="8" t="str">
        <f t="shared" si="18"/>
        <v>PEM040-001 - SDK 385</v>
      </c>
    </row>
    <row r="406" spans="24:28">
      <c r="X406" s="11">
        <f t="shared" si="16"/>
        <v>0</v>
      </c>
      <c r="Y406" s="8">
        <v>386</v>
      </c>
      <c r="Z406" s="12">
        <f t="shared" si="17"/>
        <v>0</v>
      </c>
      <c r="AA406" s="8" t="s">
        <v>12</v>
      </c>
      <c r="AB406" s="8" t="str">
        <f t="shared" si="18"/>
        <v>PEM040-001 - SDK 386</v>
      </c>
    </row>
    <row r="407" spans="24:28">
      <c r="X407" s="11">
        <f t="shared" ref="X407:X455" si="19">$X$21</f>
        <v>0</v>
      </c>
      <c r="Y407" s="8">
        <v>387</v>
      </c>
      <c r="Z407" s="12">
        <f t="shared" ref="Z407:Z455" si="20">$Z$21</f>
        <v>0</v>
      </c>
      <c r="AA407" s="8" t="s">
        <v>12</v>
      </c>
      <c r="AB407" s="8" t="str">
        <f t="shared" si="18"/>
        <v>PEM040-001 - SDK 387</v>
      </c>
    </row>
    <row r="408" spans="24:28">
      <c r="X408" s="11">
        <f t="shared" si="19"/>
        <v>0</v>
      </c>
      <c r="Y408" s="8">
        <v>388</v>
      </c>
      <c r="Z408" s="12">
        <f t="shared" si="20"/>
        <v>0</v>
      </c>
      <c r="AA408" s="8" t="s">
        <v>12</v>
      </c>
      <c r="AB408" s="8" t="str">
        <f t="shared" si="18"/>
        <v>PEM040-001 - SDK 388</v>
      </c>
    </row>
    <row r="409" spans="24:28">
      <c r="X409" s="11">
        <f t="shared" si="19"/>
        <v>0</v>
      </c>
      <c r="Y409" s="8">
        <v>389</v>
      </c>
      <c r="Z409" s="12">
        <f t="shared" si="20"/>
        <v>0</v>
      </c>
      <c r="AA409" s="8" t="s">
        <v>12</v>
      </c>
      <c r="AB409" s="8" t="str">
        <f t="shared" si="18"/>
        <v>PEM040-001 - SDK 389</v>
      </c>
    </row>
    <row r="410" spans="24:28">
      <c r="X410" s="11">
        <f t="shared" si="19"/>
        <v>0</v>
      </c>
      <c r="Y410" s="8">
        <v>390</v>
      </c>
      <c r="Z410" s="12">
        <f t="shared" si="20"/>
        <v>0</v>
      </c>
      <c r="AA410" s="8" t="s">
        <v>12</v>
      </c>
      <c r="AB410" s="8" t="str">
        <f t="shared" si="18"/>
        <v>PEM040-001 - SDK 390</v>
      </c>
    </row>
    <row r="411" spans="24:28">
      <c r="X411" s="11">
        <f t="shared" si="19"/>
        <v>0</v>
      </c>
      <c r="Y411" s="8">
        <v>391</v>
      </c>
      <c r="Z411" s="12">
        <f t="shared" si="20"/>
        <v>0</v>
      </c>
      <c r="AA411" s="8" t="s">
        <v>12</v>
      </c>
      <c r="AB411" s="8" t="str">
        <f t="shared" si="18"/>
        <v>PEM040-001 - SDK 391</v>
      </c>
    </row>
    <row r="412" spans="24:28">
      <c r="X412" s="11">
        <f t="shared" si="19"/>
        <v>0</v>
      </c>
      <c r="Y412" s="8">
        <v>392</v>
      </c>
      <c r="Z412" s="12">
        <f t="shared" si="20"/>
        <v>0</v>
      </c>
      <c r="AA412" s="8" t="s">
        <v>12</v>
      </c>
      <c r="AB412" s="8" t="str">
        <f t="shared" si="18"/>
        <v>PEM040-001 - SDK 392</v>
      </c>
    </row>
    <row r="413" spans="24:28">
      <c r="X413" s="11">
        <f t="shared" si="19"/>
        <v>0</v>
      </c>
      <c r="Y413" s="8">
        <v>393</v>
      </c>
      <c r="Z413" s="12">
        <f t="shared" si="20"/>
        <v>0</v>
      </c>
      <c r="AA413" s="8" t="s">
        <v>12</v>
      </c>
      <c r="AB413" s="8" t="str">
        <f t="shared" si="18"/>
        <v>PEM040-001 - SDK 393</v>
      </c>
    </row>
    <row r="414" spans="24:28">
      <c r="X414" s="11">
        <f t="shared" si="19"/>
        <v>0</v>
      </c>
      <c r="Y414" s="8">
        <v>394</v>
      </c>
      <c r="Z414" s="12">
        <f t="shared" si="20"/>
        <v>0</v>
      </c>
      <c r="AA414" s="8" t="s">
        <v>12</v>
      </c>
      <c r="AB414" s="8" t="str">
        <f t="shared" si="18"/>
        <v>PEM040-001 - SDK 394</v>
      </c>
    </row>
    <row r="415" spans="24:28">
      <c r="X415" s="11">
        <f t="shared" si="19"/>
        <v>0</v>
      </c>
      <c r="Y415" s="8">
        <v>395</v>
      </c>
      <c r="Z415" s="12">
        <f t="shared" si="20"/>
        <v>0</v>
      </c>
      <c r="AA415" s="8" t="s">
        <v>12</v>
      </c>
      <c r="AB415" s="8" t="str">
        <f t="shared" si="18"/>
        <v>PEM040-001 - SDK 395</v>
      </c>
    </row>
    <row r="416" spans="24:28">
      <c r="X416" s="11">
        <f t="shared" si="19"/>
        <v>0</v>
      </c>
      <c r="Y416" s="8">
        <v>396</v>
      </c>
      <c r="Z416" s="12">
        <f t="shared" si="20"/>
        <v>0</v>
      </c>
      <c r="AA416" s="8" t="s">
        <v>12</v>
      </c>
      <c r="AB416" s="8" t="str">
        <f t="shared" si="18"/>
        <v>PEM040-001 - SDK 396</v>
      </c>
    </row>
    <row r="417" spans="24:28">
      <c r="X417" s="11">
        <f t="shared" si="19"/>
        <v>0</v>
      </c>
      <c r="Y417" s="8">
        <v>397</v>
      </c>
      <c r="Z417" s="12">
        <f t="shared" si="20"/>
        <v>0</v>
      </c>
      <c r="AA417" s="8" t="s">
        <v>12</v>
      </c>
      <c r="AB417" s="8" t="str">
        <f t="shared" si="18"/>
        <v>PEM040-001 - SDK 397</v>
      </c>
    </row>
    <row r="418" spans="24:28">
      <c r="X418" s="11">
        <f t="shared" si="19"/>
        <v>0</v>
      </c>
      <c r="Y418" s="8">
        <v>398</v>
      </c>
      <c r="Z418" s="12">
        <f t="shared" si="20"/>
        <v>0</v>
      </c>
      <c r="AA418" s="8" t="s">
        <v>12</v>
      </c>
      <c r="AB418" s="8" t="str">
        <f t="shared" si="18"/>
        <v>PEM040-001 - SDK 398</v>
      </c>
    </row>
    <row r="419" spans="24:28">
      <c r="X419" s="11">
        <f t="shared" si="19"/>
        <v>0</v>
      </c>
      <c r="Y419" s="8">
        <v>399</v>
      </c>
      <c r="Z419" s="12">
        <f t="shared" si="20"/>
        <v>0</v>
      </c>
      <c r="AA419" s="8" t="s">
        <v>12</v>
      </c>
      <c r="AB419" s="8" t="str">
        <f t="shared" si="18"/>
        <v>PEM040-001 - SDK 399</v>
      </c>
    </row>
    <row r="420" spans="24:28">
      <c r="X420" s="11">
        <f t="shared" si="19"/>
        <v>0</v>
      </c>
      <c r="Y420" s="8">
        <v>400</v>
      </c>
      <c r="Z420" s="12">
        <f t="shared" si="20"/>
        <v>0</v>
      </c>
      <c r="AA420" s="8" t="s">
        <v>12</v>
      </c>
      <c r="AB420" s="8" t="str">
        <f t="shared" si="18"/>
        <v>PEM040-001 - SDK 400</v>
      </c>
    </row>
    <row r="421" spans="24:28">
      <c r="X421" s="11">
        <f t="shared" si="19"/>
        <v>0</v>
      </c>
      <c r="Y421" s="8">
        <v>401</v>
      </c>
      <c r="Z421" s="12">
        <f t="shared" si="20"/>
        <v>0</v>
      </c>
      <c r="AA421" s="8" t="s">
        <v>12</v>
      </c>
      <c r="AB421" s="8" t="str">
        <f t="shared" si="18"/>
        <v>PEM040-001 - SDK 401</v>
      </c>
    </row>
    <row r="422" spans="24:28">
      <c r="X422" s="11">
        <f t="shared" si="19"/>
        <v>0</v>
      </c>
      <c r="Y422" s="8">
        <v>402</v>
      </c>
      <c r="Z422" s="12">
        <f t="shared" si="20"/>
        <v>0</v>
      </c>
      <c r="AA422" s="8" t="s">
        <v>12</v>
      </c>
      <c r="AB422" s="8" t="str">
        <f t="shared" si="18"/>
        <v>PEM040-001 - SDK 402</v>
      </c>
    </row>
    <row r="423" spans="24:28">
      <c r="X423" s="11">
        <f t="shared" si="19"/>
        <v>0</v>
      </c>
      <c r="Y423" s="8">
        <v>403</v>
      </c>
      <c r="Z423" s="12">
        <f t="shared" si="20"/>
        <v>0</v>
      </c>
      <c r="AA423" s="8" t="s">
        <v>12</v>
      </c>
      <c r="AB423" s="8" t="str">
        <f t="shared" si="18"/>
        <v>PEM040-001 - SDK 403</v>
      </c>
    </row>
    <row r="424" spans="24:28">
      <c r="X424" s="11">
        <f t="shared" si="19"/>
        <v>0</v>
      </c>
      <c r="Y424" s="8">
        <v>404</v>
      </c>
      <c r="Z424" s="12">
        <f t="shared" si="20"/>
        <v>0</v>
      </c>
      <c r="AA424" s="8" t="s">
        <v>12</v>
      </c>
      <c r="AB424" s="8" t="str">
        <f t="shared" si="18"/>
        <v>PEM040-001 - SDK 404</v>
      </c>
    </row>
    <row r="425" spans="24:28">
      <c r="X425" s="11">
        <f t="shared" si="19"/>
        <v>0</v>
      </c>
      <c r="Y425" s="8">
        <v>405</v>
      </c>
      <c r="Z425" s="12">
        <f t="shared" si="20"/>
        <v>0</v>
      </c>
      <c r="AA425" s="8" t="s">
        <v>12</v>
      </c>
      <c r="AB425" s="8" t="str">
        <f t="shared" si="18"/>
        <v>PEM040-001 - SDK 405</v>
      </c>
    </row>
    <row r="426" spans="24:28">
      <c r="X426" s="11">
        <f t="shared" si="19"/>
        <v>0</v>
      </c>
      <c r="Y426" s="8">
        <v>406</v>
      </c>
      <c r="Z426" s="12">
        <f t="shared" si="20"/>
        <v>0</v>
      </c>
      <c r="AA426" s="8" t="s">
        <v>12</v>
      </c>
      <c r="AB426" s="8" t="str">
        <f t="shared" si="18"/>
        <v>PEM040-001 - SDK 406</v>
      </c>
    </row>
    <row r="427" spans="24:28">
      <c r="X427" s="11">
        <f t="shared" si="19"/>
        <v>0</v>
      </c>
      <c r="Y427" s="8">
        <v>407</v>
      </c>
      <c r="Z427" s="12">
        <f t="shared" si="20"/>
        <v>0</v>
      </c>
      <c r="AA427" s="8" t="s">
        <v>12</v>
      </c>
      <c r="AB427" s="8" t="str">
        <f t="shared" si="18"/>
        <v>PEM040-001 - SDK 407</v>
      </c>
    </row>
    <row r="428" spans="24:28">
      <c r="X428" s="11">
        <f t="shared" si="19"/>
        <v>0</v>
      </c>
      <c r="Y428" s="8">
        <v>408</v>
      </c>
      <c r="Z428" s="12">
        <f t="shared" si="20"/>
        <v>0</v>
      </c>
      <c r="AA428" s="8" t="s">
        <v>12</v>
      </c>
      <c r="AB428" s="8" t="str">
        <f t="shared" si="18"/>
        <v>PEM040-001 - SDK 408</v>
      </c>
    </row>
    <row r="429" spans="24:28">
      <c r="X429" s="11">
        <f t="shared" si="19"/>
        <v>0</v>
      </c>
      <c r="Y429" s="8">
        <v>409</v>
      </c>
      <c r="Z429" s="12">
        <f t="shared" si="20"/>
        <v>0</v>
      </c>
      <c r="AA429" s="8" t="s">
        <v>12</v>
      </c>
      <c r="AB429" s="8" t="str">
        <f t="shared" si="18"/>
        <v>PEM040-001 - SDK 409</v>
      </c>
    </row>
    <row r="430" spans="24:28">
      <c r="X430" s="11">
        <f t="shared" si="19"/>
        <v>0</v>
      </c>
      <c r="Y430" s="8">
        <v>410</v>
      </c>
      <c r="Z430" s="12">
        <f t="shared" si="20"/>
        <v>0</v>
      </c>
      <c r="AA430" s="8" t="s">
        <v>12</v>
      </c>
      <c r="AB430" s="8" t="str">
        <f t="shared" si="18"/>
        <v>PEM040-001 - SDK 410</v>
      </c>
    </row>
    <row r="431" spans="24:28">
      <c r="X431" s="11">
        <f t="shared" si="19"/>
        <v>0</v>
      </c>
      <c r="Y431" s="8">
        <v>411</v>
      </c>
      <c r="Z431" s="12">
        <f t="shared" si="20"/>
        <v>0</v>
      </c>
      <c r="AA431" s="8" t="s">
        <v>12</v>
      </c>
      <c r="AB431" s="8" t="str">
        <f t="shared" si="18"/>
        <v>PEM040-001 - SDK 411</v>
      </c>
    </row>
    <row r="432" spans="24:28">
      <c r="X432" s="11">
        <f t="shared" si="19"/>
        <v>0</v>
      </c>
      <c r="Y432" s="8">
        <v>412</v>
      </c>
      <c r="Z432" s="12">
        <f t="shared" si="20"/>
        <v>0</v>
      </c>
      <c r="AA432" s="8" t="s">
        <v>12</v>
      </c>
      <c r="AB432" s="8" t="str">
        <f t="shared" si="18"/>
        <v>PEM040-001 - SDK 412</v>
      </c>
    </row>
    <row r="433" spans="24:28">
      <c r="X433" s="11">
        <f t="shared" si="19"/>
        <v>0</v>
      </c>
      <c r="Y433" s="8">
        <v>413</v>
      </c>
      <c r="Z433" s="12">
        <f t="shared" si="20"/>
        <v>0</v>
      </c>
      <c r="AA433" s="8" t="s">
        <v>12</v>
      </c>
      <c r="AB433" s="8" t="str">
        <f t="shared" si="18"/>
        <v>PEM040-001 - SDK 413</v>
      </c>
    </row>
    <row r="434" spans="24:28">
      <c r="X434" s="11">
        <f t="shared" si="19"/>
        <v>0</v>
      </c>
      <c r="Y434" s="8">
        <v>414</v>
      </c>
      <c r="Z434" s="12">
        <f t="shared" si="20"/>
        <v>0</v>
      </c>
      <c r="AA434" s="8" t="s">
        <v>12</v>
      </c>
      <c r="AB434" s="8" t="str">
        <f t="shared" si="18"/>
        <v>PEM040-001 - SDK 414</v>
      </c>
    </row>
    <row r="435" spans="24:28">
      <c r="X435" s="11">
        <f t="shared" si="19"/>
        <v>0</v>
      </c>
      <c r="Y435" s="8">
        <v>415</v>
      </c>
      <c r="Z435" s="12">
        <f t="shared" si="20"/>
        <v>0</v>
      </c>
      <c r="AA435" s="8" t="s">
        <v>12</v>
      </c>
      <c r="AB435" s="8" t="str">
        <f t="shared" si="18"/>
        <v>PEM040-001 - SDK 415</v>
      </c>
    </row>
    <row r="436" spans="24:28">
      <c r="X436" s="11">
        <f t="shared" si="19"/>
        <v>0</v>
      </c>
      <c r="Y436" s="8">
        <v>416</v>
      </c>
      <c r="Z436" s="12">
        <f t="shared" si="20"/>
        <v>0</v>
      </c>
      <c r="AA436" s="8" t="s">
        <v>12</v>
      </c>
      <c r="AB436" s="8" t="str">
        <f t="shared" si="18"/>
        <v>PEM040-001 - SDK 416</v>
      </c>
    </row>
    <row r="437" spans="24:28">
      <c r="X437" s="11">
        <f t="shared" si="19"/>
        <v>0</v>
      </c>
      <c r="Y437" s="8">
        <v>417</v>
      </c>
      <c r="Z437" s="12">
        <f t="shared" si="20"/>
        <v>0</v>
      </c>
      <c r="AA437" s="8" t="s">
        <v>12</v>
      </c>
      <c r="AB437" s="8" t="str">
        <f t="shared" si="18"/>
        <v>PEM040-001 - SDK 417</v>
      </c>
    </row>
    <row r="438" spans="24:28">
      <c r="X438" s="11">
        <f t="shared" si="19"/>
        <v>0</v>
      </c>
      <c r="Y438" s="8">
        <v>418</v>
      </c>
      <c r="Z438" s="12">
        <f t="shared" si="20"/>
        <v>0</v>
      </c>
      <c r="AA438" s="8" t="s">
        <v>12</v>
      </c>
      <c r="AB438" s="8" t="str">
        <f t="shared" si="18"/>
        <v>PEM040-001 - SDK 418</v>
      </c>
    </row>
    <row r="439" spans="24:28">
      <c r="X439" s="11">
        <f t="shared" si="19"/>
        <v>0</v>
      </c>
      <c r="Y439" s="8">
        <v>419</v>
      </c>
      <c r="Z439" s="12">
        <f t="shared" si="20"/>
        <v>0</v>
      </c>
      <c r="AA439" s="8" t="s">
        <v>12</v>
      </c>
      <c r="AB439" s="8" t="str">
        <f t="shared" si="18"/>
        <v>PEM040-001 - SDK 419</v>
      </c>
    </row>
    <row r="440" spans="24:28">
      <c r="X440" s="11">
        <f t="shared" si="19"/>
        <v>0</v>
      </c>
      <c r="Y440" s="8">
        <v>420</v>
      </c>
      <c r="Z440" s="12">
        <f t="shared" si="20"/>
        <v>0</v>
      </c>
      <c r="AA440" s="8" t="s">
        <v>12</v>
      </c>
      <c r="AB440" s="8" t="str">
        <f t="shared" si="18"/>
        <v>PEM040-001 - SDK 420</v>
      </c>
    </row>
    <row r="441" spans="24:28">
      <c r="X441" s="11">
        <f t="shared" si="19"/>
        <v>0</v>
      </c>
      <c r="Y441" s="8">
        <v>421</v>
      </c>
      <c r="Z441" s="12">
        <f t="shared" si="20"/>
        <v>0</v>
      </c>
      <c r="AA441" s="8" t="s">
        <v>12</v>
      </c>
      <c r="AB441" s="8" t="str">
        <f t="shared" ref="AB441:AB455" si="21">$I$8&amp;" - SDK "&amp;Y441</f>
        <v>PEM040-001 - SDK 421</v>
      </c>
    </row>
    <row r="442" spans="24:28">
      <c r="X442" s="11">
        <f t="shared" si="19"/>
        <v>0</v>
      </c>
      <c r="Y442" s="8">
        <v>422</v>
      </c>
      <c r="Z442" s="12">
        <f t="shared" si="20"/>
        <v>0</v>
      </c>
      <c r="AA442" s="8" t="s">
        <v>12</v>
      </c>
      <c r="AB442" s="8" t="str">
        <f t="shared" si="21"/>
        <v>PEM040-001 - SDK 422</v>
      </c>
    </row>
    <row r="443" spans="24:28">
      <c r="X443" s="11">
        <f t="shared" si="19"/>
        <v>0</v>
      </c>
      <c r="Y443" s="8">
        <v>423</v>
      </c>
      <c r="Z443" s="12">
        <f t="shared" si="20"/>
        <v>0</v>
      </c>
      <c r="AA443" s="8" t="s">
        <v>12</v>
      </c>
      <c r="AB443" s="8" t="str">
        <f t="shared" si="21"/>
        <v>PEM040-001 - SDK 423</v>
      </c>
    </row>
    <row r="444" spans="24:28">
      <c r="X444" s="11">
        <f t="shared" si="19"/>
        <v>0</v>
      </c>
      <c r="Y444" s="8">
        <v>424</v>
      </c>
      <c r="Z444" s="12">
        <f t="shared" si="20"/>
        <v>0</v>
      </c>
      <c r="AA444" s="8" t="s">
        <v>12</v>
      </c>
      <c r="AB444" s="8" t="str">
        <f t="shared" si="21"/>
        <v>PEM040-001 - SDK 424</v>
      </c>
    </row>
    <row r="445" spans="24:28">
      <c r="X445" s="11">
        <f t="shared" si="19"/>
        <v>0</v>
      </c>
      <c r="Y445" s="8">
        <v>425</v>
      </c>
      <c r="Z445" s="12">
        <f t="shared" si="20"/>
        <v>0</v>
      </c>
      <c r="AA445" s="8" t="s">
        <v>12</v>
      </c>
      <c r="AB445" s="8" t="str">
        <f t="shared" si="21"/>
        <v>PEM040-001 - SDK 425</v>
      </c>
    </row>
    <row r="446" spans="24:28">
      <c r="X446" s="11">
        <f t="shared" si="19"/>
        <v>0</v>
      </c>
      <c r="Y446" s="8">
        <v>426</v>
      </c>
      <c r="Z446" s="12">
        <f t="shared" si="20"/>
        <v>0</v>
      </c>
      <c r="AA446" s="8" t="s">
        <v>12</v>
      </c>
      <c r="AB446" s="8" t="str">
        <f t="shared" si="21"/>
        <v>PEM040-001 - SDK 426</v>
      </c>
    </row>
    <row r="447" spans="24:28">
      <c r="X447" s="11">
        <f t="shared" si="19"/>
        <v>0</v>
      </c>
      <c r="Y447" s="8">
        <v>427</v>
      </c>
      <c r="Z447" s="12">
        <f t="shared" si="20"/>
        <v>0</v>
      </c>
      <c r="AA447" s="8" t="s">
        <v>12</v>
      </c>
      <c r="AB447" s="8" t="str">
        <f t="shared" si="21"/>
        <v>PEM040-001 - SDK 427</v>
      </c>
    </row>
    <row r="448" spans="24:28">
      <c r="X448" s="11">
        <f t="shared" si="19"/>
        <v>0</v>
      </c>
      <c r="Y448" s="8">
        <v>428</v>
      </c>
      <c r="Z448" s="12">
        <f t="shared" si="20"/>
        <v>0</v>
      </c>
      <c r="AA448" s="8" t="s">
        <v>12</v>
      </c>
      <c r="AB448" s="8" t="str">
        <f t="shared" si="21"/>
        <v>PEM040-001 - SDK 428</v>
      </c>
    </row>
    <row r="449" spans="24:28">
      <c r="X449" s="11">
        <f t="shared" si="19"/>
        <v>0</v>
      </c>
      <c r="Y449" s="8">
        <v>429</v>
      </c>
      <c r="Z449" s="12">
        <f t="shared" si="20"/>
        <v>0</v>
      </c>
      <c r="AA449" s="8" t="s">
        <v>12</v>
      </c>
      <c r="AB449" s="8" t="str">
        <f t="shared" si="21"/>
        <v>PEM040-001 - SDK 429</v>
      </c>
    </row>
    <row r="450" spans="24:28">
      <c r="X450" s="11">
        <f t="shared" si="19"/>
        <v>0</v>
      </c>
      <c r="Y450" s="8">
        <v>430</v>
      </c>
      <c r="Z450" s="12">
        <f t="shared" si="20"/>
        <v>0</v>
      </c>
      <c r="AA450" s="8" t="s">
        <v>12</v>
      </c>
      <c r="AB450" s="8" t="str">
        <f t="shared" si="21"/>
        <v>PEM040-001 - SDK 430</v>
      </c>
    </row>
    <row r="451" spans="24:28">
      <c r="X451" s="11">
        <f t="shared" si="19"/>
        <v>0</v>
      </c>
      <c r="Y451" s="8">
        <v>431</v>
      </c>
      <c r="Z451" s="12">
        <f t="shared" si="20"/>
        <v>0</v>
      </c>
      <c r="AA451" s="8" t="s">
        <v>12</v>
      </c>
      <c r="AB451" s="8" t="str">
        <f t="shared" si="21"/>
        <v>PEM040-001 - SDK 431</v>
      </c>
    </row>
    <row r="452" spans="24:28">
      <c r="X452" s="11">
        <f t="shared" si="19"/>
        <v>0</v>
      </c>
      <c r="Y452" s="8">
        <v>432</v>
      </c>
      <c r="Z452" s="12">
        <f t="shared" si="20"/>
        <v>0</v>
      </c>
      <c r="AA452" s="8" t="s">
        <v>12</v>
      </c>
      <c r="AB452" s="8" t="str">
        <f t="shared" si="21"/>
        <v>PEM040-001 - SDK 432</v>
      </c>
    </row>
    <row r="453" spans="24:28">
      <c r="X453" s="11">
        <f t="shared" si="19"/>
        <v>0</v>
      </c>
      <c r="Y453" s="8">
        <v>433</v>
      </c>
      <c r="Z453" s="12">
        <f t="shared" si="20"/>
        <v>0</v>
      </c>
      <c r="AA453" s="8" t="s">
        <v>12</v>
      </c>
      <c r="AB453" s="8" t="str">
        <f t="shared" si="21"/>
        <v>PEM040-001 - SDK 433</v>
      </c>
    </row>
    <row r="454" spans="24:28">
      <c r="X454" s="11">
        <f t="shared" si="19"/>
        <v>0</v>
      </c>
      <c r="Y454" s="8">
        <v>434</v>
      </c>
      <c r="Z454" s="12">
        <f t="shared" si="20"/>
        <v>0</v>
      </c>
      <c r="AA454" s="8" t="s">
        <v>12</v>
      </c>
      <c r="AB454" s="8" t="str">
        <f t="shared" si="21"/>
        <v>PEM040-001 - SDK 434</v>
      </c>
    </row>
    <row r="455" spans="24:28">
      <c r="X455" s="11">
        <f t="shared" si="19"/>
        <v>0</v>
      </c>
      <c r="Y455" s="8">
        <v>435</v>
      </c>
      <c r="Z455" s="12">
        <f t="shared" si="20"/>
        <v>0</v>
      </c>
      <c r="AA455" s="8" t="s">
        <v>12</v>
      </c>
      <c r="AB455" s="8" t="str">
        <f t="shared" si="21"/>
        <v>PEM040-001 - SDK 435</v>
      </c>
    </row>
  </sheetData>
  <mergeCells count="3">
    <mergeCell ref="AA6:AR8"/>
    <mergeCell ref="K20:M20"/>
    <mergeCell ref="N20:V20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97" orientation="landscape" r:id="rId1"/>
  <headerFooter alignWithMargins="0">
    <oddFooter xml:space="preserve">&amp;L&amp;Z&amp;F&amp;C&amp;D&amp;RConcise DesignShutdown Key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DQ70"/>
  <sheetViews>
    <sheetView showGridLines="0" view="pageBreakPreview" topLeftCell="C18" zoomScale="50" zoomScaleNormal="50" zoomScaleSheetLayoutView="50" zoomScalePageLayoutView="50" workbookViewId="0">
      <selection activeCell="W6" sqref="W6"/>
    </sheetView>
  </sheetViews>
  <sheetFormatPr defaultColWidth="12.7109375" defaultRowHeight="12" customHeight="1"/>
  <cols>
    <col min="1" max="1" width="8.7109375" style="21" hidden="1" customWidth="1"/>
    <col min="2" max="2" width="7.42578125" style="21" hidden="1" customWidth="1"/>
    <col min="3" max="3" width="19" style="21" customWidth="1"/>
    <col min="4" max="4" width="25.42578125" style="21" hidden="1" customWidth="1"/>
    <col min="5" max="5" width="95.85546875" style="27" bestFit="1" customWidth="1"/>
    <col min="6" max="6" width="18.42578125" style="114" hidden="1" customWidth="1"/>
    <col min="7" max="7" width="31.5703125" style="114" bestFit="1" customWidth="1"/>
    <col min="8" max="8" width="33" style="114" bestFit="1" customWidth="1"/>
    <col min="9" max="10" width="8.42578125" style="41" customWidth="1"/>
    <col min="11" max="11" width="10.85546875" style="41" bestFit="1" customWidth="1"/>
    <col min="12" max="12" width="6.140625" style="60" hidden="1" customWidth="1"/>
    <col min="13" max="14" width="6.140625" style="27" customWidth="1"/>
    <col min="15" max="16" width="6.140625" style="27" hidden="1" customWidth="1"/>
    <col min="17" max="21" width="6.140625" style="27" customWidth="1"/>
    <col min="22" max="22" width="6.140625" style="60" customWidth="1"/>
    <col min="23" max="31" width="6.140625" style="27" customWidth="1"/>
    <col min="32" max="32" width="6.140625" style="60" customWidth="1"/>
    <col min="33" max="41" width="6.140625" style="27" customWidth="1"/>
    <col min="42" max="42" width="6.140625" style="60" customWidth="1"/>
    <col min="43" max="51" width="6.140625" style="27" customWidth="1"/>
    <col min="52" max="52" width="6.140625" style="60" customWidth="1"/>
    <col min="53" max="61" width="6.140625" style="27" customWidth="1"/>
    <col min="62" max="62" width="6.140625" style="60" customWidth="1"/>
    <col min="63" max="71" width="6.140625" style="27" customWidth="1"/>
    <col min="72" max="72" width="6.140625" style="60" customWidth="1"/>
    <col min="73" max="80" width="6.140625" style="27" customWidth="1"/>
    <col min="81" max="81" width="6.140625" style="62" customWidth="1"/>
    <col min="82" max="91" width="6.140625" style="27" customWidth="1"/>
    <col min="92" max="16384" width="12.7109375" style="27"/>
  </cols>
  <sheetData>
    <row r="1" spans="1:121" s="113" customFormat="1" ht="20.25" customHeight="1">
      <c r="A1" s="15"/>
      <c r="B1" s="16"/>
      <c r="C1" s="16"/>
      <c r="D1" s="16"/>
      <c r="E1" s="17"/>
      <c r="F1" s="195"/>
      <c r="G1" s="195"/>
      <c r="H1" s="195"/>
      <c r="I1" s="18"/>
      <c r="J1" s="19" t="s">
        <v>13</v>
      </c>
      <c r="K1" s="20"/>
      <c r="L1" s="407">
        <v>1</v>
      </c>
      <c r="M1" s="402">
        <v>2</v>
      </c>
      <c r="N1" s="402">
        <v>3</v>
      </c>
      <c r="O1" s="402">
        <v>4</v>
      </c>
      <c r="P1" s="408">
        <v>6</v>
      </c>
      <c r="Q1" s="407">
        <v>7</v>
      </c>
      <c r="R1" s="402">
        <v>238</v>
      </c>
      <c r="S1" s="402">
        <v>889</v>
      </c>
      <c r="T1" s="402">
        <v>887</v>
      </c>
      <c r="U1" s="409">
        <v>888</v>
      </c>
      <c r="V1" s="401">
        <v>231</v>
      </c>
      <c r="W1" s="403">
        <v>7777</v>
      </c>
      <c r="X1" s="403"/>
      <c r="Y1" s="403"/>
      <c r="Z1" s="406"/>
      <c r="AA1" s="410"/>
      <c r="AB1" s="403"/>
      <c r="AC1" s="403"/>
      <c r="AD1" s="403"/>
      <c r="AE1" s="404"/>
      <c r="AF1" s="405"/>
      <c r="AG1" s="403"/>
      <c r="AH1" s="403"/>
      <c r="AI1" s="403"/>
      <c r="AJ1" s="406"/>
      <c r="AK1" s="410"/>
      <c r="AL1" s="403"/>
      <c r="AM1" s="403"/>
      <c r="AN1" s="403"/>
      <c r="AO1" s="404"/>
      <c r="AP1" s="405"/>
      <c r="AQ1" s="403"/>
      <c r="AR1" s="403"/>
      <c r="AS1" s="403"/>
      <c r="AT1" s="406"/>
      <c r="AU1" s="410"/>
      <c r="AV1" s="403"/>
      <c r="AW1" s="403"/>
      <c r="AX1" s="403"/>
      <c r="AY1" s="404"/>
      <c r="AZ1" s="405"/>
      <c r="BA1" s="403"/>
      <c r="BB1" s="403"/>
      <c r="BC1" s="403"/>
      <c r="BD1" s="406"/>
      <c r="BE1" s="410"/>
      <c r="BF1" s="403"/>
      <c r="BG1" s="403"/>
      <c r="BH1" s="403"/>
      <c r="BI1" s="404"/>
      <c r="BJ1" s="405"/>
      <c r="BK1" s="403"/>
      <c r="BL1" s="403"/>
      <c r="BM1" s="403"/>
      <c r="BN1" s="406"/>
      <c r="BO1" s="410"/>
      <c r="BP1" s="403"/>
      <c r="BQ1" s="403"/>
      <c r="BR1" s="403"/>
      <c r="BS1" s="404"/>
      <c r="BT1" s="405"/>
      <c r="BU1" s="403"/>
      <c r="BV1" s="403"/>
      <c r="BW1" s="403"/>
      <c r="BX1" s="406"/>
      <c r="BY1" s="410"/>
      <c r="BZ1" s="403"/>
      <c r="CA1" s="403"/>
      <c r="CB1" s="403"/>
      <c r="CC1" s="404"/>
      <c r="CD1" s="405"/>
      <c r="CE1" s="403"/>
      <c r="CF1" s="403"/>
      <c r="CG1" s="403"/>
      <c r="CH1" s="404"/>
      <c r="CI1" s="405"/>
      <c r="CJ1" s="403"/>
      <c r="CK1" s="403"/>
      <c r="CL1" s="403"/>
      <c r="CM1" s="406"/>
      <c r="CN1" s="21"/>
      <c r="CO1" s="21"/>
      <c r="CP1" s="21"/>
      <c r="CQ1" s="21"/>
      <c r="CR1" s="21"/>
      <c r="CS1" s="21"/>
      <c r="CT1" s="21"/>
      <c r="CU1" s="21"/>
      <c r="CV1" s="21"/>
      <c r="CW1" s="21"/>
      <c r="CX1" s="21"/>
      <c r="CY1" s="21"/>
      <c r="CZ1" s="21"/>
      <c r="DA1" s="21"/>
      <c r="DB1" s="21"/>
      <c r="DC1" s="21"/>
      <c r="DD1" s="21"/>
      <c r="DE1" s="21"/>
      <c r="DF1" s="21"/>
      <c r="DG1" s="21"/>
      <c r="DH1" s="21"/>
      <c r="DI1" s="21"/>
      <c r="DJ1" s="21"/>
      <c r="DK1" s="21"/>
      <c r="DL1" s="21"/>
      <c r="DM1" s="21"/>
      <c r="DN1" s="21"/>
      <c r="DO1" s="21"/>
      <c r="DP1" s="21"/>
      <c r="DQ1" s="21"/>
    </row>
    <row r="2" spans="1:121" s="113" customFormat="1" ht="24" customHeight="1" thickBot="1">
      <c r="A2" s="22"/>
      <c r="B2" s="21"/>
      <c r="C2" s="21"/>
      <c r="D2" s="21"/>
      <c r="E2" s="194"/>
      <c r="F2" s="196"/>
      <c r="G2" s="196"/>
      <c r="H2" s="196"/>
      <c r="I2" s="23"/>
      <c r="J2" s="24" t="s">
        <v>14</v>
      </c>
      <c r="K2" s="25"/>
      <c r="L2" s="388" t="s">
        <v>11</v>
      </c>
      <c r="M2" s="387" t="s">
        <v>11</v>
      </c>
      <c r="N2" s="387" t="s">
        <v>11</v>
      </c>
      <c r="O2" s="387" t="s">
        <v>11</v>
      </c>
      <c r="P2" s="389" t="s">
        <v>11</v>
      </c>
      <c r="Q2" s="388" t="s">
        <v>77</v>
      </c>
      <c r="R2" s="387" t="s">
        <v>11</v>
      </c>
      <c r="S2" s="387" t="s">
        <v>11</v>
      </c>
      <c r="T2" s="387" t="s">
        <v>11</v>
      </c>
      <c r="U2" s="390" t="s">
        <v>11</v>
      </c>
      <c r="V2" s="386" t="s">
        <v>11</v>
      </c>
      <c r="W2" s="372" t="s">
        <v>11</v>
      </c>
      <c r="X2" s="372"/>
      <c r="Y2" s="372"/>
      <c r="Z2" s="373"/>
      <c r="AA2" s="374"/>
      <c r="AB2" s="372"/>
      <c r="AC2" s="372"/>
      <c r="AD2" s="372"/>
      <c r="AE2" s="371"/>
      <c r="AF2" s="375"/>
      <c r="AG2" s="372"/>
      <c r="AH2" s="372"/>
      <c r="AI2" s="372"/>
      <c r="AJ2" s="373"/>
      <c r="AK2" s="374"/>
      <c r="AL2" s="372"/>
      <c r="AM2" s="372"/>
      <c r="AN2" s="372"/>
      <c r="AO2" s="371"/>
      <c r="AP2" s="375"/>
      <c r="AQ2" s="372"/>
      <c r="AR2" s="372"/>
      <c r="AS2" s="372"/>
      <c r="AT2" s="373"/>
      <c r="AU2" s="374"/>
      <c r="AV2" s="372"/>
      <c r="AW2" s="372"/>
      <c r="AX2" s="372"/>
      <c r="AY2" s="371"/>
      <c r="AZ2" s="375"/>
      <c r="BA2" s="372"/>
      <c r="BB2" s="372"/>
      <c r="BC2" s="372"/>
      <c r="BD2" s="373"/>
      <c r="BE2" s="374"/>
      <c r="BF2" s="372"/>
      <c r="BG2" s="372"/>
      <c r="BH2" s="372"/>
      <c r="BI2" s="371"/>
      <c r="BJ2" s="375"/>
      <c r="BK2" s="372"/>
      <c r="BL2" s="372"/>
      <c r="BM2" s="372"/>
      <c r="BN2" s="373"/>
      <c r="BO2" s="374"/>
      <c r="BP2" s="372"/>
      <c r="BQ2" s="372"/>
      <c r="BR2" s="372"/>
      <c r="BS2" s="371"/>
      <c r="BT2" s="375"/>
      <c r="BU2" s="372"/>
      <c r="BV2" s="372"/>
      <c r="BW2" s="372"/>
      <c r="BX2" s="373"/>
      <c r="BY2" s="374"/>
      <c r="BZ2" s="372"/>
      <c r="CA2" s="372"/>
      <c r="CB2" s="372"/>
      <c r="CC2" s="371"/>
      <c r="CD2" s="375"/>
      <c r="CE2" s="372"/>
      <c r="CF2" s="372"/>
      <c r="CG2" s="372"/>
      <c r="CH2" s="371"/>
      <c r="CI2" s="375"/>
      <c r="CJ2" s="372"/>
      <c r="CK2" s="372"/>
      <c r="CL2" s="372"/>
      <c r="CM2" s="373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  <c r="DO2" s="26"/>
      <c r="DP2" s="26"/>
      <c r="DQ2" s="21"/>
    </row>
    <row r="3" spans="1:121" ht="111" customHeight="1">
      <c r="A3" s="22"/>
      <c r="F3" s="196"/>
      <c r="G3" s="196"/>
      <c r="H3" s="196"/>
      <c r="I3" s="307" t="s">
        <v>15</v>
      </c>
      <c r="J3" s="308"/>
      <c r="K3" s="309"/>
      <c r="L3" s="421" t="s">
        <v>76</v>
      </c>
      <c r="M3" s="422" t="s">
        <v>76</v>
      </c>
      <c r="N3" s="422" t="s">
        <v>76</v>
      </c>
      <c r="O3" s="422" t="s">
        <v>76</v>
      </c>
      <c r="P3" s="423" t="s">
        <v>76</v>
      </c>
      <c r="Q3" s="421"/>
      <c r="R3" s="422" t="s">
        <v>16</v>
      </c>
      <c r="S3" s="422" t="s">
        <v>44</v>
      </c>
      <c r="T3" s="422" t="s">
        <v>44</v>
      </c>
      <c r="U3" s="424" t="s">
        <v>44</v>
      </c>
      <c r="V3" s="425" t="s">
        <v>44</v>
      </c>
      <c r="W3" s="372" t="s">
        <v>93</v>
      </c>
      <c r="X3" s="372"/>
      <c r="Y3" s="372"/>
      <c r="Z3" s="373"/>
      <c r="AA3" s="374"/>
      <c r="AB3" s="372"/>
      <c r="AC3" s="372"/>
      <c r="AD3" s="372"/>
      <c r="AE3" s="371"/>
      <c r="AF3" s="375"/>
      <c r="AG3" s="372"/>
      <c r="AH3" s="372"/>
      <c r="AI3" s="372"/>
      <c r="AJ3" s="373"/>
      <c r="AK3" s="374"/>
      <c r="AL3" s="372"/>
      <c r="AM3" s="372"/>
      <c r="AN3" s="372"/>
      <c r="AO3" s="371"/>
      <c r="AP3" s="375"/>
      <c r="AQ3" s="372"/>
      <c r="AR3" s="372"/>
      <c r="AS3" s="372"/>
      <c r="AT3" s="373"/>
      <c r="AU3" s="374"/>
      <c r="AV3" s="372"/>
      <c r="AW3" s="372"/>
      <c r="AX3" s="372"/>
      <c r="AY3" s="371"/>
      <c r="AZ3" s="375"/>
      <c r="BA3" s="372"/>
      <c r="BB3" s="372"/>
      <c r="BC3" s="372"/>
      <c r="BD3" s="373"/>
      <c r="BE3" s="374"/>
      <c r="BF3" s="372"/>
      <c r="BG3" s="372"/>
      <c r="BH3" s="372"/>
      <c r="BI3" s="371"/>
      <c r="BJ3" s="375"/>
      <c r="BK3" s="372"/>
      <c r="BL3" s="372"/>
      <c r="BM3" s="372"/>
      <c r="BN3" s="373"/>
      <c r="BO3" s="374"/>
      <c r="BP3" s="372"/>
      <c r="BQ3" s="372"/>
      <c r="BR3" s="372"/>
      <c r="BS3" s="371"/>
      <c r="BT3" s="375"/>
      <c r="BU3" s="372"/>
      <c r="BV3" s="372"/>
      <c r="BW3" s="372"/>
      <c r="BX3" s="373"/>
      <c r="BY3" s="374"/>
      <c r="BZ3" s="372"/>
      <c r="CA3" s="372"/>
      <c r="CB3" s="372"/>
      <c r="CC3" s="371"/>
      <c r="CD3" s="375"/>
      <c r="CE3" s="372"/>
      <c r="CF3" s="372"/>
      <c r="CG3" s="372"/>
      <c r="CH3" s="371"/>
      <c r="CI3" s="375"/>
      <c r="CJ3" s="372"/>
      <c r="CK3" s="372"/>
      <c r="CL3" s="372"/>
      <c r="CM3" s="373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</row>
    <row r="4" spans="1:121" s="29" customFormat="1" ht="156.75" customHeight="1">
      <c r="A4" s="22"/>
      <c r="B4" s="21"/>
      <c r="C4" s="21"/>
      <c r="D4" s="21"/>
      <c r="F4" s="21"/>
      <c r="G4" s="21"/>
      <c r="H4" s="30"/>
      <c r="I4" s="310" t="s">
        <v>17</v>
      </c>
      <c r="J4" s="311"/>
      <c r="K4" s="312"/>
      <c r="L4" s="421" t="s">
        <v>76</v>
      </c>
      <c r="M4" s="422" t="s">
        <v>76</v>
      </c>
      <c r="N4" s="422" t="s">
        <v>76</v>
      </c>
      <c r="O4" s="422" t="s">
        <v>76</v>
      </c>
      <c r="P4" s="423" t="s">
        <v>76</v>
      </c>
      <c r="Q4" s="421" t="s">
        <v>77</v>
      </c>
      <c r="R4" s="422" t="s">
        <v>76</v>
      </c>
      <c r="S4" s="422" t="s">
        <v>76</v>
      </c>
      <c r="T4" s="422" t="s">
        <v>76</v>
      </c>
      <c r="U4" s="424" t="s">
        <v>76</v>
      </c>
      <c r="V4" s="425" t="s">
        <v>76</v>
      </c>
      <c r="W4" s="372" t="s">
        <v>93</v>
      </c>
      <c r="X4" s="372"/>
      <c r="Y4" s="372"/>
      <c r="Z4" s="373"/>
      <c r="AA4" s="374"/>
      <c r="AB4" s="372"/>
      <c r="AC4" s="372"/>
      <c r="AD4" s="372"/>
      <c r="AE4" s="371"/>
      <c r="AF4" s="375"/>
      <c r="AG4" s="372"/>
      <c r="AH4" s="372"/>
      <c r="AI4" s="372"/>
      <c r="AJ4" s="373"/>
      <c r="AK4" s="374"/>
      <c r="AL4" s="372"/>
      <c r="AM4" s="372"/>
      <c r="AN4" s="372"/>
      <c r="AO4" s="371"/>
      <c r="AP4" s="375"/>
      <c r="AQ4" s="372"/>
      <c r="AR4" s="372"/>
      <c r="AS4" s="372"/>
      <c r="AT4" s="373"/>
      <c r="AU4" s="374"/>
      <c r="AV4" s="372"/>
      <c r="AW4" s="372"/>
      <c r="AX4" s="372"/>
      <c r="AY4" s="371"/>
      <c r="AZ4" s="375"/>
      <c r="BA4" s="372"/>
      <c r="BB4" s="372"/>
      <c r="BC4" s="372"/>
      <c r="BD4" s="373"/>
      <c r="BE4" s="374"/>
      <c r="BF4" s="372"/>
      <c r="BG4" s="372"/>
      <c r="BH4" s="372"/>
      <c r="BI4" s="371"/>
      <c r="BJ4" s="375"/>
      <c r="BK4" s="372"/>
      <c r="BL4" s="372"/>
      <c r="BM4" s="372"/>
      <c r="BN4" s="373"/>
      <c r="BO4" s="374"/>
      <c r="BP4" s="372"/>
      <c r="BQ4" s="372"/>
      <c r="BR4" s="372"/>
      <c r="BS4" s="371"/>
      <c r="BT4" s="375"/>
      <c r="BU4" s="372"/>
      <c r="BV4" s="372"/>
      <c r="BW4" s="372"/>
      <c r="BX4" s="373"/>
      <c r="BY4" s="374"/>
      <c r="BZ4" s="372"/>
      <c r="CA4" s="372"/>
      <c r="CB4" s="372"/>
      <c r="CC4" s="371"/>
      <c r="CD4" s="375"/>
      <c r="CE4" s="372"/>
      <c r="CF4" s="372"/>
      <c r="CG4" s="372"/>
      <c r="CH4" s="371"/>
      <c r="CI4" s="375"/>
      <c r="CJ4" s="372"/>
      <c r="CK4" s="372"/>
      <c r="CL4" s="372"/>
      <c r="CM4" s="373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6"/>
      <c r="DF4" s="28"/>
      <c r="DG4" s="26"/>
      <c r="DH4" s="28"/>
      <c r="DI4" s="26"/>
      <c r="DJ4" s="28"/>
      <c r="DK4" s="26"/>
      <c r="DL4" s="28"/>
      <c r="DM4" s="26"/>
      <c r="DN4" s="28"/>
      <c r="DO4" s="26"/>
      <c r="DP4" s="28"/>
      <c r="DQ4" s="28"/>
    </row>
    <row r="5" spans="1:121" s="21" customFormat="1" ht="408" customHeight="1">
      <c r="A5" s="22"/>
      <c r="H5" s="30" t="s">
        <v>18</v>
      </c>
      <c r="I5" s="203" t="s">
        <v>7</v>
      </c>
      <c r="J5" s="204"/>
      <c r="K5" s="313"/>
      <c r="L5" s="426" t="s">
        <v>69</v>
      </c>
      <c r="M5" s="427" t="s">
        <v>72</v>
      </c>
      <c r="N5" s="427" t="s">
        <v>71</v>
      </c>
      <c r="O5" s="427" t="s">
        <v>83</v>
      </c>
      <c r="P5" s="428" t="s">
        <v>82</v>
      </c>
      <c r="Q5" s="426"/>
      <c r="R5" s="427" t="s">
        <v>56</v>
      </c>
      <c r="S5" s="427" t="s">
        <v>59</v>
      </c>
      <c r="T5" s="427" t="s">
        <v>57</v>
      </c>
      <c r="U5" s="429" t="s">
        <v>58</v>
      </c>
      <c r="V5" s="430" t="s">
        <v>55</v>
      </c>
      <c r="W5" s="372" t="s">
        <v>93</v>
      </c>
      <c r="X5" s="372"/>
      <c r="Y5" s="372"/>
      <c r="Z5" s="373"/>
      <c r="AA5" s="374"/>
      <c r="AB5" s="372"/>
      <c r="AC5" s="372"/>
      <c r="AD5" s="372"/>
      <c r="AE5" s="371"/>
      <c r="AF5" s="375"/>
      <c r="AG5" s="372"/>
      <c r="AH5" s="372"/>
      <c r="AI5" s="372"/>
      <c r="AJ5" s="373"/>
      <c r="AK5" s="374"/>
      <c r="AL5" s="372"/>
      <c r="AM5" s="372"/>
      <c r="AN5" s="372"/>
      <c r="AO5" s="371"/>
      <c r="AP5" s="375"/>
      <c r="AQ5" s="372"/>
      <c r="AR5" s="372"/>
      <c r="AS5" s="372"/>
      <c r="AT5" s="373"/>
      <c r="AU5" s="374"/>
      <c r="AV5" s="372"/>
      <c r="AW5" s="372"/>
      <c r="AX5" s="372"/>
      <c r="AY5" s="371"/>
      <c r="AZ5" s="375"/>
      <c r="BA5" s="372"/>
      <c r="BB5" s="372"/>
      <c r="BC5" s="372"/>
      <c r="BD5" s="373"/>
      <c r="BE5" s="374"/>
      <c r="BF5" s="372"/>
      <c r="BG5" s="372"/>
      <c r="BH5" s="372"/>
      <c r="BI5" s="371"/>
      <c r="BJ5" s="375"/>
      <c r="BK5" s="372"/>
      <c r="BL5" s="372"/>
      <c r="BM5" s="372"/>
      <c r="BN5" s="373"/>
      <c r="BO5" s="374"/>
      <c r="BP5" s="372"/>
      <c r="BQ5" s="372"/>
      <c r="BR5" s="372"/>
      <c r="BS5" s="371"/>
      <c r="BT5" s="375"/>
      <c r="BU5" s="372"/>
      <c r="BV5" s="372"/>
      <c r="BW5" s="372"/>
      <c r="BX5" s="373"/>
      <c r="BY5" s="374"/>
      <c r="BZ5" s="372"/>
      <c r="CA5" s="372"/>
      <c r="CB5" s="372"/>
      <c r="CC5" s="371"/>
      <c r="CD5" s="375"/>
      <c r="CE5" s="372"/>
      <c r="CF5" s="372"/>
      <c r="CG5" s="372"/>
      <c r="CH5" s="371"/>
      <c r="CI5" s="375"/>
      <c r="CJ5" s="372"/>
      <c r="CK5" s="372"/>
      <c r="CL5" s="372"/>
      <c r="CM5" s="373"/>
      <c r="CN5" s="31"/>
      <c r="CO5" s="32"/>
      <c r="CP5" s="31"/>
      <c r="CQ5" s="32"/>
      <c r="CR5" s="31"/>
      <c r="CS5" s="32"/>
      <c r="CT5" s="31"/>
      <c r="CU5" s="32"/>
      <c r="CV5" s="31"/>
      <c r="CW5" s="33"/>
      <c r="CX5" s="31"/>
      <c r="CY5" s="33"/>
      <c r="CZ5" s="31"/>
      <c r="DA5" s="31"/>
      <c r="DB5" s="31"/>
      <c r="DC5" s="32"/>
      <c r="DD5" s="31"/>
      <c r="DE5" s="31"/>
      <c r="DF5" s="31"/>
      <c r="DG5" s="31"/>
      <c r="DH5" s="31"/>
      <c r="DI5" s="31"/>
      <c r="DJ5" s="31"/>
      <c r="DK5" s="32"/>
      <c r="DL5" s="31"/>
      <c r="DM5" s="33"/>
      <c r="DN5" s="31"/>
      <c r="DO5" s="31"/>
      <c r="DP5" s="31"/>
      <c r="DQ5" s="33"/>
    </row>
    <row r="6" spans="1:121" s="21" customFormat="1" ht="140.25" customHeight="1" thickBot="1">
      <c r="A6" s="22"/>
      <c r="D6" s="197"/>
      <c r="E6" s="197" t="s">
        <v>19</v>
      </c>
      <c r="I6" s="232" t="s">
        <v>20</v>
      </c>
      <c r="J6" s="233"/>
      <c r="K6" s="314"/>
      <c r="L6" s="431" t="s">
        <v>66</v>
      </c>
      <c r="M6" s="432" t="s">
        <v>64</v>
      </c>
      <c r="N6" s="432" t="s">
        <v>65</v>
      </c>
      <c r="O6" s="432" t="s">
        <v>67</v>
      </c>
      <c r="P6" s="433" t="s">
        <v>68</v>
      </c>
      <c r="Q6" s="431"/>
      <c r="R6" s="432" t="s">
        <v>21</v>
      </c>
      <c r="S6" s="432" t="s">
        <v>63</v>
      </c>
      <c r="T6" s="432" t="s">
        <v>61</v>
      </c>
      <c r="U6" s="434" t="s">
        <v>62</v>
      </c>
      <c r="V6" s="435" t="s">
        <v>60</v>
      </c>
      <c r="W6" s="393" t="s">
        <v>92</v>
      </c>
      <c r="X6" s="393"/>
      <c r="Y6" s="393"/>
      <c r="Z6" s="396"/>
      <c r="AA6" s="400"/>
      <c r="AB6" s="393"/>
      <c r="AC6" s="393"/>
      <c r="AD6" s="393"/>
      <c r="AE6" s="394"/>
      <c r="AF6" s="395"/>
      <c r="AG6" s="393"/>
      <c r="AH6" s="393"/>
      <c r="AI6" s="393"/>
      <c r="AJ6" s="396"/>
      <c r="AK6" s="400"/>
      <c r="AL6" s="393"/>
      <c r="AM6" s="393"/>
      <c r="AN6" s="393"/>
      <c r="AO6" s="394"/>
      <c r="AP6" s="395"/>
      <c r="AQ6" s="393"/>
      <c r="AR6" s="393"/>
      <c r="AS6" s="393"/>
      <c r="AT6" s="396"/>
      <c r="AU6" s="400"/>
      <c r="AV6" s="393"/>
      <c r="AW6" s="393"/>
      <c r="AX6" s="393"/>
      <c r="AY6" s="394"/>
      <c r="AZ6" s="395"/>
      <c r="BA6" s="393"/>
      <c r="BB6" s="393"/>
      <c r="BC6" s="393"/>
      <c r="BD6" s="396"/>
      <c r="BE6" s="400"/>
      <c r="BF6" s="393"/>
      <c r="BG6" s="393"/>
      <c r="BH6" s="393"/>
      <c r="BI6" s="394"/>
      <c r="BJ6" s="395"/>
      <c r="BK6" s="393"/>
      <c r="BL6" s="393"/>
      <c r="BM6" s="393"/>
      <c r="BN6" s="396"/>
      <c r="BO6" s="400"/>
      <c r="BP6" s="393"/>
      <c r="BQ6" s="393"/>
      <c r="BR6" s="393"/>
      <c r="BS6" s="394"/>
      <c r="BT6" s="395"/>
      <c r="BU6" s="393"/>
      <c r="BV6" s="393"/>
      <c r="BW6" s="393"/>
      <c r="BX6" s="396"/>
      <c r="BY6" s="400"/>
      <c r="BZ6" s="393"/>
      <c r="CA6" s="393"/>
      <c r="CB6" s="393"/>
      <c r="CC6" s="394"/>
      <c r="CD6" s="395"/>
      <c r="CE6" s="393"/>
      <c r="CF6" s="393"/>
      <c r="CG6" s="393"/>
      <c r="CH6" s="394"/>
      <c r="CI6" s="395"/>
      <c r="CJ6" s="393"/>
      <c r="CK6" s="393"/>
      <c r="CL6" s="393"/>
      <c r="CM6" s="396"/>
      <c r="CN6" s="28"/>
      <c r="CO6" s="28"/>
      <c r="CP6" s="28"/>
      <c r="CQ6" s="34"/>
      <c r="CR6" s="33"/>
      <c r="CS6" s="33"/>
      <c r="CT6" s="34"/>
      <c r="CU6" s="35"/>
      <c r="CV6" s="36"/>
      <c r="CW6" s="37"/>
      <c r="CX6" s="37"/>
      <c r="CY6" s="37"/>
      <c r="CZ6" s="38"/>
      <c r="DA6" s="39"/>
      <c r="DB6" s="39"/>
      <c r="DC6" s="39"/>
      <c r="DD6" s="28"/>
      <c r="DE6" s="39"/>
      <c r="DF6" s="40"/>
      <c r="DG6" s="39"/>
      <c r="DH6" s="40"/>
      <c r="DI6" s="39"/>
      <c r="DJ6" s="40"/>
      <c r="DK6" s="39"/>
      <c r="DL6" s="40"/>
      <c r="DM6" s="39"/>
      <c r="DN6" s="40"/>
      <c r="DO6" s="39"/>
      <c r="DP6" s="40"/>
      <c r="DQ6" s="40"/>
    </row>
    <row r="7" spans="1:121" s="41" customFormat="1" ht="25.5" customHeight="1">
      <c r="A7" s="221" t="s">
        <v>22</v>
      </c>
      <c r="B7" s="212" t="s">
        <v>23</v>
      </c>
      <c r="C7" s="212" t="s">
        <v>24</v>
      </c>
      <c r="D7" s="212" t="s">
        <v>25</v>
      </c>
      <c r="E7" s="212" t="s">
        <v>7</v>
      </c>
      <c r="F7" s="212" t="s">
        <v>26</v>
      </c>
      <c r="G7" s="212" t="s">
        <v>20</v>
      </c>
      <c r="H7" s="225" t="s">
        <v>27</v>
      </c>
      <c r="I7" s="318" t="s">
        <v>28</v>
      </c>
      <c r="J7" s="212"/>
      <c r="K7" s="319"/>
      <c r="L7" s="407"/>
      <c r="M7" s="402"/>
      <c r="N7" s="402"/>
      <c r="O7" s="402"/>
      <c r="P7" s="408"/>
      <c r="Q7" s="407"/>
      <c r="R7" s="402"/>
      <c r="S7" s="402"/>
      <c r="T7" s="402"/>
      <c r="U7" s="409"/>
      <c r="V7" s="401"/>
      <c r="W7" s="403" t="s">
        <v>93</v>
      </c>
      <c r="X7" s="403"/>
      <c r="Y7" s="403"/>
      <c r="Z7" s="406"/>
      <c r="AA7" s="410"/>
      <c r="AB7" s="403"/>
      <c r="AC7" s="403"/>
      <c r="AD7" s="403"/>
      <c r="AE7" s="404"/>
      <c r="AF7" s="405"/>
      <c r="AG7" s="403"/>
      <c r="AH7" s="403"/>
      <c r="AI7" s="403"/>
      <c r="AJ7" s="406"/>
      <c r="AK7" s="410"/>
      <c r="AL7" s="403"/>
      <c r="AM7" s="403"/>
      <c r="AN7" s="403"/>
      <c r="AO7" s="404"/>
      <c r="AP7" s="405"/>
      <c r="AQ7" s="403"/>
      <c r="AR7" s="403"/>
      <c r="AS7" s="403"/>
      <c r="AT7" s="406"/>
      <c r="AU7" s="410"/>
      <c r="AV7" s="403"/>
      <c r="AW7" s="403"/>
      <c r="AX7" s="403"/>
      <c r="AY7" s="404"/>
      <c r="AZ7" s="405"/>
      <c r="BA7" s="403"/>
      <c r="BB7" s="403"/>
      <c r="BC7" s="403"/>
      <c r="BD7" s="406"/>
      <c r="BE7" s="410"/>
      <c r="BF7" s="403"/>
      <c r="BG7" s="403"/>
      <c r="BH7" s="403"/>
      <c r="BI7" s="404"/>
      <c r="BJ7" s="405"/>
      <c r="BK7" s="403"/>
      <c r="BL7" s="403"/>
      <c r="BM7" s="403"/>
      <c r="BN7" s="406"/>
      <c r="BO7" s="410"/>
      <c r="BP7" s="403"/>
      <c r="BQ7" s="403"/>
      <c r="BR7" s="403"/>
      <c r="BS7" s="404"/>
      <c r="BT7" s="405"/>
      <c r="BU7" s="403"/>
      <c r="BV7" s="403"/>
      <c r="BW7" s="403"/>
      <c r="BX7" s="406"/>
      <c r="BY7" s="410"/>
      <c r="BZ7" s="403"/>
      <c r="CA7" s="403"/>
      <c r="CB7" s="403"/>
      <c r="CC7" s="404"/>
      <c r="CD7" s="405"/>
      <c r="CE7" s="403"/>
      <c r="CF7" s="403"/>
      <c r="CG7" s="403"/>
      <c r="CH7" s="404"/>
      <c r="CI7" s="405"/>
      <c r="CJ7" s="403"/>
      <c r="CK7" s="403"/>
      <c r="CL7" s="403"/>
      <c r="CM7" s="406"/>
    </row>
    <row r="8" spans="1:121" s="41" customFormat="1" ht="25.5" customHeight="1">
      <c r="A8" s="222"/>
      <c r="B8" s="213"/>
      <c r="C8" s="213"/>
      <c r="D8" s="213"/>
      <c r="E8" s="213"/>
      <c r="F8" s="213"/>
      <c r="G8" s="213"/>
      <c r="H8" s="226"/>
      <c r="I8" s="42"/>
      <c r="J8" s="214" t="s">
        <v>29</v>
      </c>
      <c r="K8" s="320"/>
      <c r="L8" s="388"/>
      <c r="M8" s="387"/>
      <c r="N8" s="387"/>
      <c r="O8" s="387"/>
      <c r="P8" s="389"/>
      <c r="Q8" s="388"/>
      <c r="R8" s="387"/>
      <c r="S8" s="387"/>
      <c r="T8" s="387"/>
      <c r="U8" s="390"/>
      <c r="V8" s="386"/>
      <c r="W8" s="372" t="s">
        <v>93</v>
      </c>
      <c r="X8" s="372"/>
      <c r="Y8" s="372"/>
      <c r="Z8" s="373"/>
      <c r="AA8" s="374"/>
      <c r="AB8" s="372"/>
      <c r="AC8" s="372"/>
      <c r="AD8" s="372"/>
      <c r="AE8" s="371"/>
      <c r="AF8" s="375"/>
      <c r="AG8" s="372"/>
      <c r="AH8" s="372"/>
      <c r="AI8" s="372"/>
      <c r="AJ8" s="373"/>
      <c r="AK8" s="374"/>
      <c r="AL8" s="372"/>
      <c r="AM8" s="372"/>
      <c r="AN8" s="372"/>
      <c r="AO8" s="371"/>
      <c r="AP8" s="375"/>
      <c r="AQ8" s="372"/>
      <c r="AR8" s="372"/>
      <c r="AS8" s="372"/>
      <c r="AT8" s="373"/>
      <c r="AU8" s="374"/>
      <c r="AV8" s="372"/>
      <c r="AW8" s="372"/>
      <c r="AX8" s="372"/>
      <c r="AY8" s="371"/>
      <c r="AZ8" s="375"/>
      <c r="BA8" s="372"/>
      <c r="BB8" s="372"/>
      <c r="BC8" s="372"/>
      <c r="BD8" s="373"/>
      <c r="BE8" s="374"/>
      <c r="BF8" s="372"/>
      <c r="BG8" s="372"/>
      <c r="BH8" s="372"/>
      <c r="BI8" s="371"/>
      <c r="BJ8" s="375"/>
      <c r="BK8" s="372"/>
      <c r="BL8" s="372"/>
      <c r="BM8" s="372"/>
      <c r="BN8" s="373"/>
      <c r="BO8" s="374"/>
      <c r="BP8" s="372"/>
      <c r="BQ8" s="372"/>
      <c r="BR8" s="372"/>
      <c r="BS8" s="371"/>
      <c r="BT8" s="375"/>
      <c r="BU8" s="372"/>
      <c r="BV8" s="372"/>
      <c r="BW8" s="372"/>
      <c r="BX8" s="373"/>
      <c r="BY8" s="374"/>
      <c r="BZ8" s="372"/>
      <c r="CA8" s="372"/>
      <c r="CB8" s="372"/>
      <c r="CC8" s="371"/>
      <c r="CD8" s="375"/>
      <c r="CE8" s="372"/>
      <c r="CF8" s="372"/>
      <c r="CG8" s="372"/>
      <c r="CH8" s="371"/>
      <c r="CI8" s="375"/>
      <c r="CJ8" s="372"/>
      <c r="CK8" s="372"/>
      <c r="CL8" s="372"/>
      <c r="CM8" s="373"/>
    </row>
    <row r="9" spans="1:121" s="41" customFormat="1" ht="25.5" customHeight="1" thickBot="1">
      <c r="A9" s="315"/>
      <c r="B9" s="316"/>
      <c r="C9" s="316"/>
      <c r="D9" s="316"/>
      <c r="E9" s="316"/>
      <c r="F9" s="316"/>
      <c r="G9" s="316"/>
      <c r="H9" s="317"/>
      <c r="I9" s="43"/>
      <c r="J9" s="191"/>
      <c r="K9" s="44" t="s">
        <v>30</v>
      </c>
      <c r="L9" s="413"/>
      <c r="M9" s="412"/>
      <c r="N9" s="412"/>
      <c r="O9" s="412"/>
      <c r="P9" s="414"/>
      <c r="Q9" s="413"/>
      <c r="R9" s="412"/>
      <c r="S9" s="412"/>
      <c r="T9" s="412"/>
      <c r="U9" s="415"/>
      <c r="V9" s="411"/>
      <c r="W9" s="377" t="s">
        <v>93</v>
      </c>
      <c r="X9" s="377"/>
      <c r="Y9" s="377"/>
      <c r="Z9" s="378"/>
      <c r="AA9" s="379"/>
      <c r="AB9" s="377"/>
      <c r="AC9" s="377"/>
      <c r="AD9" s="377"/>
      <c r="AE9" s="376"/>
      <c r="AF9" s="380"/>
      <c r="AG9" s="377"/>
      <c r="AH9" s="377"/>
      <c r="AI9" s="377"/>
      <c r="AJ9" s="378"/>
      <c r="AK9" s="379"/>
      <c r="AL9" s="377"/>
      <c r="AM9" s="377"/>
      <c r="AN9" s="377"/>
      <c r="AO9" s="376"/>
      <c r="AP9" s="380"/>
      <c r="AQ9" s="377"/>
      <c r="AR9" s="377"/>
      <c r="AS9" s="377"/>
      <c r="AT9" s="378"/>
      <c r="AU9" s="379"/>
      <c r="AV9" s="377"/>
      <c r="AW9" s="377"/>
      <c r="AX9" s="377"/>
      <c r="AY9" s="376"/>
      <c r="AZ9" s="380"/>
      <c r="BA9" s="377"/>
      <c r="BB9" s="377"/>
      <c r="BC9" s="377"/>
      <c r="BD9" s="378"/>
      <c r="BE9" s="379"/>
      <c r="BF9" s="377"/>
      <c r="BG9" s="377"/>
      <c r="BH9" s="377"/>
      <c r="BI9" s="376"/>
      <c r="BJ9" s="380"/>
      <c r="BK9" s="377"/>
      <c r="BL9" s="377"/>
      <c r="BM9" s="377"/>
      <c r="BN9" s="378"/>
      <c r="BO9" s="379"/>
      <c r="BP9" s="377"/>
      <c r="BQ9" s="377"/>
      <c r="BR9" s="377"/>
      <c r="BS9" s="376"/>
      <c r="BT9" s="380"/>
      <c r="BU9" s="377"/>
      <c r="BV9" s="377"/>
      <c r="BW9" s="377"/>
      <c r="BX9" s="378"/>
      <c r="BY9" s="379"/>
      <c r="BZ9" s="377"/>
      <c r="CA9" s="377"/>
      <c r="CB9" s="377"/>
      <c r="CC9" s="376"/>
      <c r="CD9" s="380"/>
      <c r="CE9" s="377"/>
      <c r="CF9" s="377"/>
      <c r="CG9" s="377"/>
      <c r="CH9" s="376"/>
      <c r="CI9" s="380"/>
      <c r="CJ9" s="377"/>
      <c r="CK9" s="377"/>
      <c r="CL9" s="377"/>
      <c r="CM9" s="378"/>
    </row>
    <row r="10" spans="1:121" ht="25.5" hidden="1" customHeight="1">
      <c r="A10" s="100">
        <v>1</v>
      </c>
      <c r="B10" s="101" t="s">
        <v>11</v>
      </c>
      <c r="C10" s="101"/>
      <c r="D10" s="101" t="s">
        <v>76</v>
      </c>
      <c r="E10" s="102" t="s">
        <v>69</v>
      </c>
      <c r="F10" s="101"/>
      <c r="G10" s="102" t="s">
        <v>66</v>
      </c>
      <c r="H10" s="177" t="s">
        <v>66</v>
      </c>
      <c r="I10" s="104"/>
      <c r="J10" s="102"/>
      <c r="K10" s="103"/>
      <c r="L10" s="347" t="s">
        <v>78</v>
      </c>
      <c r="M10" s="342"/>
      <c r="N10" s="342"/>
      <c r="O10" s="342"/>
      <c r="P10" s="348"/>
      <c r="Q10" s="347"/>
      <c r="R10" s="342"/>
      <c r="S10" s="342"/>
      <c r="T10" s="342"/>
      <c r="U10" s="349"/>
      <c r="V10" s="341"/>
      <c r="W10" s="343"/>
      <c r="X10" s="343"/>
      <c r="Y10" s="343"/>
      <c r="Z10" s="346"/>
      <c r="AA10" s="350"/>
      <c r="AB10" s="343"/>
      <c r="AC10" s="343"/>
      <c r="AD10" s="343"/>
      <c r="AE10" s="344"/>
      <c r="AF10" s="345"/>
      <c r="AG10" s="343"/>
      <c r="AH10" s="343"/>
      <c r="AI10" s="343"/>
      <c r="AJ10" s="346"/>
      <c r="AK10" s="350"/>
      <c r="AL10" s="343"/>
      <c r="AM10" s="343"/>
      <c r="AN10" s="343"/>
      <c r="AO10" s="344"/>
      <c r="AP10" s="345"/>
      <c r="AQ10" s="343"/>
      <c r="AR10" s="343"/>
      <c r="AS10" s="343"/>
      <c r="AT10" s="346"/>
      <c r="AU10" s="350"/>
      <c r="AV10" s="343"/>
      <c r="AW10" s="343"/>
      <c r="AX10" s="343"/>
      <c r="AY10" s="344"/>
      <c r="AZ10" s="345"/>
      <c r="BA10" s="343"/>
      <c r="BB10" s="343"/>
      <c r="BC10" s="343"/>
      <c r="BD10" s="346"/>
      <c r="BE10" s="350"/>
      <c r="BF10" s="343"/>
      <c r="BG10" s="343"/>
      <c r="BH10" s="343"/>
      <c r="BI10" s="344"/>
      <c r="BJ10" s="345"/>
      <c r="BK10" s="343"/>
      <c r="BL10" s="343"/>
      <c r="BM10" s="343"/>
      <c r="BN10" s="346"/>
      <c r="BO10" s="350"/>
      <c r="BP10" s="343"/>
      <c r="BQ10" s="343"/>
      <c r="BR10" s="343"/>
      <c r="BS10" s="344"/>
      <c r="BT10" s="345"/>
      <c r="BU10" s="343"/>
      <c r="BV10" s="343"/>
      <c r="BW10" s="343"/>
      <c r="BX10" s="346"/>
      <c r="BY10" s="350"/>
      <c r="BZ10" s="343"/>
      <c r="CA10" s="343"/>
      <c r="CB10" s="343"/>
      <c r="CC10" s="344"/>
      <c r="CD10" s="345"/>
      <c r="CE10" s="343"/>
      <c r="CF10" s="343"/>
      <c r="CG10" s="343"/>
      <c r="CH10" s="344"/>
      <c r="CI10" s="345"/>
      <c r="CJ10" s="343"/>
      <c r="CK10" s="343"/>
      <c r="CL10" s="343"/>
      <c r="CM10" s="346"/>
      <c r="CN10" s="45"/>
      <c r="CO10" s="45"/>
      <c r="CP10" s="45"/>
      <c r="CQ10" s="45"/>
      <c r="CR10" s="45"/>
      <c r="CS10" s="45"/>
      <c r="CT10" s="45"/>
      <c r="CU10" s="45"/>
      <c r="CV10" s="45"/>
      <c r="CW10" s="45"/>
      <c r="CX10" s="45"/>
      <c r="CY10" s="45"/>
      <c r="CZ10" s="45"/>
      <c r="DA10" s="45"/>
      <c r="DB10" s="45"/>
      <c r="DC10" s="45"/>
      <c r="DD10" s="45"/>
      <c r="DE10" s="45"/>
      <c r="DF10" s="45"/>
      <c r="DG10" s="45"/>
      <c r="DH10" s="45"/>
      <c r="DI10" s="45"/>
      <c r="DJ10" s="45"/>
      <c r="DK10" s="45"/>
      <c r="DL10" s="45"/>
      <c r="DM10" s="45"/>
      <c r="DN10" s="45"/>
    </row>
    <row r="11" spans="1:121" ht="25.5" customHeight="1">
      <c r="A11" s="321">
        <v>2</v>
      </c>
      <c r="B11" s="322" t="s">
        <v>11</v>
      </c>
      <c r="C11" s="322"/>
      <c r="D11" s="322" t="s">
        <v>76</v>
      </c>
      <c r="E11" s="323" t="s">
        <v>70</v>
      </c>
      <c r="F11" s="322"/>
      <c r="G11" s="323" t="s">
        <v>64</v>
      </c>
      <c r="H11" s="324" t="s">
        <v>64</v>
      </c>
      <c r="I11" s="325"/>
      <c r="J11" s="323"/>
      <c r="K11" s="326"/>
      <c r="L11" s="327" t="s">
        <v>78</v>
      </c>
      <c r="M11" s="322" t="s">
        <v>78</v>
      </c>
      <c r="N11" s="322"/>
      <c r="O11" s="322"/>
      <c r="P11" s="328"/>
      <c r="Q11" s="327"/>
      <c r="R11" s="322"/>
      <c r="S11" s="322"/>
      <c r="T11" s="322" t="s">
        <v>79</v>
      </c>
      <c r="U11" s="329" t="s">
        <v>80</v>
      </c>
      <c r="V11" s="321" t="s">
        <v>80</v>
      </c>
      <c r="W11" s="323"/>
      <c r="X11" s="323"/>
      <c r="Y11" s="323"/>
      <c r="Z11" s="326"/>
      <c r="AA11" s="330"/>
      <c r="AB11" s="323"/>
      <c r="AC11" s="323"/>
      <c r="AD11" s="323"/>
      <c r="AE11" s="324"/>
      <c r="AF11" s="325"/>
      <c r="AG11" s="323"/>
      <c r="AH11" s="323"/>
      <c r="AI11" s="323"/>
      <c r="AJ11" s="326"/>
      <c r="AK11" s="330"/>
      <c r="AL11" s="323"/>
      <c r="AM11" s="323"/>
      <c r="AN11" s="323"/>
      <c r="AO11" s="324"/>
      <c r="AP11" s="325"/>
      <c r="AQ11" s="323"/>
      <c r="AR11" s="323"/>
      <c r="AS11" s="323"/>
      <c r="AT11" s="326"/>
      <c r="AU11" s="330"/>
      <c r="AV11" s="323"/>
      <c r="AW11" s="323"/>
      <c r="AX11" s="323"/>
      <c r="AY11" s="324"/>
      <c r="AZ11" s="325"/>
      <c r="BA11" s="323"/>
      <c r="BB11" s="323"/>
      <c r="BC11" s="323"/>
      <c r="BD11" s="326"/>
      <c r="BE11" s="330"/>
      <c r="BF11" s="323"/>
      <c r="BG11" s="323"/>
      <c r="BH11" s="323"/>
      <c r="BI11" s="324"/>
      <c r="BJ11" s="325"/>
      <c r="BK11" s="323"/>
      <c r="BL11" s="323"/>
      <c r="BM11" s="323"/>
      <c r="BN11" s="326"/>
      <c r="BO11" s="330"/>
      <c r="BP11" s="323"/>
      <c r="BQ11" s="323"/>
      <c r="BR11" s="323"/>
      <c r="BS11" s="324"/>
      <c r="BT11" s="325"/>
      <c r="BU11" s="323"/>
      <c r="BV11" s="323"/>
      <c r="BW11" s="323"/>
      <c r="BX11" s="326"/>
      <c r="BY11" s="330"/>
      <c r="BZ11" s="323"/>
      <c r="CA11" s="323"/>
      <c r="CB11" s="323"/>
      <c r="CC11" s="324"/>
      <c r="CD11" s="325"/>
      <c r="CE11" s="323"/>
      <c r="CF11" s="323"/>
      <c r="CG11" s="323"/>
      <c r="CH11" s="324"/>
      <c r="CI11" s="325"/>
      <c r="CJ11" s="323"/>
      <c r="CK11" s="323"/>
      <c r="CL11" s="323"/>
      <c r="CM11" s="326"/>
      <c r="CN11" s="46"/>
      <c r="CO11" s="45"/>
      <c r="CP11" s="45"/>
      <c r="CQ11" s="45"/>
      <c r="CR11" s="46"/>
      <c r="CS11" s="45"/>
      <c r="CT11" s="45"/>
      <c r="CU11" s="45"/>
      <c r="CV11" s="45"/>
      <c r="CW11" s="45"/>
      <c r="CX11" s="46"/>
      <c r="CY11" s="45"/>
      <c r="CZ11" s="45"/>
      <c r="DA11" s="46"/>
      <c r="DB11" s="47"/>
      <c r="DC11" s="46"/>
      <c r="DD11" s="46"/>
      <c r="DE11" s="45"/>
      <c r="DF11" s="46"/>
      <c r="DG11" s="46"/>
      <c r="DH11" s="45"/>
      <c r="DI11" s="45"/>
      <c r="DJ11" s="45"/>
      <c r="DK11" s="45"/>
      <c r="DL11" s="45"/>
      <c r="DM11" s="45"/>
      <c r="DN11" s="45"/>
    </row>
    <row r="12" spans="1:121" ht="25.5" customHeight="1">
      <c r="A12" s="321">
        <v>3</v>
      </c>
      <c r="B12" s="322" t="s">
        <v>11</v>
      </c>
      <c r="C12" s="322"/>
      <c r="D12" s="322" t="s">
        <v>76</v>
      </c>
      <c r="E12" s="323" t="s">
        <v>71</v>
      </c>
      <c r="F12" s="322"/>
      <c r="G12" s="323" t="s">
        <v>65</v>
      </c>
      <c r="H12" s="324" t="s">
        <v>65</v>
      </c>
      <c r="I12" s="325"/>
      <c r="J12" s="323"/>
      <c r="K12" s="326"/>
      <c r="L12" s="327" t="s">
        <v>78</v>
      </c>
      <c r="M12" s="322"/>
      <c r="N12" s="322" t="s">
        <v>78</v>
      </c>
      <c r="O12" s="322"/>
      <c r="P12" s="328"/>
      <c r="Q12" s="327"/>
      <c r="R12" s="322"/>
      <c r="S12" s="322"/>
      <c r="T12" s="322"/>
      <c r="U12" s="329" t="s">
        <v>80</v>
      </c>
      <c r="V12" s="321" t="s">
        <v>79</v>
      </c>
      <c r="W12" s="323"/>
      <c r="X12" s="323"/>
      <c r="Y12" s="323"/>
      <c r="Z12" s="326"/>
      <c r="AA12" s="330"/>
      <c r="AB12" s="323"/>
      <c r="AC12" s="323"/>
      <c r="AD12" s="323"/>
      <c r="AE12" s="324"/>
      <c r="AF12" s="325"/>
      <c r="AG12" s="323"/>
      <c r="AH12" s="323"/>
      <c r="AI12" s="323"/>
      <c r="AJ12" s="326"/>
      <c r="AK12" s="330"/>
      <c r="AL12" s="323"/>
      <c r="AM12" s="323"/>
      <c r="AN12" s="323"/>
      <c r="AO12" s="324"/>
      <c r="AP12" s="325"/>
      <c r="AQ12" s="323"/>
      <c r="AR12" s="323"/>
      <c r="AS12" s="323"/>
      <c r="AT12" s="326"/>
      <c r="AU12" s="330"/>
      <c r="AV12" s="323"/>
      <c r="AW12" s="323"/>
      <c r="AX12" s="323"/>
      <c r="AY12" s="324"/>
      <c r="AZ12" s="325"/>
      <c r="BA12" s="323"/>
      <c r="BB12" s="323"/>
      <c r="BC12" s="323"/>
      <c r="BD12" s="326"/>
      <c r="BE12" s="330"/>
      <c r="BF12" s="323"/>
      <c r="BG12" s="323"/>
      <c r="BH12" s="323"/>
      <c r="BI12" s="324"/>
      <c r="BJ12" s="325"/>
      <c r="BK12" s="323"/>
      <c r="BL12" s="323"/>
      <c r="BM12" s="323"/>
      <c r="BN12" s="326"/>
      <c r="BO12" s="330"/>
      <c r="BP12" s="323"/>
      <c r="BQ12" s="323"/>
      <c r="BR12" s="323"/>
      <c r="BS12" s="324"/>
      <c r="BT12" s="325"/>
      <c r="BU12" s="323"/>
      <c r="BV12" s="323"/>
      <c r="BW12" s="323"/>
      <c r="BX12" s="326"/>
      <c r="BY12" s="330"/>
      <c r="BZ12" s="323"/>
      <c r="CA12" s="323"/>
      <c r="CB12" s="323"/>
      <c r="CC12" s="324"/>
      <c r="CD12" s="325"/>
      <c r="CE12" s="323"/>
      <c r="CF12" s="323"/>
      <c r="CG12" s="323"/>
      <c r="CH12" s="324"/>
      <c r="CI12" s="325"/>
      <c r="CJ12" s="323"/>
      <c r="CK12" s="323"/>
      <c r="CL12" s="323"/>
      <c r="CM12" s="326"/>
      <c r="CN12" s="45"/>
      <c r="CO12" s="45"/>
      <c r="CP12" s="45"/>
      <c r="CQ12" s="45"/>
      <c r="CR12" s="45"/>
      <c r="CS12" s="45"/>
      <c r="CT12" s="45"/>
      <c r="CU12" s="45"/>
      <c r="CV12" s="45"/>
      <c r="CW12" s="45"/>
      <c r="CX12" s="46"/>
      <c r="CY12" s="45"/>
      <c r="CZ12" s="45"/>
      <c r="DA12" s="46"/>
      <c r="DB12" s="45"/>
      <c r="DC12" s="46"/>
      <c r="DD12" s="46"/>
      <c r="DE12" s="45"/>
      <c r="DF12" s="46"/>
      <c r="DG12" s="46"/>
      <c r="DH12" s="45"/>
      <c r="DI12" s="45"/>
      <c r="DJ12" s="45"/>
      <c r="DK12" s="45"/>
      <c r="DL12" s="45"/>
      <c r="DM12" s="45"/>
      <c r="DN12" s="45"/>
    </row>
    <row r="13" spans="1:121" ht="25.5" hidden="1" customHeight="1">
      <c r="A13" s="321">
        <v>4</v>
      </c>
      <c r="B13" s="322" t="s">
        <v>11</v>
      </c>
      <c r="C13" s="322"/>
      <c r="D13" s="322" t="s">
        <v>76</v>
      </c>
      <c r="E13" s="323" t="s">
        <v>81</v>
      </c>
      <c r="F13" s="322"/>
      <c r="G13" s="323" t="s">
        <v>67</v>
      </c>
      <c r="H13" s="324" t="s">
        <v>67</v>
      </c>
      <c r="I13" s="325"/>
      <c r="J13" s="323"/>
      <c r="K13" s="326"/>
      <c r="L13" s="327" t="s">
        <v>78</v>
      </c>
      <c r="M13" s="322" t="s">
        <v>78</v>
      </c>
      <c r="N13" s="322"/>
      <c r="O13" s="322" t="s">
        <v>78</v>
      </c>
      <c r="P13" s="328"/>
      <c r="Q13" s="327"/>
      <c r="R13" s="322"/>
      <c r="S13" s="322"/>
      <c r="T13" s="322"/>
      <c r="U13" s="329"/>
      <c r="V13" s="321"/>
      <c r="W13" s="323"/>
      <c r="X13" s="323"/>
      <c r="Y13" s="323"/>
      <c r="Z13" s="326"/>
      <c r="AA13" s="330"/>
      <c r="AB13" s="323"/>
      <c r="AC13" s="323"/>
      <c r="AD13" s="323"/>
      <c r="AE13" s="324"/>
      <c r="AF13" s="325"/>
      <c r="AG13" s="323"/>
      <c r="AH13" s="323"/>
      <c r="AI13" s="323"/>
      <c r="AJ13" s="326"/>
      <c r="AK13" s="330"/>
      <c r="AL13" s="323"/>
      <c r="AM13" s="323"/>
      <c r="AN13" s="323"/>
      <c r="AO13" s="324"/>
      <c r="AP13" s="325"/>
      <c r="AQ13" s="323"/>
      <c r="AR13" s="323"/>
      <c r="AS13" s="323"/>
      <c r="AT13" s="326"/>
      <c r="AU13" s="330"/>
      <c r="AV13" s="323"/>
      <c r="AW13" s="323"/>
      <c r="AX13" s="323"/>
      <c r="AY13" s="324"/>
      <c r="AZ13" s="325"/>
      <c r="BA13" s="323"/>
      <c r="BB13" s="323"/>
      <c r="BC13" s="323"/>
      <c r="BD13" s="326"/>
      <c r="BE13" s="330"/>
      <c r="BF13" s="323"/>
      <c r="BG13" s="323"/>
      <c r="BH13" s="323"/>
      <c r="BI13" s="324"/>
      <c r="BJ13" s="325"/>
      <c r="BK13" s="323"/>
      <c r="BL13" s="323"/>
      <c r="BM13" s="323"/>
      <c r="BN13" s="326"/>
      <c r="BO13" s="330"/>
      <c r="BP13" s="323"/>
      <c r="BQ13" s="323"/>
      <c r="BR13" s="323"/>
      <c r="BS13" s="324"/>
      <c r="BT13" s="325"/>
      <c r="BU13" s="323"/>
      <c r="BV13" s="323"/>
      <c r="BW13" s="323"/>
      <c r="BX13" s="326"/>
      <c r="BY13" s="330"/>
      <c r="BZ13" s="323"/>
      <c r="CA13" s="323"/>
      <c r="CB13" s="323"/>
      <c r="CC13" s="324"/>
      <c r="CD13" s="325"/>
      <c r="CE13" s="323"/>
      <c r="CF13" s="323"/>
      <c r="CG13" s="323"/>
      <c r="CH13" s="324"/>
      <c r="CI13" s="325"/>
      <c r="CJ13" s="323"/>
      <c r="CK13" s="323"/>
      <c r="CL13" s="323"/>
      <c r="CM13" s="326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  <c r="DA13" s="45"/>
      <c r="DB13" s="45"/>
      <c r="DC13" s="45"/>
      <c r="DD13" s="45"/>
      <c r="DE13" s="45"/>
      <c r="DF13" s="45"/>
      <c r="DG13" s="46"/>
      <c r="DH13" s="45"/>
      <c r="DI13" s="45"/>
      <c r="DJ13" s="45"/>
      <c r="DK13" s="45"/>
      <c r="DL13" s="45"/>
      <c r="DM13" s="45"/>
      <c r="DN13" s="45"/>
    </row>
    <row r="14" spans="1:121" ht="25.5" hidden="1" customHeight="1" thickBot="1">
      <c r="A14" s="331">
        <v>6</v>
      </c>
      <c r="B14" s="332" t="s">
        <v>11</v>
      </c>
      <c r="C14" s="332"/>
      <c r="D14" s="332" t="s">
        <v>76</v>
      </c>
      <c r="E14" s="333" t="s">
        <v>82</v>
      </c>
      <c r="F14" s="332"/>
      <c r="G14" s="333" t="s">
        <v>68</v>
      </c>
      <c r="H14" s="334" t="s">
        <v>68</v>
      </c>
      <c r="I14" s="335"/>
      <c r="J14" s="333"/>
      <c r="K14" s="336"/>
      <c r="L14" s="337" t="s">
        <v>78</v>
      </c>
      <c r="M14" s="332" t="s">
        <v>78</v>
      </c>
      <c r="N14" s="332"/>
      <c r="O14" s="332"/>
      <c r="P14" s="338" t="s">
        <v>78</v>
      </c>
      <c r="Q14" s="337"/>
      <c r="R14" s="332"/>
      <c r="S14" s="332"/>
      <c r="T14" s="332"/>
      <c r="U14" s="339"/>
      <c r="V14" s="331"/>
      <c r="W14" s="333"/>
      <c r="X14" s="333"/>
      <c r="Y14" s="333"/>
      <c r="Z14" s="336"/>
      <c r="AA14" s="340"/>
      <c r="AB14" s="333"/>
      <c r="AC14" s="333"/>
      <c r="AD14" s="333"/>
      <c r="AE14" s="334"/>
      <c r="AF14" s="335"/>
      <c r="AG14" s="333"/>
      <c r="AH14" s="333"/>
      <c r="AI14" s="333"/>
      <c r="AJ14" s="336"/>
      <c r="AK14" s="340"/>
      <c r="AL14" s="333"/>
      <c r="AM14" s="333"/>
      <c r="AN14" s="333"/>
      <c r="AO14" s="334"/>
      <c r="AP14" s="335"/>
      <c r="AQ14" s="333"/>
      <c r="AR14" s="333"/>
      <c r="AS14" s="333"/>
      <c r="AT14" s="336"/>
      <c r="AU14" s="340"/>
      <c r="AV14" s="333"/>
      <c r="AW14" s="333"/>
      <c r="AX14" s="333"/>
      <c r="AY14" s="334"/>
      <c r="AZ14" s="335"/>
      <c r="BA14" s="333"/>
      <c r="BB14" s="333"/>
      <c r="BC14" s="333"/>
      <c r="BD14" s="336"/>
      <c r="BE14" s="340"/>
      <c r="BF14" s="333"/>
      <c r="BG14" s="333"/>
      <c r="BH14" s="333"/>
      <c r="BI14" s="334"/>
      <c r="BJ14" s="335"/>
      <c r="BK14" s="333"/>
      <c r="BL14" s="333"/>
      <c r="BM14" s="333"/>
      <c r="BN14" s="336"/>
      <c r="BO14" s="340"/>
      <c r="BP14" s="333"/>
      <c r="BQ14" s="333"/>
      <c r="BR14" s="333"/>
      <c r="BS14" s="334"/>
      <c r="BT14" s="335"/>
      <c r="BU14" s="333"/>
      <c r="BV14" s="333"/>
      <c r="BW14" s="333"/>
      <c r="BX14" s="336"/>
      <c r="BY14" s="340"/>
      <c r="BZ14" s="333"/>
      <c r="CA14" s="333"/>
      <c r="CB14" s="333"/>
      <c r="CC14" s="334"/>
      <c r="CD14" s="335"/>
      <c r="CE14" s="333"/>
      <c r="CF14" s="333"/>
      <c r="CG14" s="333"/>
      <c r="CH14" s="334"/>
      <c r="CI14" s="335"/>
      <c r="CJ14" s="333"/>
      <c r="CK14" s="333"/>
      <c r="CL14" s="333"/>
      <c r="CM14" s="336"/>
      <c r="CN14" s="45"/>
      <c r="CO14" s="45"/>
      <c r="CP14" s="45"/>
      <c r="CQ14" s="45"/>
      <c r="CR14" s="45"/>
      <c r="CS14" s="45"/>
      <c r="CT14" s="45"/>
      <c r="CU14" s="45"/>
      <c r="CV14" s="45"/>
      <c r="CW14" s="45"/>
      <c r="CX14" s="45"/>
      <c r="CY14" s="45"/>
      <c r="CZ14" s="45"/>
      <c r="DA14" s="45"/>
      <c r="DB14" s="45"/>
      <c r="DC14" s="45"/>
      <c r="DD14" s="45"/>
      <c r="DE14" s="45"/>
      <c r="DF14" s="45"/>
      <c r="DG14" s="46"/>
      <c r="DH14" s="45"/>
      <c r="DI14" s="45"/>
      <c r="DJ14" s="45"/>
      <c r="DK14" s="45"/>
      <c r="DL14" s="45"/>
      <c r="DM14" s="45"/>
      <c r="DN14" s="45"/>
    </row>
    <row r="15" spans="1:121" ht="25.5" customHeight="1">
      <c r="A15" s="341">
        <v>7</v>
      </c>
      <c r="B15" s="342" t="s">
        <v>77</v>
      </c>
      <c r="C15" s="342"/>
      <c r="D15" s="342" t="s">
        <v>77</v>
      </c>
      <c r="E15" s="343"/>
      <c r="F15" s="342"/>
      <c r="G15" s="343"/>
      <c r="H15" s="344"/>
      <c r="I15" s="345"/>
      <c r="J15" s="343"/>
      <c r="K15" s="346"/>
      <c r="L15" s="347"/>
      <c r="M15" s="342"/>
      <c r="N15" s="342"/>
      <c r="O15" s="342"/>
      <c r="P15" s="348"/>
      <c r="Q15" s="347"/>
      <c r="R15" s="342"/>
      <c r="S15" s="342"/>
      <c r="T15" s="342"/>
      <c r="U15" s="349"/>
      <c r="V15" s="341"/>
      <c r="W15" s="343"/>
      <c r="X15" s="343"/>
      <c r="Y15" s="343"/>
      <c r="Z15" s="346"/>
      <c r="AA15" s="350"/>
      <c r="AB15" s="343"/>
      <c r="AC15" s="343"/>
      <c r="AD15" s="343"/>
      <c r="AE15" s="344"/>
      <c r="AF15" s="345"/>
      <c r="AG15" s="343"/>
      <c r="AH15" s="343"/>
      <c r="AI15" s="343"/>
      <c r="AJ15" s="346"/>
      <c r="AK15" s="350"/>
      <c r="AL15" s="343"/>
      <c r="AM15" s="343"/>
      <c r="AN15" s="343"/>
      <c r="AO15" s="344"/>
      <c r="AP15" s="345"/>
      <c r="AQ15" s="343"/>
      <c r="AR15" s="343"/>
      <c r="AS15" s="343"/>
      <c r="AT15" s="346"/>
      <c r="AU15" s="350"/>
      <c r="AV15" s="343"/>
      <c r="AW15" s="343"/>
      <c r="AX15" s="343"/>
      <c r="AY15" s="344"/>
      <c r="AZ15" s="345"/>
      <c r="BA15" s="343"/>
      <c r="BB15" s="343"/>
      <c r="BC15" s="343"/>
      <c r="BD15" s="346"/>
      <c r="BE15" s="350"/>
      <c r="BF15" s="343"/>
      <c r="BG15" s="343"/>
      <c r="BH15" s="343"/>
      <c r="BI15" s="344"/>
      <c r="BJ15" s="345"/>
      <c r="BK15" s="343"/>
      <c r="BL15" s="343"/>
      <c r="BM15" s="343"/>
      <c r="BN15" s="346"/>
      <c r="BO15" s="350"/>
      <c r="BP15" s="343"/>
      <c r="BQ15" s="343"/>
      <c r="BR15" s="343"/>
      <c r="BS15" s="344"/>
      <c r="BT15" s="345"/>
      <c r="BU15" s="343"/>
      <c r="BV15" s="343"/>
      <c r="BW15" s="343"/>
      <c r="BX15" s="346"/>
      <c r="BY15" s="350"/>
      <c r="BZ15" s="343"/>
      <c r="CA15" s="343"/>
      <c r="CB15" s="343"/>
      <c r="CC15" s="344"/>
      <c r="CD15" s="345"/>
      <c r="CE15" s="343"/>
      <c r="CF15" s="343"/>
      <c r="CG15" s="343"/>
      <c r="CH15" s="344"/>
      <c r="CI15" s="345"/>
      <c r="CJ15" s="343"/>
      <c r="CK15" s="343"/>
      <c r="CL15" s="343"/>
      <c r="CM15" s="346"/>
      <c r="CN15" s="45"/>
      <c r="CO15" s="45"/>
      <c r="CP15" s="46"/>
      <c r="CQ15" s="45"/>
      <c r="CR15" s="45"/>
      <c r="CS15" s="45"/>
      <c r="CT15" s="45"/>
      <c r="CU15" s="45"/>
      <c r="CV15" s="45"/>
      <c r="CW15" s="45"/>
      <c r="CX15" s="46"/>
      <c r="CY15" s="45"/>
      <c r="CZ15" s="45"/>
      <c r="DA15" s="46"/>
      <c r="DB15" s="45"/>
      <c r="DC15" s="46"/>
      <c r="DD15" s="46"/>
      <c r="DE15" s="45"/>
      <c r="DF15" s="46"/>
      <c r="DG15" s="46"/>
      <c r="DH15" s="45"/>
      <c r="DI15" s="46"/>
      <c r="DJ15" s="46"/>
      <c r="DK15" s="45"/>
      <c r="DL15" s="46"/>
      <c r="DM15" s="45"/>
      <c r="DN15" s="45"/>
    </row>
    <row r="16" spans="1:121" ht="25.5" customHeight="1">
      <c r="A16" s="321">
        <v>8</v>
      </c>
      <c r="B16" s="322" t="s">
        <v>77</v>
      </c>
      <c r="C16" s="322"/>
      <c r="D16" s="322" t="s">
        <v>77</v>
      </c>
      <c r="E16" s="323"/>
      <c r="F16" s="322"/>
      <c r="G16" s="323"/>
      <c r="H16" s="324"/>
      <c r="I16" s="325"/>
      <c r="J16" s="323"/>
      <c r="K16" s="326"/>
      <c r="L16" s="327"/>
      <c r="M16" s="322"/>
      <c r="N16" s="322"/>
      <c r="O16" s="322"/>
      <c r="P16" s="328"/>
      <c r="Q16" s="327"/>
      <c r="R16" s="322"/>
      <c r="S16" s="322"/>
      <c r="T16" s="322"/>
      <c r="U16" s="329"/>
      <c r="V16" s="321"/>
      <c r="W16" s="323"/>
      <c r="X16" s="323"/>
      <c r="Y16" s="323"/>
      <c r="Z16" s="326"/>
      <c r="AA16" s="330"/>
      <c r="AB16" s="323"/>
      <c r="AC16" s="323"/>
      <c r="AD16" s="323"/>
      <c r="AE16" s="324"/>
      <c r="AF16" s="325"/>
      <c r="AG16" s="323"/>
      <c r="AH16" s="323"/>
      <c r="AI16" s="323"/>
      <c r="AJ16" s="326"/>
      <c r="AK16" s="330"/>
      <c r="AL16" s="323"/>
      <c r="AM16" s="323"/>
      <c r="AN16" s="323"/>
      <c r="AO16" s="324"/>
      <c r="AP16" s="325"/>
      <c r="AQ16" s="323"/>
      <c r="AR16" s="323"/>
      <c r="AS16" s="323"/>
      <c r="AT16" s="326"/>
      <c r="AU16" s="330"/>
      <c r="AV16" s="323"/>
      <c r="AW16" s="323"/>
      <c r="AX16" s="323"/>
      <c r="AY16" s="324"/>
      <c r="AZ16" s="325"/>
      <c r="BA16" s="323"/>
      <c r="BB16" s="323"/>
      <c r="BC16" s="323"/>
      <c r="BD16" s="326"/>
      <c r="BE16" s="330"/>
      <c r="BF16" s="323"/>
      <c r="BG16" s="323"/>
      <c r="BH16" s="323"/>
      <c r="BI16" s="324"/>
      <c r="BJ16" s="325"/>
      <c r="BK16" s="323"/>
      <c r="BL16" s="323"/>
      <c r="BM16" s="323"/>
      <c r="BN16" s="326"/>
      <c r="BO16" s="330"/>
      <c r="BP16" s="323"/>
      <c r="BQ16" s="323"/>
      <c r="BR16" s="323"/>
      <c r="BS16" s="324"/>
      <c r="BT16" s="325"/>
      <c r="BU16" s="323"/>
      <c r="BV16" s="323"/>
      <c r="BW16" s="323"/>
      <c r="BX16" s="326"/>
      <c r="BY16" s="330"/>
      <c r="BZ16" s="323"/>
      <c r="CA16" s="323"/>
      <c r="CB16" s="323"/>
      <c r="CC16" s="324"/>
      <c r="CD16" s="325"/>
      <c r="CE16" s="323"/>
      <c r="CF16" s="323"/>
      <c r="CG16" s="323"/>
      <c r="CH16" s="324"/>
      <c r="CI16" s="325"/>
      <c r="CJ16" s="323"/>
      <c r="CK16" s="323"/>
      <c r="CL16" s="323"/>
      <c r="CM16" s="326"/>
      <c r="CN16" s="45"/>
      <c r="CO16" s="45"/>
      <c r="CP16" s="45"/>
      <c r="CQ16" s="45"/>
      <c r="CR16" s="45"/>
      <c r="CS16" s="45"/>
      <c r="CT16" s="45"/>
      <c r="CU16" s="45"/>
      <c r="CV16" s="45"/>
      <c r="CW16" s="45"/>
      <c r="CX16" s="45"/>
      <c r="CY16" s="45"/>
      <c r="CZ16" s="45"/>
      <c r="DA16" s="45"/>
      <c r="DB16" s="45"/>
      <c r="DC16" s="45"/>
      <c r="DD16" s="45"/>
      <c r="DE16" s="45"/>
      <c r="DF16" s="45"/>
      <c r="DG16" s="45"/>
      <c r="DH16" s="45"/>
      <c r="DI16" s="45"/>
      <c r="DJ16" s="45"/>
      <c r="DK16" s="45"/>
      <c r="DL16" s="45"/>
      <c r="DM16" s="45"/>
      <c r="DN16" s="45"/>
    </row>
    <row r="17" spans="1:118" ht="25.5" customHeight="1">
      <c r="A17" s="321">
        <v>658</v>
      </c>
      <c r="B17" s="322" t="s">
        <v>11</v>
      </c>
      <c r="C17" s="322" t="s">
        <v>44</v>
      </c>
      <c r="D17" s="322" t="s">
        <v>76</v>
      </c>
      <c r="E17" s="323" t="s">
        <v>86</v>
      </c>
      <c r="F17" s="322"/>
      <c r="G17" s="323" t="s">
        <v>87</v>
      </c>
      <c r="H17" s="324" t="s">
        <v>88</v>
      </c>
      <c r="I17" s="325"/>
      <c r="J17" s="323"/>
      <c r="K17" s="326"/>
      <c r="L17" s="327" t="s">
        <v>78</v>
      </c>
      <c r="M17" s="322" t="s">
        <v>77</v>
      </c>
      <c r="N17" s="322"/>
      <c r="O17" s="322" t="s">
        <v>77</v>
      </c>
      <c r="P17" s="328" t="s">
        <v>77</v>
      </c>
      <c r="Q17" s="327"/>
      <c r="R17" s="322"/>
      <c r="S17" s="322"/>
      <c r="T17" s="322"/>
      <c r="U17" s="329"/>
      <c r="V17" s="321" t="s">
        <v>80</v>
      </c>
      <c r="W17" s="323"/>
      <c r="X17" s="323"/>
      <c r="Y17" s="323"/>
      <c r="Z17" s="326"/>
      <c r="AA17" s="330"/>
      <c r="AB17" s="323"/>
      <c r="AC17" s="323"/>
      <c r="AD17" s="323"/>
      <c r="AE17" s="324"/>
      <c r="AF17" s="325"/>
      <c r="AG17" s="323"/>
      <c r="AH17" s="323"/>
      <c r="AI17" s="323"/>
      <c r="AJ17" s="326"/>
      <c r="AK17" s="330"/>
      <c r="AL17" s="323"/>
      <c r="AM17" s="323"/>
      <c r="AN17" s="323"/>
      <c r="AO17" s="324"/>
      <c r="AP17" s="325"/>
      <c r="AQ17" s="323"/>
      <c r="AR17" s="323"/>
      <c r="AS17" s="323"/>
      <c r="AT17" s="326"/>
      <c r="AU17" s="330"/>
      <c r="AV17" s="323"/>
      <c r="AW17" s="323"/>
      <c r="AX17" s="323"/>
      <c r="AY17" s="324"/>
      <c r="AZ17" s="325"/>
      <c r="BA17" s="323"/>
      <c r="BB17" s="323"/>
      <c r="BC17" s="323"/>
      <c r="BD17" s="326"/>
      <c r="BE17" s="330"/>
      <c r="BF17" s="323"/>
      <c r="BG17" s="323"/>
      <c r="BH17" s="323"/>
      <c r="BI17" s="324"/>
      <c r="BJ17" s="325"/>
      <c r="BK17" s="323"/>
      <c r="BL17" s="323"/>
      <c r="BM17" s="323"/>
      <c r="BN17" s="326"/>
      <c r="BO17" s="330"/>
      <c r="BP17" s="323"/>
      <c r="BQ17" s="323"/>
      <c r="BR17" s="323"/>
      <c r="BS17" s="324"/>
      <c r="BT17" s="325"/>
      <c r="BU17" s="323"/>
      <c r="BV17" s="323"/>
      <c r="BW17" s="323"/>
      <c r="BX17" s="326"/>
      <c r="BY17" s="330"/>
      <c r="BZ17" s="323"/>
      <c r="CA17" s="323"/>
      <c r="CB17" s="323"/>
      <c r="CC17" s="324"/>
      <c r="CD17" s="325"/>
      <c r="CE17" s="323"/>
      <c r="CF17" s="323"/>
      <c r="CG17" s="323"/>
      <c r="CH17" s="324"/>
      <c r="CI17" s="325"/>
      <c r="CJ17" s="323"/>
      <c r="CK17" s="323"/>
      <c r="CL17" s="323"/>
      <c r="CM17" s="326"/>
      <c r="CN17" s="45"/>
      <c r="CO17" s="45"/>
      <c r="CP17" s="45"/>
      <c r="CQ17" s="45"/>
      <c r="CR17" s="45"/>
      <c r="CS17" s="45"/>
      <c r="CT17" s="45"/>
      <c r="CU17" s="45"/>
      <c r="CV17" s="45"/>
      <c r="CW17" s="45"/>
      <c r="CX17" s="45"/>
      <c r="CY17" s="45"/>
      <c r="CZ17" s="45"/>
      <c r="DA17" s="45"/>
      <c r="DB17" s="45"/>
      <c r="DC17" s="45"/>
      <c r="DD17" s="45"/>
      <c r="DE17" s="45"/>
      <c r="DF17" s="45"/>
      <c r="DG17" s="45"/>
      <c r="DH17" s="45"/>
      <c r="DI17" s="45"/>
      <c r="DJ17" s="45"/>
      <c r="DK17" s="45"/>
      <c r="DL17" s="45"/>
      <c r="DM17" s="45"/>
      <c r="DN17" s="45"/>
    </row>
    <row r="18" spans="1:118" ht="25.5" customHeight="1">
      <c r="A18" s="321">
        <v>3759</v>
      </c>
      <c r="B18" s="322" t="s">
        <v>11</v>
      </c>
      <c r="C18" s="322" t="s">
        <v>44</v>
      </c>
      <c r="D18" s="322" t="s">
        <v>76</v>
      </c>
      <c r="E18" s="323" t="s">
        <v>50</v>
      </c>
      <c r="F18" s="322"/>
      <c r="G18" s="323" t="s">
        <v>48</v>
      </c>
      <c r="H18" s="324" t="s">
        <v>51</v>
      </c>
      <c r="I18" s="325"/>
      <c r="J18" s="323"/>
      <c r="K18" s="326"/>
      <c r="L18" s="327" t="s">
        <v>78</v>
      </c>
      <c r="M18" s="322" t="s">
        <v>77</v>
      </c>
      <c r="N18" s="322"/>
      <c r="O18" s="322" t="s">
        <v>77</v>
      </c>
      <c r="P18" s="328" t="s">
        <v>77</v>
      </c>
      <c r="Q18" s="327"/>
      <c r="R18" s="322"/>
      <c r="S18" s="322"/>
      <c r="T18" s="322"/>
      <c r="U18" s="329" t="s">
        <v>80</v>
      </c>
      <c r="V18" s="321"/>
      <c r="W18" s="323"/>
      <c r="X18" s="323"/>
      <c r="Y18" s="323"/>
      <c r="Z18" s="326"/>
      <c r="AA18" s="330"/>
      <c r="AB18" s="323"/>
      <c r="AC18" s="323"/>
      <c r="AD18" s="323"/>
      <c r="AE18" s="324"/>
      <c r="AF18" s="325"/>
      <c r="AG18" s="323"/>
      <c r="AH18" s="323"/>
      <c r="AI18" s="323"/>
      <c r="AJ18" s="326"/>
      <c r="AK18" s="330"/>
      <c r="AL18" s="323"/>
      <c r="AM18" s="323"/>
      <c r="AN18" s="323"/>
      <c r="AO18" s="324"/>
      <c r="AP18" s="325"/>
      <c r="AQ18" s="323"/>
      <c r="AR18" s="323"/>
      <c r="AS18" s="323"/>
      <c r="AT18" s="326"/>
      <c r="AU18" s="330"/>
      <c r="AV18" s="323"/>
      <c r="AW18" s="323"/>
      <c r="AX18" s="323"/>
      <c r="AY18" s="324"/>
      <c r="AZ18" s="325"/>
      <c r="BA18" s="323"/>
      <c r="BB18" s="323"/>
      <c r="BC18" s="323"/>
      <c r="BD18" s="326"/>
      <c r="BE18" s="330"/>
      <c r="BF18" s="323"/>
      <c r="BG18" s="323"/>
      <c r="BH18" s="323"/>
      <c r="BI18" s="324"/>
      <c r="BJ18" s="325"/>
      <c r="BK18" s="323"/>
      <c r="BL18" s="323"/>
      <c r="BM18" s="323"/>
      <c r="BN18" s="326"/>
      <c r="BO18" s="330"/>
      <c r="BP18" s="323"/>
      <c r="BQ18" s="323"/>
      <c r="BR18" s="323"/>
      <c r="BS18" s="324"/>
      <c r="BT18" s="325"/>
      <c r="BU18" s="323"/>
      <c r="BV18" s="323"/>
      <c r="BW18" s="323"/>
      <c r="BX18" s="326"/>
      <c r="BY18" s="330"/>
      <c r="BZ18" s="323"/>
      <c r="CA18" s="323"/>
      <c r="CB18" s="323"/>
      <c r="CC18" s="324"/>
      <c r="CD18" s="325"/>
      <c r="CE18" s="323"/>
      <c r="CF18" s="323"/>
      <c r="CG18" s="323"/>
      <c r="CH18" s="324"/>
      <c r="CI18" s="325"/>
      <c r="CJ18" s="323"/>
      <c r="CK18" s="323"/>
      <c r="CL18" s="323"/>
      <c r="CM18" s="326"/>
      <c r="CN18" s="45"/>
      <c r="CO18" s="45"/>
      <c r="CP18" s="45"/>
      <c r="CQ18" s="45"/>
      <c r="CR18" s="45"/>
      <c r="CS18" s="45"/>
      <c r="CT18" s="45"/>
      <c r="CU18" s="45"/>
      <c r="CV18" s="45"/>
      <c r="CW18" s="45"/>
      <c r="CX18" s="45"/>
      <c r="CY18" s="45"/>
      <c r="CZ18" s="45"/>
      <c r="DA18" s="45"/>
      <c r="DB18" s="45"/>
      <c r="DC18" s="45"/>
      <c r="DD18" s="45"/>
      <c r="DE18" s="45"/>
      <c r="DF18" s="45"/>
      <c r="DG18" s="45"/>
      <c r="DH18" s="45"/>
      <c r="DI18" s="45"/>
      <c r="DJ18" s="45"/>
      <c r="DK18" s="45"/>
      <c r="DL18" s="45"/>
      <c r="DM18" s="45"/>
      <c r="DN18" s="45"/>
    </row>
    <row r="19" spans="1:118" ht="25.5" customHeight="1" thickBot="1">
      <c r="A19" s="351">
        <v>3762</v>
      </c>
      <c r="B19" s="352" t="s">
        <v>11</v>
      </c>
      <c r="C19" s="352" t="s">
        <v>44</v>
      </c>
      <c r="D19" s="352" t="s">
        <v>76</v>
      </c>
      <c r="E19" s="353" t="s">
        <v>53</v>
      </c>
      <c r="F19" s="352"/>
      <c r="G19" s="353" t="s">
        <v>48</v>
      </c>
      <c r="H19" s="354" t="s">
        <v>54</v>
      </c>
      <c r="I19" s="355"/>
      <c r="J19" s="353"/>
      <c r="K19" s="356"/>
      <c r="L19" s="357" t="s">
        <v>78</v>
      </c>
      <c r="M19" s="352" t="s">
        <v>77</v>
      </c>
      <c r="N19" s="352"/>
      <c r="O19" s="352" t="s">
        <v>77</v>
      </c>
      <c r="P19" s="358" t="s">
        <v>77</v>
      </c>
      <c r="Q19" s="357"/>
      <c r="R19" s="352"/>
      <c r="S19" s="352"/>
      <c r="T19" s="352"/>
      <c r="U19" s="359" t="s">
        <v>80</v>
      </c>
      <c r="V19" s="351"/>
      <c r="W19" s="353"/>
      <c r="X19" s="353"/>
      <c r="Y19" s="353"/>
      <c r="Z19" s="356"/>
      <c r="AA19" s="360"/>
      <c r="AB19" s="353"/>
      <c r="AC19" s="353"/>
      <c r="AD19" s="353"/>
      <c r="AE19" s="354"/>
      <c r="AF19" s="355"/>
      <c r="AG19" s="353"/>
      <c r="AH19" s="353"/>
      <c r="AI19" s="353"/>
      <c r="AJ19" s="356"/>
      <c r="AK19" s="360"/>
      <c r="AL19" s="353"/>
      <c r="AM19" s="353"/>
      <c r="AN19" s="353"/>
      <c r="AO19" s="354"/>
      <c r="AP19" s="355"/>
      <c r="AQ19" s="353"/>
      <c r="AR19" s="353"/>
      <c r="AS19" s="353"/>
      <c r="AT19" s="356"/>
      <c r="AU19" s="360"/>
      <c r="AV19" s="353"/>
      <c r="AW19" s="353"/>
      <c r="AX19" s="353"/>
      <c r="AY19" s="354"/>
      <c r="AZ19" s="355"/>
      <c r="BA19" s="353"/>
      <c r="BB19" s="353"/>
      <c r="BC19" s="353"/>
      <c r="BD19" s="356"/>
      <c r="BE19" s="360"/>
      <c r="BF19" s="353"/>
      <c r="BG19" s="353"/>
      <c r="BH19" s="353"/>
      <c r="BI19" s="354"/>
      <c r="BJ19" s="355"/>
      <c r="BK19" s="353"/>
      <c r="BL19" s="353"/>
      <c r="BM19" s="353"/>
      <c r="BN19" s="356"/>
      <c r="BO19" s="360"/>
      <c r="BP19" s="353"/>
      <c r="BQ19" s="353"/>
      <c r="BR19" s="353"/>
      <c r="BS19" s="354"/>
      <c r="BT19" s="355"/>
      <c r="BU19" s="353"/>
      <c r="BV19" s="353"/>
      <c r="BW19" s="353"/>
      <c r="BX19" s="356"/>
      <c r="BY19" s="360"/>
      <c r="BZ19" s="353"/>
      <c r="CA19" s="353"/>
      <c r="CB19" s="353"/>
      <c r="CC19" s="354"/>
      <c r="CD19" s="355"/>
      <c r="CE19" s="353"/>
      <c r="CF19" s="353"/>
      <c r="CG19" s="353"/>
      <c r="CH19" s="354"/>
      <c r="CI19" s="355"/>
      <c r="CJ19" s="353"/>
      <c r="CK19" s="353"/>
      <c r="CL19" s="353"/>
      <c r="CM19" s="356"/>
      <c r="CN19" s="45"/>
      <c r="CO19" s="45"/>
      <c r="CP19" s="45"/>
      <c r="CQ19" s="45"/>
      <c r="CR19" s="45"/>
      <c r="CS19" s="45"/>
      <c r="CT19" s="45"/>
      <c r="CU19" s="45"/>
      <c r="CV19" s="45"/>
      <c r="CW19" s="45"/>
      <c r="CX19" s="45"/>
      <c r="CY19" s="45"/>
      <c r="CZ19" s="45"/>
      <c r="DA19" s="45"/>
      <c r="DB19" s="45"/>
      <c r="DC19" s="45"/>
      <c r="DD19" s="45"/>
      <c r="DE19" s="45"/>
      <c r="DF19" s="45"/>
      <c r="DG19" s="45"/>
      <c r="DH19" s="45"/>
      <c r="DI19" s="45"/>
      <c r="DJ19" s="45"/>
      <c r="DK19" s="45"/>
      <c r="DL19" s="45"/>
      <c r="DM19" s="45"/>
      <c r="DN19" s="45"/>
    </row>
    <row r="20" spans="1:118" ht="25.5" customHeight="1">
      <c r="A20" s="361">
        <v>3763</v>
      </c>
      <c r="B20" s="362" t="s">
        <v>11</v>
      </c>
      <c r="C20" s="362" t="s">
        <v>44</v>
      </c>
      <c r="D20" s="362" t="s">
        <v>76</v>
      </c>
      <c r="E20" s="363" t="s">
        <v>53</v>
      </c>
      <c r="F20" s="362"/>
      <c r="G20" s="363" t="s">
        <v>95</v>
      </c>
      <c r="H20" s="364" t="s">
        <v>54</v>
      </c>
      <c r="I20" s="365"/>
      <c r="J20" s="363"/>
      <c r="K20" s="366"/>
      <c r="L20" s="367" t="s">
        <v>78</v>
      </c>
      <c r="M20" s="362" t="s">
        <v>77</v>
      </c>
      <c r="N20" s="362"/>
      <c r="O20" s="362" t="s">
        <v>77</v>
      </c>
      <c r="P20" s="368" t="s">
        <v>77</v>
      </c>
      <c r="Q20" s="367"/>
      <c r="R20" s="362"/>
      <c r="S20" s="362"/>
      <c r="T20" s="362"/>
      <c r="U20" s="369" t="s">
        <v>80</v>
      </c>
      <c r="V20" s="361"/>
      <c r="W20" s="363"/>
      <c r="X20" s="363"/>
      <c r="Y20" s="363"/>
      <c r="Z20" s="366"/>
      <c r="AA20" s="370"/>
      <c r="AB20" s="363"/>
      <c r="AC20" s="363"/>
      <c r="AD20" s="363"/>
      <c r="AE20" s="364"/>
      <c r="AF20" s="365"/>
      <c r="AG20" s="363"/>
      <c r="AH20" s="363"/>
      <c r="AI20" s="363"/>
      <c r="AJ20" s="366"/>
      <c r="AK20" s="370"/>
      <c r="AL20" s="363"/>
      <c r="AM20" s="363"/>
      <c r="AN20" s="363"/>
      <c r="AO20" s="364"/>
      <c r="AP20" s="365"/>
      <c r="AQ20" s="363"/>
      <c r="AR20" s="363"/>
      <c r="AS20" s="363"/>
      <c r="AT20" s="366"/>
      <c r="AU20" s="370"/>
      <c r="AV20" s="363"/>
      <c r="AW20" s="363"/>
      <c r="AX20" s="363"/>
      <c r="AY20" s="364"/>
      <c r="AZ20" s="365"/>
      <c r="BA20" s="363"/>
      <c r="BB20" s="363"/>
      <c r="BC20" s="363"/>
      <c r="BD20" s="366"/>
      <c r="BE20" s="370"/>
      <c r="BF20" s="363"/>
      <c r="BG20" s="363"/>
      <c r="BH20" s="363"/>
      <c r="BI20" s="364"/>
      <c r="BJ20" s="365"/>
      <c r="BK20" s="363"/>
      <c r="BL20" s="363"/>
      <c r="BM20" s="363"/>
      <c r="BN20" s="366"/>
      <c r="BO20" s="370"/>
      <c r="BP20" s="363"/>
      <c r="BQ20" s="363"/>
      <c r="BR20" s="363"/>
      <c r="BS20" s="364"/>
      <c r="BT20" s="365"/>
      <c r="BU20" s="363"/>
      <c r="BV20" s="363"/>
      <c r="BW20" s="363"/>
      <c r="BX20" s="366"/>
      <c r="BY20" s="370"/>
      <c r="BZ20" s="363"/>
      <c r="CA20" s="363"/>
      <c r="CB20" s="363"/>
      <c r="CC20" s="364"/>
      <c r="CD20" s="365"/>
      <c r="CE20" s="363"/>
      <c r="CF20" s="363"/>
      <c r="CG20" s="363"/>
      <c r="CH20" s="364"/>
      <c r="CI20" s="365"/>
      <c r="CJ20" s="363"/>
      <c r="CK20" s="363"/>
      <c r="CL20" s="363"/>
      <c r="CM20" s="366"/>
      <c r="CN20" s="45"/>
      <c r="CO20" s="45"/>
      <c r="CP20" s="45"/>
      <c r="CQ20" s="45"/>
      <c r="CR20" s="45"/>
      <c r="CS20" s="45"/>
      <c r="CT20" s="45"/>
      <c r="CU20" s="45"/>
      <c r="CV20" s="45"/>
      <c r="CW20" s="45"/>
      <c r="CX20" s="46"/>
      <c r="CY20" s="45"/>
      <c r="CZ20" s="45"/>
      <c r="DA20" s="46"/>
      <c r="DB20" s="45"/>
      <c r="DC20" s="45"/>
      <c r="DD20" s="45"/>
      <c r="DE20" s="45"/>
      <c r="DF20" s="46"/>
      <c r="DG20" s="45"/>
      <c r="DH20" s="45"/>
      <c r="DI20" s="45"/>
      <c r="DJ20" s="45"/>
      <c r="DK20" s="45"/>
      <c r="DL20" s="45"/>
      <c r="DM20" s="45"/>
      <c r="DN20" s="45"/>
    </row>
    <row r="21" spans="1:118" ht="25.5" customHeight="1">
      <c r="A21" s="321">
        <v>3764</v>
      </c>
      <c r="B21" s="322" t="s">
        <v>11</v>
      </c>
      <c r="C21" s="322" t="s">
        <v>44</v>
      </c>
      <c r="D21" s="322" t="s">
        <v>76</v>
      </c>
      <c r="E21" s="323" t="s">
        <v>53</v>
      </c>
      <c r="F21" s="322"/>
      <c r="G21" s="323" t="s">
        <v>85</v>
      </c>
      <c r="H21" s="324" t="s">
        <v>54</v>
      </c>
      <c r="I21" s="325"/>
      <c r="J21" s="323"/>
      <c r="K21" s="326"/>
      <c r="L21" s="327" t="s">
        <v>78</v>
      </c>
      <c r="M21" s="322" t="s">
        <v>77</v>
      </c>
      <c r="N21" s="322"/>
      <c r="O21" s="322" t="s">
        <v>77</v>
      </c>
      <c r="P21" s="328" t="s">
        <v>77</v>
      </c>
      <c r="Q21" s="327"/>
      <c r="R21" s="322"/>
      <c r="S21" s="322"/>
      <c r="T21" s="322"/>
      <c r="U21" s="329" t="s">
        <v>80</v>
      </c>
      <c r="V21" s="321"/>
      <c r="W21" s="323"/>
      <c r="X21" s="323"/>
      <c r="Y21" s="323"/>
      <c r="Z21" s="326"/>
      <c r="AA21" s="330"/>
      <c r="AB21" s="323"/>
      <c r="AC21" s="323"/>
      <c r="AD21" s="323"/>
      <c r="AE21" s="324"/>
      <c r="AF21" s="325"/>
      <c r="AG21" s="323"/>
      <c r="AH21" s="323"/>
      <c r="AI21" s="323"/>
      <c r="AJ21" s="326"/>
      <c r="AK21" s="330"/>
      <c r="AL21" s="323"/>
      <c r="AM21" s="323"/>
      <c r="AN21" s="323"/>
      <c r="AO21" s="324"/>
      <c r="AP21" s="325"/>
      <c r="AQ21" s="323"/>
      <c r="AR21" s="323"/>
      <c r="AS21" s="323"/>
      <c r="AT21" s="326"/>
      <c r="AU21" s="330"/>
      <c r="AV21" s="323"/>
      <c r="AW21" s="323"/>
      <c r="AX21" s="323"/>
      <c r="AY21" s="324"/>
      <c r="AZ21" s="325"/>
      <c r="BA21" s="323"/>
      <c r="BB21" s="323"/>
      <c r="BC21" s="323"/>
      <c r="BD21" s="326"/>
      <c r="BE21" s="330"/>
      <c r="BF21" s="323"/>
      <c r="BG21" s="323"/>
      <c r="BH21" s="323"/>
      <c r="BI21" s="324"/>
      <c r="BJ21" s="325"/>
      <c r="BK21" s="323"/>
      <c r="BL21" s="323"/>
      <c r="BM21" s="323"/>
      <c r="BN21" s="326"/>
      <c r="BO21" s="330"/>
      <c r="BP21" s="323"/>
      <c r="BQ21" s="323"/>
      <c r="BR21" s="323"/>
      <c r="BS21" s="324"/>
      <c r="BT21" s="325"/>
      <c r="BU21" s="323"/>
      <c r="BV21" s="323"/>
      <c r="BW21" s="323"/>
      <c r="BX21" s="326"/>
      <c r="BY21" s="330"/>
      <c r="BZ21" s="323"/>
      <c r="CA21" s="323"/>
      <c r="CB21" s="323"/>
      <c r="CC21" s="324"/>
      <c r="CD21" s="325"/>
      <c r="CE21" s="323"/>
      <c r="CF21" s="323"/>
      <c r="CG21" s="323"/>
      <c r="CH21" s="324"/>
      <c r="CI21" s="325"/>
      <c r="CJ21" s="323"/>
      <c r="CK21" s="323"/>
      <c r="CL21" s="323"/>
      <c r="CM21" s="326"/>
    </row>
    <row r="22" spans="1:118" ht="25.5" customHeight="1">
      <c r="A22" s="321">
        <v>3765</v>
      </c>
      <c r="B22" s="322" t="s">
        <v>11</v>
      </c>
      <c r="C22" s="322" t="s">
        <v>44</v>
      </c>
      <c r="D22" s="322" t="s">
        <v>76</v>
      </c>
      <c r="E22" s="323" t="s">
        <v>53</v>
      </c>
      <c r="F22" s="322"/>
      <c r="G22" s="323" t="s">
        <v>98</v>
      </c>
      <c r="H22" s="371" t="s">
        <v>54</v>
      </c>
      <c r="I22" s="325"/>
      <c r="J22" s="323"/>
      <c r="K22" s="326"/>
      <c r="L22" s="327" t="s">
        <v>78</v>
      </c>
      <c r="M22" s="322" t="s">
        <v>77</v>
      </c>
      <c r="N22" s="322"/>
      <c r="O22" s="322" t="s">
        <v>77</v>
      </c>
      <c r="P22" s="328" t="s">
        <v>77</v>
      </c>
      <c r="Q22" s="327"/>
      <c r="R22" s="322"/>
      <c r="S22" s="322"/>
      <c r="T22" s="322"/>
      <c r="U22" s="329" t="s">
        <v>80</v>
      </c>
      <c r="V22" s="321"/>
      <c r="W22" s="372"/>
      <c r="X22" s="372"/>
      <c r="Y22" s="372"/>
      <c r="Z22" s="373"/>
      <c r="AA22" s="374"/>
      <c r="AB22" s="372"/>
      <c r="AC22" s="372"/>
      <c r="AD22" s="372"/>
      <c r="AE22" s="371"/>
      <c r="AF22" s="375"/>
      <c r="AG22" s="372"/>
      <c r="AH22" s="372"/>
      <c r="AI22" s="372"/>
      <c r="AJ22" s="373"/>
      <c r="AK22" s="374"/>
      <c r="AL22" s="372"/>
      <c r="AM22" s="372"/>
      <c r="AN22" s="372"/>
      <c r="AO22" s="371"/>
      <c r="AP22" s="375"/>
      <c r="AQ22" s="372"/>
      <c r="AR22" s="372"/>
      <c r="AS22" s="372"/>
      <c r="AT22" s="373"/>
      <c r="AU22" s="374"/>
      <c r="AV22" s="372"/>
      <c r="AW22" s="372"/>
      <c r="AX22" s="372"/>
      <c r="AY22" s="371"/>
      <c r="AZ22" s="375"/>
      <c r="BA22" s="372"/>
      <c r="BB22" s="372"/>
      <c r="BC22" s="372"/>
      <c r="BD22" s="373"/>
      <c r="BE22" s="374"/>
      <c r="BF22" s="372"/>
      <c r="BG22" s="372"/>
      <c r="BH22" s="372"/>
      <c r="BI22" s="371"/>
      <c r="BJ22" s="375"/>
      <c r="BK22" s="372"/>
      <c r="BL22" s="372"/>
      <c r="BM22" s="372"/>
      <c r="BN22" s="373"/>
      <c r="BO22" s="374"/>
      <c r="BP22" s="372"/>
      <c r="BQ22" s="372"/>
      <c r="BR22" s="372"/>
      <c r="BS22" s="371"/>
      <c r="BT22" s="375"/>
      <c r="BU22" s="372"/>
      <c r="BV22" s="372"/>
      <c r="BW22" s="372"/>
      <c r="BX22" s="373"/>
      <c r="BY22" s="374"/>
      <c r="BZ22" s="372"/>
      <c r="CA22" s="372"/>
      <c r="CB22" s="372"/>
      <c r="CC22" s="371"/>
      <c r="CD22" s="375"/>
      <c r="CE22" s="372"/>
      <c r="CF22" s="372"/>
      <c r="CG22" s="372"/>
      <c r="CH22" s="371"/>
      <c r="CI22" s="375"/>
      <c r="CJ22" s="372"/>
      <c r="CK22" s="372"/>
      <c r="CL22" s="372"/>
      <c r="CM22" s="373"/>
    </row>
    <row r="23" spans="1:118" ht="25.5" customHeight="1">
      <c r="A23" s="321">
        <v>3766</v>
      </c>
      <c r="B23" s="322" t="s">
        <v>11</v>
      </c>
      <c r="C23" s="322" t="s">
        <v>44</v>
      </c>
      <c r="D23" s="322" t="s">
        <v>76</v>
      </c>
      <c r="E23" s="323" t="s">
        <v>53</v>
      </c>
      <c r="F23" s="322"/>
      <c r="G23" s="323" t="s">
        <v>100</v>
      </c>
      <c r="H23" s="371" t="s">
        <v>54</v>
      </c>
      <c r="I23" s="325"/>
      <c r="J23" s="323"/>
      <c r="K23" s="326"/>
      <c r="L23" s="327" t="s">
        <v>78</v>
      </c>
      <c r="M23" s="322" t="s">
        <v>77</v>
      </c>
      <c r="N23" s="322"/>
      <c r="O23" s="322" t="s">
        <v>77</v>
      </c>
      <c r="P23" s="328" t="s">
        <v>77</v>
      </c>
      <c r="Q23" s="327"/>
      <c r="R23" s="322"/>
      <c r="S23" s="322"/>
      <c r="T23" s="322"/>
      <c r="U23" s="329" t="s">
        <v>80</v>
      </c>
      <c r="V23" s="321"/>
      <c r="W23" s="372"/>
      <c r="X23" s="372"/>
      <c r="Y23" s="372"/>
      <c r="Z23" s="373"/>
      <c r="AA23" s="374"/>
      <c r="AB23" s="372"/>
      <c r="AC23" s="372"/>
      <c r="AD23" s="372"/>
      <c r="AE23" s="371"/>
      <c r="AF23" s="375"/>
      <c r="AG23" s="372"/>
      <c r="AH23" s="372"/>
      <c r="AI23" s="372"/>
      <c r="AJ23" s="373"/>
      <c r="AK23" s="374"/>
      <c r="AL23" s="372"/>
      <c r="AM23" s="372"/>
      <c r="AN23" s="372"/>
      <c r="AO23" s="371"/>
      <c r="AP23" s="375"/>
      <c r="AQ23" s="372"/>
      <c r="AR23" s="372"/>
      <c r="AS23" s="372"/>
      <c r="AT23" s="373"/>
      <c r="AU23" s="374"/>
      <c r="AV23" s="372"/>
      <c r="AW23" s="372"/>
      <c r="AX23" s="372"/>
      <c r="AY23" s="371"/>
      <c r="AZ23" s="375"/>
      <c r="BA23" s="372"/>
      <c r="BB23" s="372"/>
      <c r="BC23" s="372"/>
      <c r="BD23" s="373"/>
      <c r="BE23" s="374"/>
      <c r="BF23" s="372"/>
      <c r="BG23" s="372"/>
      <c r="BH23" s="372"/>
      <c r="BI23" s="371"/>
      <c r="BJ23" s="375"/>
      <c r="BK23" s="372"/>
      <c r="BL23" s="372"/>
      <c r="BM23" s="372"/>
      <c r="BN23" s="373"/>
      <c r="BO23" s="374"/>
      <c r="BP23" s="372"/>
      <c r="BQ23" s="372"/>
      <c r="BR23" s="372"/>
      <c r="BS23" s="371"/>
      <c r="BT23" s="375"/>
      <c r="BU23" s="372"/>
      <c r="BV23" s="372"/>
      <c r="BW23" s="372"/>
      <c r="BX23" s="373"/>
      <c r="BY23" s="374"/>
      <c r="BZ23" s="372"/>
      <c r="CA23" s="372"/>
      <c r="CB23" s="372"/>
      <c r="CC23" s="371"/>
      <c r="CD23" s="375"/>
      <c r="CE23" s="372"/>
      <c r="CF23" s="372"/>
      <c r="CG23" s="372"/>
      <c r="CH23" s="371"/>
      <c r="CI23" s="375"/>
      <c r="CJ23" s="372"/>
      <c r="CK23" s="372"/>
      <c r="CL23" s="372"/>
      <c r="CM23" s="373"/>
    </row>
    <row r="24" spans="1:118" ht="25.5" customHeight="1" thickBot="1">
      <c r="A24" s="331">
        <v>3767</v>
      </c>
      <c r="B24" s="332" t="s">
        <v>11</v>
      </c>
      <c r="C24" s="332" t="s">
        <v>44</v>
      </c>
      <c r="D24" s="332" t="s">
        <v>76</v>
      </c>
      <c r="E24" s="333" t="s">
        <v>53</v>
      </c>
      <c r="F24" s="332"/>
      <c r="G24" s="333" t="s">
        <v>102</v>
      </c>
      <c r="H24" s="376" t="s">
        <v>54</v>
      </c>
      <c r="I24" s="335"/>
      <c r="J24" s="333"/>
      <c r="K24" s="336"/>
      <c r="L24" s="337" t="s">
        <v>78</v>
      </c>
      <c r="M24" s="332" t="s">
        <v>77</v>
      </c>
      <c r="N24" s="332"/>
      <c r="O24" s="332" t="s">
        <v>77</v>
      </c>
      <c r="P24" s="338" t="s">
        <v>77</v>
      </c>
      <c r="Q24" s="337"/>
      <c r="R24" s="332"/>
      <c r="S24" s="332"/>
      <c r="T24" s="332"/>
      <c r="U24" s="339" t="s">
        <v>80</v>
      </c>
      <c r="V24" s="331"/>
      <c r="W24" s="377"/>
      <c r="X24" s="377"/>
      <c r="Y24" s="377"/>
      <c r="Z24" s="378"/>
      <c r="AA24" s="379"/>
      <c r="AB24" s="377"/>
      <c r="AC24" s="377"/>
      <c r="AD24" s="377"/>
      <c r="AE24" s="376"/>
      <c r="AF24" s="380"/>
      <c r="AG24" s="377"/>
      <c r="AH24" s="377"/>
      <c r="AI24" s="377"/>
      <c r="AJ24" s="378"/>
      <c r="AK24" s="379"/>
      <c r="AL24" s="377"/>
      <c r="AM24" s="377"/>
      <c r="AN24" s="377"/>
      <c r="AO24" s="376"/>
      <c r="AP24" s="380"/>
      <c r="AQ24" s="377"/>
      <c r="AR24" s="377"/>
      <c r="AS24" s="377"/>
      <c r="AT24" s="378"/>
      <c r="AU24" s="379"/>
      <c r="AV24" s="377"/>
      <c r="AW24" s="377"/>
      <c r="AX24" s="377"/>
      <c r="AY24" s="376"/>
      <c r="AZ24" s="380"/>
      <c r="BA24" s="377"/>
      <c r="BB24" s="377"/>
      <c r="BC24" s="377"/>
      <c r="BD24" s="378"/>
      <c r="BE24" s="379"/>
      <c r="BF24" s="377"/>
      <c r="BG24" s="377"/>
      <c r="BH24" s="377"/>
      <c r="BI24" s="376"/>
      <c r="BJ24" s="380"/>
      <c r="BK24" s="377"/>
      <c r="BL24" s="377"/>
      <c r="BM24" s="377"/>
      <c r="BN24" s="378"/>
      <c r="BO24" s="379"/>
      <c r="BP24" s="377"/>
      <c r="BQ24" s="377"/>
      <c r="BR24" s="377"/>
      <c r="BS24" s="376"/>
      <c r="BT24" s="380"/>
      <c r="BU24" s="377"/>
      <c r="BV24" s="377"/>
      <c r="BW24" s="377"/>
      <c r="BX24" s="378"/>
      <c r="BY24" s="379"/>
      <c r="BZ24" s="377"/>
      <c r="CA24" s="377"/>
      <c r="CB24" s="377"/>
      <c r="CC24" s="376"/>
      <c r="CD24" s="380"/>
      <c r="CE24" s="377"/>
      <c r="CF24" s="377"/>
      <c r="CG24" s="377"/>
      <c r="CH24" s="376"/>
      <c r="CI24" s="380"/>
      <c r="CJ24" s="377"/>
      <c r="CK24" s="377"/>
      <c r="CL24" s="377"/>
      <c r="CM24" s="378"/>
    </row>
    <row r="25" spans="1:118" ht="25.5" customHeight="1">
      <c r="A25" s="341">
        <v>3768</v>
      </c>
      <c r="B25" s="342" t="s">
        <v>11</v>
      </c>
      <c r="C25" s="342" t="s">
        <v>44</v>
      </c>
      <c r="D25" s="342" t="s">
        <v>76</v>
      </c>
      <c r="E25" s="343" t="s">
        <v>53</v>
      </c>
      <c r="F25" s="342"/>
      <c r="G25" s="343" t="s">
        <v>104</v>
      </c>
      <c r="H25" s="344" t="s">
        <v>54</v>
      </c>
      <c r="I25" s="345"/>
      <c r="J25" s="343"/>
      <c r="K25" s="346"/>
      <c r="L25" s="347" t="s">
        <v>78</v>
      </c>
      <c r="M25" s="342" t="s">
        <v>77</v>
      </c>
      <c r="N25" s="342"/>
      <c r="O25" s="342" t="s">
        <v>77</v>
      </c>
      <c r="P25" s="348" t="s">
        <v>77</v>
      </c>
      <c r="Q25" s="347"/>
      <c r="R25" s="342"/>
      <c r="S25" s="342"/>
      <c r="T25" s="342"/>
      <c r="U25" s="349" t="s">
        <v>80</v>
      </c>
      <c r="V25" s="341"/>
      <c r="W25" s="381"/>
      <c r="X25" s="381"/>
      <c r="Y25" s="381"/>
      <c r="Z25" s="382"/>
      <c r="AA25" s="383"/>
      <c r="AB25" s="381"/>
      <c r="AC25" s="381"/>
      <c r="AD25" s="381"/>
      <c r="AE25" s="384"/>
      <c r="AF25" s="385"/>
      <c r="AG25" s="381"/>
      <c r="AH25" s="381"/>
      <c r="AI25" s="381"/>
      <c r="AJ25" s="382"/>
      <c r="AK25" s="383"/>
      <c r="AL25" s="381"/>
      <c r="AM25" s="381"/>
      <c r="AN25" s="381"/>
      <c r="AO25" s="384"/>
      <c r="AP25" s="385"/>
      <c r="AQ25" s="381"/>
      <c r="AR25" s="381"/>
      <c r="AS25" s="381"/>
      <c r="AT25" s="382"/>
      <c r="AU25" s="383"/>
      <c r="AV25" s="381"/>
      <c r="AW25" s="381"/>
      <c r="AX25" s="381"/>
      <c r="AY25" s="384"/>
      <c r="AZ25" s="385"/>
      <c r="BA25" s="381"/>
      <c r="BB25" s="381"/>
      <c r="BC25" s="381"/>
      <c r="BD25" s="382"/>
      <c r="BE25" s="383"/>
      <c r="BF25" s="381"/>
      <c r="BG25" s="381"/>
      <c r="BH25" s="381"/>
      <c r="BI25" s="384"/>
      <c r="BJ25" s="385"/>
      <c r="BK25" s="381"/>
      <c r="BL25" s="381"/>
      <c r="BM25" s="381"/>
      <c r="BN25" s="382"/>
      <c r="BO25" s="383"/>
      <c r="BP25" s="381"/>
      <c r="BQ25" s="381"/>
      <c r="BR25" s="381"/>
      <c r="BS25" s="384"/>
      <c r="BT25" s="385"/>
      <c r="BU25" s="381"/>
      <c r="BV25" s="381"/>
      <c r="BW25" s="381"/>
      <c r="BX25" s="382"/>
      <c r="BY25" s="383"/>
      <c r="BZ25" s="381"/>
      <c r="CA25" s="381"/>
      <c r="CB25" s="381"/>
      <c r="CC25" s="384"/>
      <c r="CD25" s="385"/>
      <c r="CE25" s="381"/>
      <c r="CF25" s="381"/>
      <c r="CG25" s="381"/>
      <c r="CH25" s="384"/>
      <c r="CI25" s="385"/>
      <c r="CJ25" s="381"/>
      <c r="CK25" s="381"/>
      <c r="CL25" s="381"/>
      <c r="CM25" s="382"/>
    </row>
    <row r="26" spans="1:118" ht="25.5" customHeight="1">
      <c r="A26" s="386">
        <v>3769</v>
      </c>
      <c r="B26" s="387" t="s">
        <v>11</v>
      </c>
      <c r="C26" s="387" t="s">
        <v>44</v>
      </c>
      <c r="D26" s="387" t="s">
        <v>76</v>
      </c>
      <c r="E26" s="372" t="s">
        <v>53</v>
      </c>
      <c r="F26" s="387"/>
      <c r="G26" s="372" t="s">
        <v>106</v>
      </c>
      <c r="H26" s="371" t="s">
        <v>54</v>
      </c>
      <c r="I26" s="375"/>
      <c r="J26" s="372"/>
      <c r="K26" s="373"/>
      <c r="L26" s="388" t="s">
        <v>78</v>
      </c>
      <c r="M26" s="387" t="s">
        <v>77</v>
      </c>
      <c r="N26" s="387"/>
      <c r="O26" s="387" t="s">
        <v>77</v>
      </c>
      <c r="P26" s="389" t="s">
        <v>77</v>
      </c>
      <c r="Q26" s="388"/>
      <c r="R26" s="387"/>
      <c r="S26" s="387"/>
      <c r="T26" s="387"/>
      <c r="U26" s="390" t="s">
        <v>80</v>
      </c>
      <c r="V26" s="386"/>
      <c r="W26" s="372"/>
      <c r="X26" s="372"/>
      <c r="Y26" s="372"/>
      <c r="Z26" s="373"/>
      <c r="AA26" s="374"/>
      <c r="AB26" s="372"/>
      <c r="AC26" s="372"/>
      <c r="AD26" s="372"/>
      <c r="AE26" s="371"/>
      <c r="AF26" s="375"/>
      <c r="AG26" s="372"/>
      <c r="AH26" s="372"/>
      <c r="AI26" s="372"/>
      <c r="AJ26" s="373"/>
      <c r="AK26" s="374"/>
      <c r="AL26" s="372"/>
      <c r="AM26" s="372"/>
      <c r="AN26" s="372"/>
      <c r="AO26" s="371"/>
      <c r="AP26" s="375"/>
      <c r="AQ26" s="372"/>
      <c r="AR26" s="372"/>
      <c r="AS26" s="372"/>
      <c r="AT26" s="373"/>
      <c r="AU26" s="374"/>
      <c r="AV26" s="372"/>
      <c r="AW26" s="372"/>
      <c r="AX26" s="372"/>
      <c r="AY26" s="371"/>
      <c r="AZ26" s="375"/>
      <c r="BA26" s="372"/>
      <c r="BB26" s="372"/>
      <c r="BC26" s="372"/>
      <c r="BD26" s="373"/>
      <c r="BE26" s="374"/>
      <c r="BF26" s="372"/>
      <c r="BG26" s="372"/>
      <c r="BH26" s="372"/>
      <c r="BI26" s="371"/>
      <c r="BJ26" s="375"/>
      <c r="BK26" s="372"/>
      <c r="BL26" s="372"/>
      <c r="BM26" s="372"/>
      <c r="BN26" s="373"/>
      <c r="BO26" s="374"/>
      <c r="BP26" s="372"/>
      <c r="BQ26" s="372"/>
      <c r="BR26" s="372"/>
      <c r="BS26" s="371"/>
      <c r="BT26" s="375"/>
      <c r="BU26" s="372"/>
      <c r="BV26" s="372"/>
      <c r="BW26" s="372"/>
      <c r="BX26" s="373"/>
      <c r="BY26" s="374"/>
      <c r="BZ26" s="372"/>
      <c r="CA26" s="372"/>
      <c r="CB26" s="372"/>
      <c r="CC26" s="371"/>
      <c r="CD26" s="375"/>
      <c r="CE26" s="372"/>
      <c r="CF26" s="372"/>
      <c r="CG26" s="372"/>
      <c r="CH26" s="371"/>
      <c r="CI26" s="375"/>
      <c r="CJ26" s="372"/>
      <c r="CK26" s="372"/>
      <c r="CL26" s="372"/>
      <c r="CM26" s="373"/>
    </row>
    <row r="27" spans="1:118" ht="25.5" customHeight="1">
      <c r="A27" s="386">
        <v>3770</v>
      </c>
      <c r="B27" s="387" t="s">
        <v>11</v>
      </c>
      <c r="C27" s="387" t="s">
        <v>44</v>
      </c>
      <c r="D27" s="387" t="s">
        <v>76</v>
      </c>
      <c r="E27" s="372" t="s">
        <v>53</v>
      </c>
      <c r="F27" s="387"/>
      <c r="G27" s="372" t="s">
        <v>108</v>
      </c>
      <c r="H27" s="371" t="s">
        <v>54</v>
      </c>
      <c r="I27" s="375"/>
      <c r="J27" s="372"/>
      <c r="K27" s="373"/>
      <c r="L27" s="388" t="s">
        <v>78</v>
      </c>
      <c r="M27" s="387" t="s">
        <v>77</v>
      </c>
      <c r="N27" s="387"/>
      <c r="O27" s="387" t="s">
        <v>77</v>
      </c>
      <c r="P27" s="389" t="s">
        <v>77</v>
      </c>
      <c r="Q27" s="388"/>
      <c r="R27" s="387"/>
      <c r="S27" s="387"/>
      <c r="T27" s="387"/>
      <c r="U27" s="390" t="s">
        <v>80</v>
      </c>
      <c r="V27" s="386"/>
      <c r="W27" s="372"/>
      <c r="X27" s="372"/>
      <c r="Y27" s="372"/>
      <c r="Z27" s="373"/>
      <c r="AA27" s="374"/>
      <c r="AB27" s="372"/>
      <c r="AC27" s="372"/>
      <c r="AD27" s="372"/>
      <c r="AE27" s="371"/>
      <c r="AF27" s="375"/>
      <c r="AG27" s="372"/>
      <c r="AH27" s="372"/>
      <c r="AI27" s="372"/>
      <c r="AJ27" s="373"/>
      <c r="AK27" s="374"/>
      <c r="AL27" s="372"/>
      <c r="AM27" s="372"/>
      <c r="AN27" s="372"/>
      <c r="AO27" s="371"/>
      <c r="AP27" s="375"/>
      <c r="AQ27" s="372"/>
      <c r="AR27" s="372"/>
      <c r="AS27" s="372"/>
      <c r="AT27" s="373"/>
      <c r="AU27" s="374"/>
      <c r="AV27" s="372"/>
      <c r="AW27" s="372"/>
      <c r="AX27" s="372"/>
      <c r="AY27" s="371"/>
      <c r="AZ27" s="375"/>
      <c r="BA27" s="372"/>
      <c r="BB27" s="372"/>
      <c r="BC27" s="372"/>
      <c r="BD27" s="373"/>
      <c r="BE27" s="374"/>
      <c r="BF27" s="372"/>
      <c r="BG27" s="372"/>
      <c r="BH27" s="372"/>
      <c r="BI27" s="371"/>
      <c r="BJ27" s="375"/>
      <c r="BK27" s="372"/>
      <c r="BL27" s="372"/>
      <c r="BM27" s="372"/>
      <c r="BN27" s="373"/>
      <c r="BO27" s="374"/>
      <c r="BP27" s="372"/>
      <c r="BQ27" s="372"/>
      <c r="BR27" s="372"/>
      <c r="BS27" s="371"/>
      <c r="BT27" s="375"/>
      <c r="BU27" s="372"/>
      <c r="BV27" s="372"/>
      <c r="BW27" s="372"/>
      <c r="BX27" s="373"/>
      <c r="BY27" s="374"/>
      <c r="BZ27" s="372"/>
      <c r="CA27" s="372"/>
      <c r="CB27" s="372"/>
      <c r="CC27" s="371"/>
      <c r="CD27" s="375"/>
      <c r="CE27" s="372"/>
      <c r="CF27" s="372"/>
      <c r="CG27" s="372"/>
      <c r="CH27" s="371"/>
      <c r="CI27" s="375"/>
      <c r="CJ27" s="372"/>
      <c r="CK27" s="372"/>
      <c r="CL27" s="372"/>
      <c r="CM27" s="373"/>
    </row>
    <row r="28" spans="1:118" ht="25.5" customHeight="1">
      <c r="A28" s="386">
        <v>3771</v>
      </c>
      <c r="B28" s="387" t="s">
        <v>11</v>
      </c>
      <c r="C28" s="387" t="s">
        <v>44</v>
      </c>
      <c r="D28" s="387" t="s">
        <v>76</v>
      </c>
      <c r="E28" s="372" t="s">
        <v>53</v>
      </c>
      <c r="F28" s="387"/>
      <c r="G28" s="372" t="s">
        <v>110</v>
      </c>
      <c r="H28" s="371" t="s">
        <v>54</v>
      </c>
      <c r="I28" s="375"/>
      <c r="J28" s="372"/>
      <c r="K28" s="373"/>
      <c r="L28" s="388" t="s">
        <v>78</v>
      </c>
      <c r="M28" s="387" t="s">
        <v>77</v>
      </c>
      <c r="N28" s="387"/>
      <c r="O28" s="387" t="s">
        <v>77</v>
      </c>
      <c r="P28" s="389" t="s">
        <v>77</v>
      </c>
      <c r="Q28" s="388"/>
      <c r="R28" s="387"/>
      <c r="S28" s="387"/>
      <c r="T28" s="387"/>
      <c r="U28" s="390" t="s">
        <v>80</v>
      </c>
      <c r="V28" s="386"/>
      <c r="W28" s="372"/>
      <c r="X28" s="372"/>
      <c r="Y28" s="372"/>
      <c r="Z28" s="373"/>
      <c r="AA28" s="374"/>
      <c r="AB28" s="372"/>
      <c r="AC28" s="372"/>
      <c r="AD28" s="372"/>
      <c r="AE28" s="371"/>
      <c r="AF28" s="375"/>
      <c r="AG28" s="372"/>
      <c r="AH28" s="372"/>
      <c r="AI28" s="372"/>
      <c r="AJ28" s="373"/>
      <c r="AK28" s="374"/>
      <c r="AL28" s="372"/>
      <c r="AM28" s="372"/>
      <c r="AN28" s="372"/>
      <c r="AO28" s="371"/>
      <c r="AP28" s="375"/>
      <c r="AQ28" s="372"/>
      <c r="AR28" s="372"/>
      <c r="AS28" s="372"/>
      <c r="AT28" s="373"/>
      <c r="AU28" s="374"/>
      <c r="AV28" s="372"/>
      <c r="AW28" s="372"/>
      <c r="AX28" s="372"/>
      <c r="AY28" s="371"/>
      <c r="AZ28" s="375"/>
      <c r="BA28" s="372"/>
      <c r="BB28" s="372"/>
      <c r="BC28" s="372"/>
      <c r="BD28" s="373"/>
      <c r="BE28" s="374"/>
      <c r="BF28" s="372"/>
      <c r="BG28" s="372"/>
      <c r="BH28" s="372"/>
      <c r="BI28" s="371"/>
      <c r="BJ28" s="375"/>
      <c r="BK28" s="372"/>
      <c r="BL28" s="372"/>
      <c r="BM28" s="372"/>
      <c r="BN28" s="373"/>
      <c r="BO28" s="374"/>
      <c r="BP28" s="372"/>
      <c r="BQ28" s="372"/>
      <c r="BR28" s="372"/>
      <c r="BS28" s="371"/>
      <c r="BT28" s="375"/>
      <c r="BU28" s="372"/>
      <c r="BV28" s="372"/>
      <c r="BW28" s="372"/>
      <c r="BX28" s="373"/>
      <c r="BY28" s="374"/>
      <c r="BZ28" s="372"/>
      <c r="CA28" s="372"/>
      <c r="CB28" s="372"/>
      <c r="CC28" s="371"/>
      <c r="CD28" s="375"/>
      <c r="CE28" s="372"/>
      <c r="CF28" s="372"/>
      <c r="CG28" s="372"/>
      <c r="CH28" s="371"/>
      <c r="CI28" s="375"/>
      <c r="CJ28" s="372"/>
      <c r="CK28" s="372"/>
      <c r="CL28" s="372"/>
      <c r="CM28" s="373"/>
    </row>
    <row r="29" spans="1:118" ht="25.5" customHeight="1" thickBot="1">
      <c r="A29" s="391">
        <v>3772</v>
      </c>
      <c r="B29" s="392" t="s">
        <v>11</v>
      </c>
      <c r="C29" s="392" t="s">
        <v>44</v>
      </c>
      <c r="D29" s="392" t="s">
        <v>76</v>
      </c>
      <c r="E29" s="393" t="s">
        <v>53</v>
      </c>
      <c r="F29" s="392"/>
      <c r="G29" s="393" t="s">
        <v>112</v>
      </c>
      <c r="H29" s="394" t="s">
        <v>54</v>
      </c>
      <c r="I29" s="395"/>
      <c r="J29" s="393"/>
      <c r="K29" s="396"/>
      <c r="L29" s="397" t="s">
        <v>78</v>
      </c>
      <c r="M29" s="392" t="s">
        <v>77</v>
      </c>
      <c r="N29" s="392"/>
      <c r="O29" s="392" t="s">
        <v>77</v>
      </c>
      <c r="P29" s="398" t="s">
        <v>77</v>
      </c>
      <c r="Q29" s="397"/>
      <c r="R29" s="392"/>
      <c r="S29" s="392"/>
      <c r="T29" s="392"/>
      <c r="U29" s="399" t="s">
        <v>80</v>
      </c>
      <c r="V29" s="391"/>
      <c r="W29" s="393"/>
      <c r="X29" s="393"/>
      <c r="Y29" s="393"/>
      <c r="Z29" s="396"/>
      <c r="AA29" s="400"/>
      <c r="AB29" s="393"/>
      <c r="AC29" s="393"/>
      <c r="AD29" s="393"/>
      <c r="AE29" s="394"/>
      <c r="AF29" s="395"/>
      <c r="AG29" s="393"/>
      <c r="AH29" s="393"/>
      <c r="AI29" s="393"/>
      <c r="AJ29" s="396"/>
      <c r="AK29" s="400"/>
      <c r="AL29" s="393"/>
      <c r="AM29" s="393"/>
      <c r="AN29" s="393"/>
      <c r="AO29" s="394"/>
      <c r="AP29" s="395"/>
      <c r="AQ29" s="393"/>
      <c r="AR29" s="393"/>
      <c r="AS29" s="393"/>
      <c r="AT29" s="396"/>
      <c r="AU29" s="400"/>
      <c r="AV29" s="393"/>
      <c r="AW29" s="393"/>
      <c r="AX29" s="393"/>
      <c r="AY29" s="394"/>
      <c r="AZ29" s="395"/>
      <c r="BA29" s="393"/>
      <c r="BB29" s="393"/>
      <c r="BC29" s="393"/>
      <c r="BD29" s="396"/>
      <c r="BE29" s="400"/>
      <c r="BF29" s="393"/>
      <c r="BG29" s="393"/>
      <c r="BH29" s="393"/>
      <c r="BI29" s="394"/>
      <c r="BJ29" s="395"/>
      <c r="BK29" s="393"/>
      <c r="BL29" s="393"/>
      <c r="BM29" s="393"/>
      <c r="BN29" s="396"/>
      <c r="BO29" s="400"/>
      <c r="BP29" s="393"/>
      <c r="BQ29" s="393"/>
      <c r="BR29" s="393"/>
      <c r="BS29" s="394"/>
      <c r="BT29" s="395"/>
      <c r="BU29" s="393"/>
      <c r="BV29" s="393"/>
      <c r="BW29" s="393"/>
      <c r="BX29" s="396"/>
      <c r="BY29" s="400"/>
      <c r="BZ29" s="393"/>
      <c r="CA29" s="393"/>
      <c r="CB29" s="393"/>
      <c r="CC29" s="394"/>
      <c r="CD29" s="395"/>
      <c r="CE29" s="393"/>
      <c r="CF29" s="393"/>
      <c r="CG29" s="393"/>
      <c r="CH29" s="394"/>
      <c r="CI29" s="395"/>
      <c r="CJ29" s="393"/>
      <c r="CK29" s="393"/>
      <c r="CL29" s="393"/>
      <c r="CM29" s="396"/>
    </row>
    <row r="30" spans="1:118" ht="25.5" customHeight="1">
      <c r="A30" s="401">
        <v>3773</v>
      </c>
      <c r="B30" s="402" t="s">
        <v>11</v>
      </c>
      <c r="C30" s="402" t="s">
        <v>44</v>
      </c>
      <c r="D30" s="402" t="s">
        <v>76</v>
      </c>
      <c r="E30" s="403" t="s">
        <v>53</v>
      </c>
      <c r="F30" s="402"/>
      <c r="G30" s="403" t="s">
        <v>114</v>
      </c>
      <c r="H30" s="404" t="s">
        <v>54</v>
      </c>
      <c r="I30" s="405"/>
      <c r="J30" s="403"/>
      <c r="K30" s="406"/>
      <c r="L30" s="407" t="s">
        <v>78</v>
      </c>
      <c r="M30" s="402" t="s">
        <v>77</v>
      </c>
      <c r="N30" s="402"/>
      <c r="O30" s="402" t="s">
        <v>77</v>
      </c>
      <c r="P30" s="408" t="s">
        <v>77</v>
      </c>
      <c r="Q30" s="407"/>
      <c r="R30" s="402"/>
      <c r="S30" s="402"/>
      <c r="T30" s="402"/>
      <c r="U30" s="409" t="s">
        <v>80</v>
      </c>
      <c r="V30" s="401"/>
      <c r="W30" s="403"/>
      <c r="X30" s="403"/>
      <c r="Y30" s="403"/>
      <c r="Z30" s="406"/>
      <c r="AA30" s="410"/>
      <c r="AB30" s="403"/>
      <c r="AC30" s="403"/>
      <c r="AD30" s="403"/>
      <c r="AE30" s="404"/>
      <c r="AF30" s="405"/>
      <c r="AG30" s="403"/>
      <c r="AH30" s="403"/>
      <c r="AI30" s="403"/>
      <c r="AJ30" s="406"/>
      <c r="AK30" s="410"/>
      <c r="AL30" s="403"/>
      <c r="AM30" s="403"/>
      <c r="AN30" s="403"/>
      <c r="AO30" s="404"/>
      <c r="AP30" s="405"/>
      <c r="AQ30" s="403"/>
      <c r="AR30" s="403"/>
      <c r="AS30" s="403"/>
      <c r="AT30" s="406"/>
      <c r="AU30" s="410"/>
      <c r="AV30" s="403"/>
      <c r="AW30" s="403"/>
      <c r="AX30" s="403"/>
      <c r="AY30" s="404"/>
      <c r="AZ30" s="405"/>
      <c r="BA30" s="403"/>
      <c r="BB30" s="403"/>
      <c r="BC30" s="403"/>
      <c r="BD30" s="406"/>
      <c r="BE30" s="410"/>
      <c r="BF30" s="403"/>
      <c r="BG30" s="403"/>
      <c r="BH30" s="403"/>
      <c r="BI30" s="404"/>
      <c r="BJ30" s="405"/>
      <c r="BK30" s="403"/>
      <c r="BL30" s="403"/>
      <c r="BM30" s="403"/>
      <c r="BN30" s="406"/>
      <c r="BO30" s="410"/>
      <c r="BP30" s="403"/>
      <c r="BQ30" s="403"/>
      <c r="BR30" s="403"/>
      <c r="BS30" s="404"/>
      <c r="BT30" s="405"/>
      <c r="BU30" s="403"/>
      <c r="BV30" s="403"/>
      <c r="BW30" s="403"/>
      <c r="BX30" s="406"/>
      <c r="BY30" s="410"/>
      <c r="BZ30" s="403"/>
      <c r="CA30" s="403"/>
      <c r="CB30" s="403"/>
      <c r="CC30" s="404"/>
      <c r="CD30" s="405"/>
      <c r="CE30" s="403"/>
      <c r="CF30" s="403"/>
      <c r="CG30" s="403"/>
      <c r="CH30" s="404"/>
      <c r="CI30" s="405"/>
      <c r="CJ30" s="403"/>
      <c r="CK30" s="403"/>
      <c r="CL30" s="403"/>
      <c r="CM30" s="406"/>
    </row>
    <row r="31" spans="1:118" ht="25.5" customHeight="1">
      <c r="A31" s="386">
        <v>3774</v>
      </c>
      <c r="B31" s="387" t="s">
        <v>11</v>
      </c>
      <c r="C31" s="387" t="s">
        <v>44</v>
      </c>
      <c r="D31" s="387" t="s">
        <v>76</v>
      </c>
      <c r="E31" s="372" t="s">
        <v>53</v>
      </c>
      <c r="F31" s="387"/>
      <c r="G31" s="372" t="s">
        <v>116</v>
      </c>
      <c r="H31" s="371" t="s">
        <v>54</v>
      </c>
      <c r="I31" s="375"/>
      <c r="J31" s="372"/>
      <c r="K31" s="373"/>
      <c r="L31" s="388" t="s">
        <v>78</v>
      </c>
      <c r="M31" s="387" t="s">
        <v>77</v>
      </c>
      <c r="N31" s="387"/>
      <c r="O31" s="387" t="s">
        <v>77</v>
      </c>
      <c r="P31" s="389" t="s">
        <v>77</v>
      </c>
      <c r="Q31" s="388"/>
      <c r="R31" s="387"/>
      <c r="S31" s="387"/>
      <c r="T31" s="387"/>
      <c r="U31" s="390" t="s">
        <v>80</v>
      </c>
      <c r="V31" s="386"/>
      <c r="W31" s="372"/>
      <c r="X31" s="372"/>
      <c r="Y31" s="372"/>
      <c r="Z31" s="373"/>
      <c r="AA31" s="374"/>
      <c r="AB31" s="372"/>
      <c r="AC31" s="372"/>
      <c r="AD31" s="372"/>
      <c r="AE31" s="371"/>
      <c r="AF31" s="375"/>
      <c r="AG31" s="372"/>
      <c r="AH31" s="372"/>
      <c r="AI31" s="372"/>
      <c r="AJ31" s="373"/>
      <c r="AK31" s="374"/>
      <c r="AL31" s="372"/>
      <c r="AM31" s="372"/>
      <c r="AN31" s="372"/>
      <c r="AO31" s="371"/>
      <c r="AP31" s="375"/>
      <c r="AQ31" s="372"/>
      <c r="AR31" s="372"/>
      <c r="AS31" s="372"/>
      <c r="AT31" s="373"/>
      <c r="AU31" s="374"/>
      <c r="AV31" s="372"/>
      <c r="AW31" s="372"/>
      <c r="AX31" s="372"/>
      <c r="AY31" s="371"/>
      <c r="AZ31" s="375"/>
      <c r="BA31" s="372"/>
      <c r="BB31" s="372"/>
      <c r="BC31" s="372"/>
      <c r="BD31" s="373"/>
      <c r="BE31" s="374"/>
      <c r="BF31" s="372"/>
      <c r="BG31" s="372"/>
      <c r="BH31" s="372"/>
      <c r="BI31" s="371"/>
      <c r="BJ31" s="375"/>
      <c r="BK31" s="372"/>
      <c r="BL31" s="372"/>
      <c r="BM31" s="372"/>
      <c r="BN31" s="373"/>
      <c r="BO31" s="374"/>
      <c r="BP31" s="372"/>
      <c r="BQ31" s="372"/>
      <c r="BR31" s="372"/>
      <c r="BS31" s="371"/>
      <c r="BT31" s="375"/>
      <c r="BU31" s="372"/>
      <c r="BV31" s="372"/>
      <c r="BW31" s="372"/>
      <c r="BX31" s="373"/>
      <c r="BY31" s="374"/>
      <c r="BZ31" s="372"/>
      <c r="CA31" s="372"/>
      <c r="CB31" s="372"/>
      <c r="CC31" s="371"/>
      <c r="CD31" s="375"/>
      <c r="CE31" s="372"/>
      <c r="CF31" s="372"/>
      <c r="CG31" s="372"/>
      <c r="CH31" s="371"/>
      <c r="CI31" s="375"/>
      <c r="CJ31" s="372"/>
      <c r="CK31" s="372"/>
      <c r="CL31" s="372"/>
      <c r="CM31" s="373"/>
    </row>
    <row r="32" spans="1:118" ht="25.5" customHeight="1">
      <c r="A32" s="386">
        <v>3775</v>
      </c>
      <c r="B32" s="387" t="s">
        <v>11</v>
      </c>
      <c r="C32" s="387" t="s">
        <v>44</v>
      </c>
      <c r="D32" s="387" t="s">
        <v>76</v>
      </c>
      <c r="E32" s="372" t="s">
        <v>53</v>
      </c>
      <c r="F32" s="387"/>
      <c r="G32" s="372" t="s">
        <v>118</v>
      </c>
      <c r="H32" s="371" t="s">
        <v>54</v>
      </c>
      <c r="I32" s="375"/>
      <c r="J32" s="372"/>
      <c r="K32" s="373"/>
      <c r="L32" s="388" t="s">
        <v>78</v>
      </c>
      <c r="M32" s="387" t="s">
        <v>77</v>
      </c>
      <c r="N32" s="387"/>
      <c r="O32" s="387" t="s">
        <v>77</v>
      </c>
      <c r="P32" s="389" t="s">
        <v>77</v>
      </c>
      <c r="Q32" s="388"/>
      <c r="R32" s="387"/>
      <c r="S32" s="387"/>
      <c r="T32" s="387"/>
      <c r="U32" s="390" t="s">
        <v>80</v>
      </c>
      <c r="V32" s="386"/>
      <c r="W32" s="372"/>
      <c r="X32" s="372"/>
      <c r="Y32" s="372"/>
      <c r="Z32" s="373"/>
      <c r="AA32" s="374"/>
      <c r="AB32" s="372"/>
      <c r="AC32" s="372"/>
      <c r="AD32" s="372"/>
      <c r="AE32" s="371"/>
      <c r="AF32" s="375"/>
      <c r="AG32" s="372"/>
      <c r="AH32" s="372"/>
      <c r="AI32" s="372"/>
      <c r="AJ32" s="373"/>
      <c r="AK32" s="374"/>
      <c r="AL32" s="372"/>
      <c r="AM32" s="372"/>
      <c r="AN32" s="372"/>
      <c r="AO32" s="371"/>
      <c r="AP32" s="375"/>
      <c r="AQ32" s="372"/>
      <c r="AR32" s="372"/>
      <c r="AS32" s="372"/>
      <c r="AT32" s="373"/>
      <c r="AU32" s="374"/>
      <c r="AV32" s="372"/>
      <c r="AW32" s="372"/>
      <c r="AX32" s="372"/>
      <c r="AY32" s="371"/>
      <c r="AZ32" s="375"/>
      <c r="BA32" s="372"/>
      <c r="BB32" s="372"/>
      <c r="BC32" s="372"/>
      <c r="BD32" s="373"/>
      <c r="BE32" s="374"/>
      <c r="BF32" s="372"/>
      <c r="BG32" s="372"/>
      <c r="BH32" s="372"/>
      <c r="BI32" s="371"/>
      <c r="BJ32" s="375"/>
      <c r="BK32" s="372"/>
      <c r="BL32" s="372"/>
      <c r="BM32" s="372"/>
      <c r="BN32" s="373"/>
      <c r="BO32" s="374"/>
      <c r="BP32" s="372"/>
      <c r="BQ32" s="372"/>
      <c r="BR32" s="372"/>
      <c r="BS32" s="371"/>
      <c r="BT32" s="375"/>
      <c r="BU32" s="372"/>
      <c r="BV32" s="372"/>
      <c r="BW32" s="372"/>
      <c r="BX32" s="373"/>
      <c r="BY32" s="374"/>
      <c r="BZ32" s="372"/>
      <c r="CA32" s="372"/>
      <c r="CB32" s="372"/>
      <c r="CC32" s="371"/>
      <c r="CD32" s="375"/>
      <c r="CE32" s="372"/>
      <c r="CF32" s="372"/>
      <c r="CG32" s="372"/>
      <c r="CH32" s="371"/>
      <c r="CI32" s="375"/>
      <c r="CJ32" s="372"/>
      <c r="CK32" s="372"/>
      <c r="CL32" s="372"/>
      <c r="CM32" s="373"/>
    </row>
    <row r="33" spans="1:91" ht="25.5" customHeight="1">
      <c r="A33" s="386">
        <v>3776</v>
      </c>
      <c r="B33" s="387" t="s">
        <v>11</v>
      </c>
      <c r="C33" s="387" t="s">
        <v>44</v>
      </c>
      <c r="D33" s="387" t="s">
        <v>76</v>
      </c>
      <c r="E33" s="372" t="s">
        <v>53</v>
      </c>
      <c r="F33" s="387"/>
      <c r="G33" s="372" t="s">
        <v>120</v>
      </c>
      <c r="H33" s="371" t="s">
        <v>54</v>
      </c>
      <c r="I33" s="375"/>
      <c r="J33" s="372"/>
      <c r="K33" s="373"/>
      <c r="L33" s="388" t="s">
        <v>78</v>
      </c>
      <c r="M33" s="387" t="s">
        <v>77</v>
      </c>
      <c r="N33" s="387"/>
      <c r="O33" s="387" t="s">
        <v>77</v>
      </c>
      <c r="P33" s="389" t="s">
        <v>77</v>
      </c>
      <c r="Q33" s="388"/>
      <c r="R33" s="387"/>
      <c r="S33" s="387"/>
      <c r="T33" s="387"/>
      <c r="U33" s="390" t="s">
        <v>80</v>
      </c>
      <c r="V33" s="386"/>
      <c r="W33" s="372"/>
      <c r="X33" s="372"/>
      <c r="Y33" s="372"/>
      <c r="Z33" s="373"/>
      <c r="AA33" s="374"/>
      <c r="AB33" s="372"/>
      <c r="AC33" s="372"/>
      <c r="AD33" s="372"/>
      <c r="AE33" s="371"/>
      <c r="AF33" s="375"/>
      <c r="AG33" s="372"/>
      <c r="AH33" s="372"/>
      <c r="AI33" s="372"/>
      <c r="AJ33" s="373"/>
      <c r="AK33" s="374"/>
      <c r="AL33" s="372"/>
      <c r="AM33" s="372"/>
      <c r="AN33" s="372"/>
      <c r="AO33" s="371"/>
      <c r="AP33" s="375"/>
      <c r="AQ33" s="372"/>
      <c r="AR33" s="372"/>
      <c r="AS33" s="372"/>
      <c r="AT33" s="373"/>
      <c r="AU33" s="374"/>
      <c r="AV33" s="372"/>
      <c r="AW33" s="372"/>
      <c r="AX33" s="372"/>
      <c r="AY33" s="371"/>
      <c r="AZ33" s="375"/>
      <c r="BA33" s="372"/>
      <c r="BB33" s="372"/>
      <c r="BC33" s="372"/>
      <c r="BD33" s="373"/>
      <c r="BE33" s="374"/>
      <c r="BF33" s="372"/>
      <c r="BG33" s="372"/>
      <c r="BH33" s="372"/>
      <c r="BI33" s="371"/>
      <c r="BJ33" s="375"/>
      <c r="BK33" s="372"/>
      <c r="BL33" s="372"/>
      <c r="BM33" s="372"/>
      <c r="BN33" s="373"/>
      <c r="BO33" s="374"/>
      <c r="BP33" s="372"/>
      <c r="BQ33" s="372"/>
      <c r="BR33" s="372"/>
      <c r="BS33" s="371"/>
      <c r="BT33" s="375"/>
      <c r="BU33" s="372"/>
      <c r="BV33" s="372"/>
      <c r="BW33" s="372"/>
      <c r="BX33" s="373"/>
      <c r="BY33" s="374"/>
      <c r="BZ33" s="372"/>
      <c r="CA33" s="372"/>
      <c r="CB33" s="372"/>
      <c r="CC33" s="371"/>
      <c r="CD33" s="375"/>
      <c r="CE33" s="372"/>
      <c r="CF33" s="372"/>
      <c r="CG33" s="372"/>
      <c r="CH33" s="371"/>
      <c r="CI33" s="375"/>
      <c r="CJ33" s="372"/>
      <c r="CK33" s="372"/>
      <c r="CL33" s="372"/>
      <c r="CM33" s="373"/>
    </row>
    <row r="34" spans="1:91" ht="25.5" customHeight="1" thickBot="1">
      <c r="A34" s="411">
        <v>3777</v>
      </c>
      <c r="B34" s="412" t="s">
        <v>11</v>
      </c>
      <c r="C34" s="412" t="s">
        <v>44</v>
      </c>
      <c r="D34" s="412" t="s">
        <v>76</v>
      </c>
      <c r="E34" s="377" t="s">
        <v>53</v>
      </c>
      <c r="F34" s="412"/>
      <c r="G34" s="377" t="s">
        <v>122</v>
      </c>
      <c r="H34" s="376" t="s">
        <v>54</v>
      </c>
      <c r="I34" s="380"/>
      <c r="J34" s="377"/>
      <c r="K34" s="378"/>
      <c r="L34" s="413" t="s">
        <v>78</v>
      </c>
      <c r="M34" s="412" t="s">
        <v>77</v>
      </c>
      <c r="N34" s="412"/>
      <c r="O34" s="412" t="s">
        <v>77</v>
      </c>
      <c r="P34" s="414" t="s">
        <v>77</v>
      </c>
      <c r="Q34" s="413"/>
      <c r="R34" s="412"/>
      <c r="S34" s="412"/>
      <c r="T34" s="412"/>
      <c r="U34" s="415" t="s">
        <v>80</v>
      </c>
      <c r="V34" s="411"/>
      <c r="W34" s="377"/>
      <c r="X34" s="377"/>
      <c r="Y34" s="377"/>
      <c r="Z34" s="378"/>
      <c r="AA34" s="379"/>
      <c r="AB34" s="377"/>
      <c r="AC34" s="377"/>
      <c r="AD34" s="377"/>
      <c r="AE34" s="376"/>
      <c r="AF34" s="380"/>
      <c r="AG34" s="377"/>
      <c r="AH34" s="377"/>
      <c r="AI34" s="377"/>
      <c r="AJ34" s="378"/>
      <c r="AK34" s="379"/>
      <c r="AL34" s="377"/>
      <c r="AM34" s="377"/>
      <c r="AN34" s="377"/>
      <c r="AO34" s="376"/>
      <c r="AP34" s="380"/>
      <c r="AQ34" s="377"/>
      <c r="AR34" s="377"/>
      <c r="AS34" s="377"/>
      <c r="AT34" s="378"/>
      <c r="AU34" s="379"/>
      <c r="AV34" s="377"/>
      <c r="AW34" s="377"/>
      <c r="AX34" s="377"/>
      <c r="AY34" s="376"/>
      <c r="AZ34" s="380"/>
      <c r="BA34" s="377"/>
      <c r="BB34" s="377"/>
      <c r="BC34" s="377"/>
      <c r="BD34" s="378"/>
      <c r="BE34" s="379"/>
      <c r="BF34" s="377"/>
      <c r="BG34" s="377"/>
      <c r="BH34" s="377"/>
      <c r="BI34" s="376"/>
      <c r="BJ34" s="380"/>
      <c r="BK34" s="377"/>
      <c r="BL34" s="377"/>
      <c r="BM34" s="377"/>
      <c r="BN34" s="378"/>
      <c r="BO34" s="379"/>
      <c r="BP34" s="377"/>
      <c r="BQ34" s="377"/>
      <c r="BR34" s="377"/>
      <c r="BS34" s="376"/>
      <c r="BT34" s="380"/>
      <c r="BU34" s="377"/>
      <c r="BV34" s="377"/>
      <c r="BW34" s="377"/>
      <c r="BX34" s="378"/>
      <c r="BY34" s="379"/>
      <c r="BZ34" s="377"/>
      <c r="CA34" s="377"/>
      <c r="CB34" s="377"/>
      <c r="CC34" s="376"/>
      <c r="CD34" s="380"/>
      <c r="CE34" s="377"/>
      <c r="CF34" s="377"/>
      <c r="CG34" s="377"/>
      <c r="CH34" s="376"/>
      <c r="CI34" s="380"/>
      <c r="CJ34" s="377"/>
      <c r="CK34" s="377"/>
      <c r="CL34" s="377"/>
      <c r="CM34" s="378"/>
    </row>
    <row r="35" spans="1:91" ht="25.5" customHeight="1">
      <c r="A35" s="416">
        <v>3778</v>
      </c>
      <c r="B35" s="417" t="s">
        <v>11</v>
      </c>
      <c r="C35" s="417" t="s">
        <v>44</v>
      </c>
      <c r="D35" s="417" t="s">
        <v>76</v>
      </c>
      <c r="E35" s="381" t="s">
        <v>53</v>
      </c>
      <c r="F35" s="417"/>
      <c r="G35" s="381" t="s">
        <v>124</v>
      </c>
      <c r="H35" s="384" t="s">
        <v>54</v>
      </c>
      <c r="I35" s="385"/>
      <c r="J35" s="381"/>
      <c r="K35" s="382"/>
      <c r="L35" s="418" t="s">
        <v>78</v>
      </c>
      <c r="M35" s="417" t="s">
        <v>77</v>
      </c>
      <c r="N35" s="417"/>
      <c r="O35" s="417" t="s">
        <v>77</v>
      </c>
      <c r="P35" s="419" t="s">
        <v>77</v>
      </c>
      <c r="Q35" s="418"/>
      <c r="R35" s="417"/>
      <c r="S35" s="417"/>
      <c r="T35" s="417"/>
      <c r="U35" s="420" t="s">
        <v>80</v>
      </c>
      <c r="V35" s="416"/>
      <c r="W35" s="381"/>
      <c r="X35" s="381"/>
      <c r="Y35" s="381"/>
      <c r="Z35" s="382"/>
      <c r="AA35" s="383"/>
      <c r="AB35" s="381"/>
      <c r="AC35" s="381"/>
      <c r="AD35" s="381"/>
      <c r="AE35" s="384"/>
      <c r="AF35" s="385"/>
      <c r="AG35" s="381"/>
      <c r="AH35" s="381"/>
      <c r="AI35" s="381"/>
      <c r="AJ35" s="382"/>
      <c r="AK35" s="383"/>
      <c r="AL35" s="381"/>
      <c r="AM35" s="381"/>
      <c r="AN35" s="381"/>
      <c r="AO35" s="384"/>
      <c r="AP35" s="385"/>
      <c r="AQ35" s="381"/>
      <c r="AR35" s="381"/>
      <c r="AS35" s="381"/>
      <c r="AT35" s="382"/>
      <c r="AU35" s="383"/>
      <c r="AV35" s="381"/>
      <c r="AW35" s="381"/>
      <c r="AX35" s="381"/>
      <c r="AY35" s="384"/>
      <c r="AZ35" s="385"/>
      <c r="BA35" s="381"/>
      <c r="BB35" s="381"/>
      <c r="BC35" s="381"/>
      <c r="BD35" s="382"/>
      <c r="BE35" s="383"/>
      <c r="BF35" s="381"/>
      <c r="BG35" s="381"/>
      <c r="BH35" s="381"/>
      <c r="BI35" s="384"/>
      <c r="BJ35" s="385"/>
      <c r="BK35" s="381"/>
      <c r="BL35" s="381"/>
      <c r="BM35" s="381"/>
      <c r="BN35" s="382"/>
      <c r="BO35" s="383"/>
      <c r="BP35" s="381"/>
      <c r="BQ35" s="381"/>
      <c r="BR35" s="381"/>
      <c r="BS35" s="384"/>
      <c r="BT35" s="385"/>
      <c r="BU35" s="381"/>
      <c r="BV35" s="381"/>
      <c r="BW35" s="381"/>
      <c r="BX35" s="382"/>
      <c r="BY35" s="383"/>
      <c r="BZ35" s="381"/>
      <c r="CA35" s="381"/>
      <c r="CB35" s="381"/>
      <c r="CC35" s="384"/>
      <c r="CD35" s="385"/>
      <c r="CE35" s="381"/>
      <c r="CF35" s="381"/>
      <c r="CG35" s="381"/>
      <c r="CH35" s="384"/>
      <c r="CI35" s="385"/>
      <c r="CJ35" s="381"/>
      <c r="CK35" s="381"/>
      <c r="CL35" s="381"/>
      <c r="CM35" s="382"/>
    </row>
    <row r="36" spans="1:91" ht="25.5" customHeight="1">
      <c r="A36" s="386">
        <v>3779</v>
      </c>
      <c r="B36" s="387" t="s">
        <v>11</v>
      </c>
      <c r="C36" s="387" t="s">
        <v>44</v>
      </c>
      <c r="D36" s="387" t="s">
        <v>76</v>
      </c>
      <c r="E36" s="372" t="s">
        <v>53</v>
      </c>
      <c r="F36" s="387"/>
      <c r="G36" s="372" t="s">
        <v>126</v>
      </c>
      <c r="H36" s="371" t="s">
        <v>54</v>
      </c>
      <c r="I36" s="375"/>
      <c r="J36" s="372"/>
      <c r="K36" s="373"/>
      <c r="L36" s="388" t="s">
        <v>78</v>
      </c>
      <c r="M36" s="387" t="s">
        <v>77</v>
      </c>
      <c r="N36" s="387"/>
      <c r="O36" s="387" t="s">
        <v>77</v>
      </c>
      <c r="P36" s="389" t="s">
        <v>77</v>
      </c>
      <c r="Q36" s="388"/>
      <c r="R36" s="387"/>
      <c r="S36" s="387"/>
      <c r="T36" s="387"/>
      <c r="U36" s="390" t="s">
        <v>80</v>
      </c>
      <c r="V36" s="386"/>
      <c r="W36" s="372"/>
      <c r="X36" s="372"/>
      <c r="Y36" s="372"/>
      <c r="Z36" s="373"/>
      <c r="AA36" s="374"/>
      <c r="AB36" s="372"/>
      <c r="AC36" s="372"/>
      <c r="AD36" s="372"/>
      <c r="AE36" s="371"/>
      <c r="AF36" s="375"/>
      <c r="AG36" s="372"/>
      <c r="AH36" s="372"/>
      <c r="AI36" s="372"/>
      <c r="AJ36" s="373"/>
      <c r="AK36" s="374"/>
      <c r="AL36" s="372"/>
      <c r="AM36" s="372"/>
      <c r="AN36" s="372"/>
      <c r="AO36" s="371"/>
      <c r="AP36" s="375"/>
      <c r="AQ36" s="372"/>
      <c r="AR36" s="372"/>
      <c r="AS36" s="372"/>
      <c r="AT36" s="373"/>
      <c r="AU36" s="374"/>
      <c r="AV36" s="372"/>
      <c r="AW36" s="372"/>
      <c r="AX36" s="372"/>
      <c r="AY36" s="371"/>
      <c r="AZ36" s="375"/>
      <c r="BA36" s="372"/>
      <c r="BB36" s="372"/>
      <c r="BC36" s="372"/>
      <c r="BD36" s="373"/>
      <c r="BE36" s="374"/>
      <c r="BF36" s="372"/>
      <c r="BG36" s="372"/>
      <c r="BH36" s="372"/>
      <c r="BI36" s="371"/>
      <c r="BJ36" s="375"/>
      <c r="BK36" s="372"/>
      <c r="BL36" s="372"/>
      <c r="BM36" s="372"/>
      <c r="BN36" s="373"/>
      <c r="BO36" s="374"/>
      <c r="BP36" s="372"/>
      <c r="BQ36" s="372"/>
      <c r="BR36" s="372"/>
      <c r="BS36" s="371"/>
      <c r="BT36" s="375"/>
      <c r="BU36" s="372"/>
      <c r="BV36" s="372"/>
      <c r="BW36" s="372"/>
      <c r="BX36" s="373"/>
      <c r="BY36" s="374"/>
      <c r="BZ36" s="372"/>
      <c r="CA36" s="372"/>
      <c r="CB36" s="372"/>
      <c r="CC36" s="371"/>
      <c r="CD36" s="375"/>
      <c r="CE36" s="372"/>
      <c r="CF36" s="372"/>
      <c r="CG36" s="372"/>
      <c r="CH36" s="371"/>
      <c r="CI36" s="375"/>
      <c r="CJ36" s="372"/>
      <c r="CK36" s="372"/>
      <c r="CL36" s="372"/>
      <c r="CM36" s="373"/>
    </row>
    <row r="37" spans="1:91" ht="25.5" customHeight="1">
      <c r="A37" s="386">
        <v>3780</v>
      </c>
      <c r="B37" s="387" t="s">
        <v>11</v>
      </c>
      <c r="C37" s="387" t="s">
        <v>44</v>
      </c>
      <c r="D37" s="387" t="s">
        <v>76</v>
      </c>
      <c r="E37" s="372" t="s">
        <v>53</v>
      </c>
      <c r="F37" s="387"/>
      <c r="G37" s="372" t="s">
        <v>128</v>
      </c>
      <c r="H37" s="371" t="s">
        <v>54</v>
      </c>
      <c r="I37" s="375"/>
      <c r="J37" s="372"/>
      <c r="K37" s="373"/>
      <c r="L37" s="388" t="s">
        <v>78</v>
      </c>
      <c r="M37" s="387" t="s">
        <v>77</v>
      </c>
      <c r="N37" s="387"/>
      <c r="O37" s="387" t="s">
        <v>77</v>
      </c>
      <c r="P37" s="389" t="s">
        <v>77</v>
      </c>
      <c r="Q37" s="388"/>
      <c r="R37" s="387"/>
      <c r="S37" s="387"/>
      <c r="T37" s="387"/>
      <c r="U37" s="390" t="s">
        <v>80</v>
      </c>
      <c r="V37" s="386"/>
      <c r="W37" s="372"/>
      <c r="X37" s="372"/>
      <c r="Y37" s="372"/>
      <c r="Z37" s="373"/>
      <c r="AA37" s="374"/>
      <c r="AB37" s="372"/>
      <c r="AC37" s="372"/>
      <c r="AD37" s="372"/>
      <c r="AE37" s="371"/>
      <c r="AF37" s="375"/>
      <c r="AG37" s="372"/>
      <c r="AH37" s="372"/>
      <c r="AI37" s="372"/>
      <c r="AJ37" s="373"/>
      <c r="AK37" s="374"/>
      <c r="AL37" s="372"/>
      <c r="AM37" s="372"/>
      <c r="AN37" s="372"/>
      <c r="AO37" s="371"/>
      <c r="AP37" s="375"/>
      <c r="AQ37" s="372"/>
      <c r="AR37" s="372"/>
      <c r="AS37" s="372"/>
      <c r="AT37" s="373"/>
      <c r="AU37" s="374"/>
      <c r="AV37" s="372"/>
      <c r="AW37" s="372"/>
      <c r="AX37" s="372"/>
      <c r="AY37" s="371"/>
      <c r="AZ37" s="375"/>
      <c r="BA37" s="372"/>
      <c r="BB37" s="372"/>
      <c r="BC37" s="372"/>
      <c r="BD37" s="373"/>
      <c r="BE37" s="374"/>
      <c r="BF37" s="372"/>
      <c r="BG37" s="372"/>
      <c r="BH37" s="372"/>
      <c r="BI37" s="371"/>
      <c r="BJ37" s="375"/>
      <c r="BK37" s="372"/>
      <c r="BL37" s="372"/>
      <c r="BM37" s="372"/>
      <c r="BN37" s="373"/>
      <c r="BO37" s="374"/>
      <c r="BP37" s="372"/>
      <c r="BQ37" s="372"/>
      <c r="BR37" s="372"/>
      <c r="BS37" s="371"/>
      <c r="BT37" s="375"/>
      <c r="BU37" s="372"/>
      <c r="BV37" s="372"/>
      <c r="BW37" s="372"/>
      <c r="BX37" s="373"/>
      <c r="BY37" s="374"/>
      <c r="BZ37" s="372"/>
      <c r="CA37" s="372"/>
      <c r="CB37" s="372"/>
      <c r="CC37" s="371"/>
      <c r="CD37" s="375"/>
      <c r="CE37" s="372"/>
      <c r="CF37" s="372"/>
      <c r="CG37" s="372"/>
      <c r="CH37" s="371"/>
      <c r="CI37" s="375"/>
      <c r="CJ37" s="372"/>
      <c r="CK37" s="372"/>
      <c r="CL37" s="372"/>
      <c r="CM37" s="373"/>
    </row>
    <row r="38" spans="1:91" ht="25.5" customHeight="1">
      <c r="A38" s="386">
        <v>3781</v>
      </c>
      <c r="B38" s="387" t="s">
        <v>11</v>
      </c>
      <c r="C38" s="387" t="s">
        <v>44</v>
      </c>
      <c r="D38" s="387" t="s">
        <v>76</v>
      </c>
      <c r="E38" s="372" t="s">
        <v>53</v>
      </c>
      <c r="F38" s="387"/>
      <c r="G38" s="372" t="s">
        <v>130</v>
      </c>
      <c r="H38" s="371" t="s">
        <v>54</v>
      </c>
      <c r="I38" s="375"/>
      <c r="J38" s="372"/>
      <c r="K38" s="373"/>
      <c r="L38" s="388" t="s">
        <v>78</v>
      </c>
      <c r="M38" s="387" t="s">
        <v>77</v>
      </c>
      <c r="N38" s="387"/>
      <c r="O38" s="387" t="s">
        <v>77</v>
      </c>
      <c r="P38" s="389" t="s">
        <v>77</v>
      </c>
      <c r="Q38" s="388"/>
      <c r="R38" s="387"/>
      <c r="S38" s="387"/>
      <c r="T38" s="387"/>
      <c r="U38" s="390" t="s">
        <v>80</v>
      </c>
      <c r="V38" s="386"/>
      <c r="W38" s="372"/>
      <c r="X38" s="372"/>
      <c r="Y38" s="372"/>
      <c r="Z38" s="373"/>
      <c r="AA38" s="374"/>
      <c r="AB38" s="372"/>
      <c r="AC38" s="372"/>
      <c r="AD38" s="372"/>
      <c r="AE38" s="371"/>
      <c r="AF38" s="375"/>
      <c r="AG38" s="372"/>
      <c r="AH38" s="372"/>
      <c r="AI38" s="372"/>
      <c r="AJ38" s="373"/>
      <c r="AK38" s="374"/>
      <c r="AL38" s="372"/>
      <c r="AM38" s="372"/>
      <c r="AN38" s="372"/>
      <c r="AO38" s="371"/>
      <c r="AP38" s="375"/>
      <c r="AQ38" s="372"/>
      <c r="AR38" s="372"/>
      <c r="AS38" s="372"/>
      <c r="AT38" s="373"/>
      <c r="AU38" s="374"/>
      <c r="AV38" s="372"/>
      <c r="AW38" s="372"/>
      <c r="AX38" s="372"/>
      <c r="AY38" s="371"/>
      <c r="AZ38" s="375"/>
      <c r="BA38" s="372"/>
      <c r="BB38" s="372"/>
      <c r="BC38" s="372"/>
      <c r="BD38" s="373"/>
      <c r="BE38" s="374"/>
      <c r="BF38" s="372"/>
      <c r="BG38" s="372"/>
      <c r="BH38" s="372"/>
      <c r="BI38" s="371"/>
      <c r="BJ38" s="375"/>
      <c r="BK38" s="372"/>
      <c r="BL38" s="372"/>
      <c r="BM38" s="372"/>
      <c r="BN38" s="373"/>
      <c r="BO38" s="374"/>
      <c r="BP38" s="372"/>
      <c r="BQ38" s="372"/>
      <c r="BR38" s="372"/>
      <c r="BS38" s="371"/>
      <c r="BT38" s="375"/>
      <c r="BU38" s="372"/>
      <c r="BV38" s="372"/>
      <c r="BW38" s="372"/>
      <c r="BX38" s="373"/>
      <c r="BY38" s="374"/>
      <c r="BZ38" s="372"/>
      <c r="CA38" s="372"/>
      <c r="CB38" s="372"/>
      <c r="CC38" s="371"/>
      <c r="CD38" s="375"/>
      <c r="CE38" s="372"/>
      <c r="CF38" s="372"/>
      <c r="CG38" s="372"/>
      <c r="CH38" s="371"/>
      <c r="CI38" s="375"/>
      <c r="CJ38" s="372"/>
      <c r="CK38" s="372"/>
      <c r="CL38" s="372"/>
      <c r="CM38" s="373"/>
    </row>
    <row r="39" spans="1:91" ht="25.5" customHeight="1" thickBot="1">
      <c r="A39" s="391">
        <v>3782</v>
      </c>
      <c r="B39" s="392" t="s">
        <v>11</v>
      </c>
      <c r="C39" s="392" t="s">
        <v>44</v>
      </c>
      <c r="D39" s="392" t="s">
        <v>76</v>
      </c>
      <c r="E39" s="393" t="s">
        <v>53</v>
      </c>
      <c r="F39" s="392"/>
      <c r="G39" s="393" t="s">
        <v>132</v>
      </c>
      <c r="H39" s="394" t="s">
        <v>54</v>
      </c>
      <c r="I39" s="395"/>
      <c r="J39" s="393"/>
      <c r="K39" s="396"/>
      <c r="L39" s="397" t="s">
        <v>78</v>
      </c>
      <c r="M39" s="392" t="s">
        <v>77</v>
      </c>
      <c r="N39" s="392"/>
      <c r="O39" s="392" t="s">
        <v>77</v>
      </c>
      <c r="P39" s="398" t="s">
        <v>77</v>
      </c>
      <c r="Q39" s="397"/>
      <c r="R39" s="392"/>
      <c r="S39" s="392"/>
      <c r="T39" s="392"/>
      <c r="U39" s="399" t="s">
        <v>80</v>
      </c>
      <c r="V39" s="391"/>
      <c r="W39" s="393"/>
      <c r="X39" s="393"/>
      <c r="Y39" s="393"/>
      <c r="Z39" s="396"/>
      <c r="AA39" s="400"/>
      <c r="AB39" s="393"/>
      <c r="AC39" s="393"/>
      <c r="AD39" s="393"/>
      <c r="AE39" s="394"/>
      <c r="AF39" s="395"/>
      <c r="AG39" s="393"/>
      <c r="AH39" s="393"/>
      <c r="AI39" s="393"/>
      <c r="AJ39" s="396"/>
      <c r="AK39" s="400"/>
      <c r="AL39" s="393"/>
      <c r="AM39" s="393"/>
      <c r="AN39" s="393"/>
      <c r="AO39" s="394"/>
      <c r="AP39" s="395"/>
      <c r="AQ39" s="393"/>
      <c r="AR39" s="393"/>
      <c r="AS39" s="393"/>
      <c r="AT39" s="396"/>
      <c r="AU39" s="400"/>
      <c r="AV39" s="393"/>
      <c r="AW39" s="393"/>
      <c r="AX39" s="393"/>
      <c r="AY39" s="394"/>
      <c r="AZ39" s="395"/>
      <c r="BA39" s="393"/>
      <c r="BB39" s="393"/>
      <c r="BC39" s="393"/>
      <c r="BD39" s="396"/>
      <c r="BE39" s="400"/>
      <c r="BF39" s="393"/>
      <c r="BG39" s="393"/>
      <c r="BH39" s="393"/>
      <c r="BI39" s="394"/>
      <c r="BJ39" s="395"/>
      <c r="BK39" s="393"/>
      <c r="BL39" s="393"/>
      <c r="BM39" s="393"/>
      <c r="BN39" s="396"/>
      <c r="BO39" s="400"/>
      <c r="BP39" s="393"/>
      <c r="BQ39" s="393"/>
      <c r="BR39" s="393"/>
      <c r="BS39" s="394"/>
      <c r="BT39" s="395"/>
      <c r="BU39" s="393"/>
      <c r="BV39" s="393"/>
      <c r="BW39" s="393"/>
      <c r="BX39" s="396"/>
      <c r="BY39" s="400"/>
      <c r="BZ39" s="393"/>
      <c r="CA39" s="393"/>
      <c r="CB39" s="393"/>
      <c r="CC39" s="394"/>
      <c r="CD39" s="395"/>
      <c r="CE39" s="393"/>
      <c r="CF39" s="393"/>
      <c r="CG39" s="393"/>
      <c r="CH39" s="394"/>
      <c r="CI39" s="395"/>
      <c r="CJ39" s="393"/>
      <c r="CK39" s="393"/>
      <c r="CL39" s="393"/>
      <c r="CM39" s="396"/>
    </row>
    <row r="40" spans="1:91" ht="25.5" customHeight="1">
      <c r="A40" s="401">
        <v>3783</v>
      </c>
      <c r="B40" s="402" t="s">
        <v>11</v>
      </c>
      <c r="C40" s="402" t="s">
        <v>44</v>
      </c>
      <c r="D40" s="402" t="s">
        <v>76</v>
      </c>
      <c r="E40" s="403" t="s">
        <v>53</v>
      </c>
      <c r="F40" s="402"/>
      <c r="G40" s="403" t="s">
        <v>134</v>
      </c>
      <c r="H40" s="404" t="s">
        <v>54</v>
      </c>
      <c r="I40" s="405"/>
      <c r="J40" s="403"/>
      <c r="K40" s="406"/>
      <c r="L40" s="407" t="s">
        <v>78</v>
      </c>
      <c r="M40" s="402" t="s">
        <v>77</v>
      </c>
      <c r="N40" s="402"/>
      <c r="O40" s="402" t="s">
        <v>77</v>
      </c>
      <c r="P40" s="408" t="s">
        <v>77</v>
      </c>
      <c r="Q40" s="407"/>
      <c r="R40" s="402"/>
      <c r="S40" s="402"/>
      <c r="T40" s="402"/>
      <c r="U40" s="409" t="s">
        <v>80</v>
      </c>
      <c r="V40" s="401"/>
      <c r="W40" s="403"/>
      <c r="X40" s="403"/>
      <c r="Y40" s="403"/>
      <c r="Z40" s="406"/>
      <c r="AA40" s="410"/>
      <c r="AB40" s="403"/>
      <c r="AC40" s="403"/>
      <c r="AD40" s="403"/>
      <c r="AE40" s="404"/>
      <c r="AF40" s="405"/>
      <c r="AG40" s="403"/>
      <c r="AH40" s="403"/>
      <c r="AI40" s="403"/>
      <c r="AJ40" s="406"/>
      <c r="AK40" s="410"/>
      <c r="AL40" s="403"/>
      <c r="AM40" s="403"/>
      <c r="AN40" s="403"/>
      <c r="AO40" s="404"/>
      <c r="AP40" s="405"/>
      <c r="AQ40" s="403"/>
      <c r="AR40" s="403"/>
      <c r="AS40" s="403"/>
      <c r="AT40" s="406"/>
      <c r="AU40" s="410"/>
      <c r="AV40" s="403"/>
      <c r="AW40" s="403"/>
      <c r="AX40" s="403"/>
      <c r="AY40" s="404"/>
      <c r="AZ40" s="405"/>
      <c r="BA40" s="403"/>
      <c r="BB40" s="403"/>
      <c r="BC40" s="403"/>
      <c r="BD40" s="406"/>
      <c r="BE40" s="410"/>
      <c r="BF40" s="403"/>
      <c r="BG40" s="403"/>
      <c r="BH40" s="403"/>
      <c r="BI40" s="404"/>
      <c r="BJ40" s="405"/>
      <c r="BK40" s="403"/>
      <c r="BL40" s="403"/>
      <c r="BM40" s="403"/>
      <c r="BN40" s="406"/>
      <c r="BO40" s="410"/>
      <c r="BP40" s="403"/>
      <c r="BQ40" s="403"/>
      <c r="BR40" s="403"/>
      <c r="BS40" s="404"/>
      <c r="BT40" s="405"/>
      <c r="BU40" s="403"/>
      <c r="BV40" s="403"/>
      <c r="BW40" s="403"/>
      <c r="BX40" s="406"/>
      <c r="BY40" s="410"/>
      <c r="BZ40" s="403"/>
      <c r="CA40" s="403"/>
      <c r="CB40" s="403"/>
      <c r="CC40" s="404"/>
      <c r="CD40" s="405"/>
      <c r="CE40" s="403"/>
      <c r="CF40" s="403"/>
      <c r="CG40" s="403"/>
      <c r="CH40" s="404"/>
      <c r="CI40" s="405"/>
      <c r="CJ40" s="403"/>
      <c r="CK40" s="403"/>
      <c r="CL40" s="403"/>
      <c r="CM40" s="406"/>
    </row>
    <row r="41" spans="1:91" ht="25.5" customHeight="1">
      <c r="A41" s="386">
        <v>3784</v>
      </c>
      <c r="B41" s="387" t="s">
        <v>11</v>
      </c>
      <c r="C41" s="387" t="s">
        <v>44</v>
      </c>
      <c r="D41" s="387" t="s">
        <v>76</v>
      </c>
      <c r="E41" s="372" t="s">
        <v>53</v>
      </c>
      <c r="F41" s="387"/>
      <c r="G41" s="372" t="s">
        <v>136</v>
      </c>
      <c r="H41" s="371" t="s">
        <v>54</v>
      </c>
      <c r="I41" s="375"/>
      <c r="J41" s="372"/>
      <c r="K41" s="373"/>
      <c r="L41" s="388" t="s">
        <v>78</v>
      </c>
      <c r="M41" s="387" t="s">
        <v>77</v>
      </c>
      <c r="N41" s="387"/>
      <c r="O41" s="387" t="s">
        <v>77</v>
      </c>
      <c r="P41" s="389" t="s">
        <v>77</v>
      </c>
      <c r="Q41" s="388"/>
      <c r="R41" s="387"/>
      <c r="S41" s="387"/>
      <c r="T41" s="387"/>
      <c r="U41" s="390" t="s">
        <v>80</v>
      </c>
      <c r="V41" s="386"/>
      <c r="W41" s="372"/>
      <c r="X41" s="372"/>
      <c r="Y41" s="372"/>
      <c r="Z41" s="373"/>
      <c r="AA41" s="374"/>
      <c r="AB41" s="372"/>
      <c r="AC41" s="372"/>
      <c r="AD41" s="372"/>
      <c r="AE41" s="371"/>
      <c r="AF41" s="375"/>
      <c r="AG41" s="372"/>
      <c r="AH41" s="372"/>
      <c r="AI41" s="372"/>
      <c r="AJ41" s="373"/>
      <c r="AK41" s="374"/>
      <c r="AL41" s="372"/>
      <c r="AM41" s="372"/>
      <c r="AN41" s="372"/>
      <c r="AO41" s="371"/>
      <c r="AP41" s="375"/>
      <c r="AQ41" s="372"/>
      <c r="AR41" s="372"/>
      <c r="AS41" s="372"/>
      <c r="AT41" s="373"/>
      <c r="AU41" s="374"/>
      <c r="AV41" s="372"/>
      <c r="AW41" s="372"/>
      <c r="AX41" s="372"/>
      <c r="AY41" s="371"/>
      <c r="AZ41" s="375"/>
      <c r="BA41" s="372"/>
      <c r="BB41" s="372"/>
      <c r="BC41" s="372"/>
      <c r="BD41" s="373"/>
      <c r="BE41" s="374"/>
      <c r="BF41" s="372"/>
      <c r="BG41" s="372"/>
      <c r="BH41" s="372"/>
      <c r="BI41" s="371"/>
      <c r="BJ41" s="375"/>
      <c r="BK41" s="372"/>
      <c r="BL41" s="372"/>
      <c r="BM41" s="372"/>
      <c r="BN41" s="373"/>
      <c r="BO41" s="374"/>
      <c r="BP41" s="372"/>
      <c r="BQ41" s="372"/>
      <c r="BR41" s="372"/>
      <c r="BS41" s="371"/>
      <c r="BT41" s="375"/>
      <c r="BU41" s="372"/>
      <c r="BV41" s="372"/>
      <c r="BW41" s="372"/>
      <c r="BX41" s="373"/>
      <c r="BY41" s="374"/>
      <c r="BZ41" s="372"/>
      <c r="CA41" s="372"/>
      <c r="CB41" s="372"/>
      <c r="CC41" s="371"/>
      <c r="CD41" s="375"/>
      <c r="CE41" s="372"/>
      <c r="CF41" s="372"/>
      <c r="CG41" s="372"/>
      <c r="CH41" s="371"/>
      <c r="CI41" s="375"/>
      <c r="CJ41" s="372"/>
      <c r="CK41" s="372"/>
      <c r="CL41" s="372"/>
      <c r="CM41" s="373"/>
    </row>
    <row r="42" spans="1:91" ht="25.5" customHeight="1">
      <c r="A42" s="386">
        <v>3785</v>
      </c>
      <c r="B42" s="387" t="s">
        <v>11</v>
      </c>
      <c r="C42" s="387" t="s">
        <v>44</v>
      </c>
      <c r="D42" s="387" t="s">
        <v>76</v>
      </c>
      <c r="E42" s="372" t="s">
        <v>53</v>
      </c>
      <c r="F42" s="387"/>
      <c r="G42" s="372" t="s">
        <v>138</v>
      </c>
      <c r="H42" s="371" t="s">
        <v>54</v>
      </c>
      <c r="I42" s="375"/>
      <c r="J42" s="372"/>
      <c r="K42" s="373"/>
      <c r="L42" s="388" t="s">
        <v>78</v>
      </c>
      <c r="M42" s="387" t="s">
        <v>77</v>
      </c>
      <c r="N42" s="387"/>
      <c r="O42" s="387" t="s">
        <v>77</v>
      </c>
      <c r="P42" s="389" t="s">
        <v>77</v>
      </c>
      <c r="Q42" s="388"/>
      <c r="R42" s="387"/>
      <c r="S42" s="387"/>
      <c r="T42" s="387"/>
      <c r="U42" s="390" t="s">
        <v>80</v>
      </c>
      <c r="V42" s="386"/>
      <c r="W42" s="372"/>
      <c r="X42" s="372"/>
      <c r="Y42" s="372"/>
      <c r="Z42" s="373"/>
      <c r="AA42" s="374"/>
      <c r="AB42" s="372"/>
      <c r="AC42" s="372"/>
      <c r="AD42" s="372"/>
      <c r="AE42" s="371"/>
      <c r="AF42" s="375"/>
      <c r="AG42" s="372"/>
      <c r="AH42" s="372"/>
      <c r="AI42" s="372"/>
      <c r="AJ42" s="373"/>
      <c r="AK42" s="374"/>
      <c r="AL42" s="372"/>
      <c r="AM42" s="372"/>
      <c r="AN42" s="372"/>
      <c r="AO42" s="371"/>
      <c r="AP42" s="375"/>
      <c r="AQ42" s="372"/>
      <c r="AR42" s="372"/>
      <c r="AS42" s="372"/>
      <c r="AT42" s="373"/>
      <c r="AU42" s="374"/>
      <c r="AV42" s="372"/>
      <c r="AW42" s="372"/>
      <c r="AX42" s="372"/>
      <c r="AY42" s="371"/>
      <c r="AZ42" s="375"/>
      <c r="BA42" s="372"/>
      <c r="BB42" s="372"/>
      <c r="BC42" s="372"/>
      <c r="BD42" s="373"/>
      <c r="BE42" s="374"/>
      <c r="BF42" s="372"/>
      <c r="BG42" s="372"/>
      <c r="BH42" s="372"/>
      <c r="BI42" s="371"/>
      <c r="BJ42" s="375"/>
      <c r="BK42" s="372"/>
      <c r="BL42" s="372"/>
      <c r="BM42" s="372"/>
      <c r="BN42" s="373"/>
      <c r="BO42" s="374"/>
      <c r="BP42" s="372"/>
      <c r="BQ42" s="372"/>
      <c r="BR42" s="372"/>
      <c r="BS42" s="371"/>
      <c r="BT42" s="375"/>
      <c r="BU42" s="372"/>
      <c r="BV42" s="372"/>
      <c r="BW42" s="372"/>
      <c r="BX42" s="373"/>
      <c r="BY42" s="374"/>
      <c r="BZ42" s="372"/>
      <c r="CA42" s="372"/>
      <c r="CB42" s="372"/>
      <c r="CC42" s="371"/>
      <c r="CD42" s="375"/>
      <c r="CE42" s="372"/>
      <c r="CF42" s="372"/>
      <c r="CG42" s="372"/>
      <c r="CH42" s="371"/>
      <c r="CI42" s="375"/>
      <c r="CJ42" s="372"/>
      <c r="CK42" s="372"/>
      <c r="CL42" s="372"/>
      <c r="CM42" s="373"/>
    </row>
    <row r="43" spans="1:91" ht="25.5" customHeight="1">
      <c r="A43" s="386">
        <v>3786</v>
      </c>
      <c r="B43" s="387" t="s">
        <v>11</v>
      </c>
      <c r="C43" s="387" t="s">
        <v>44</v>
      </c>
      <c r="D43" s="387" t="s">
        <v>76</v>
      </c>
      <c r="E43" s="372" t="s">
        <v>53</v>
      </c>
      <c r="F43" s="387"/>
      <c r="G43" s="372" t="s">
        <v>140</v>
      </c>
      <c r="H43" s="371" t="s">
        <v>54</v>
      </c>
      <c r="I43" s="375"/>
      <c r="J43" s="372"/>
      <c r="K43" s="373"/>
      <c r="L43" s="388" t="s">
        <v>78</v>
      </c>
      <c r="M43" s="387" t="s">
        <v>77</v>
      </c>
      <c r="N43" s="387"/>
      <c r="O43" s="387" t="s">
        <v>77</v>
      </c>
      <c r="P43" s="389" t="s">
        <v>77</v>
      </c>
      <c r="Q43" s="388"/>
      <c r="R43" s="387"/>
      <c r="S43" s="387"/>
      <c r="T43" s="387"/>
      <c r="U43" s="390" t="s">
        <v>80</v>
      </c>
      <c r="V43" s="386"/>
      <c r="W43" s="372"/>
      <c r="X43" s="372"/>
      <c r="Y43" s="372"/>
      <c r="Z43" s="373"/>
      <c r="AA43" s="374"/>
      <c r="AB43" s="372"/>
      <c r="AC43" s="372"/>
      <c r="AD43" s="372"/>
      <c r="AE43" s="371"/>
      <c r="AF43" s="375"/>
      <c r="AG43" s="372"/>
      <c r="AH43" s="372"/>
      <c r="AI43" s="372"/>
      <c r="AJ43" s="373"/>
      <c r="AK43" s="374"/>
      <c r="AL43" s="372"/>
      <c r="AM43" s="372"/>
      <c r="AN43" s="372"/>
      <c r="AO43" s="371"/>
      <c r="AP43" s="375"/>
      <c r="AQ43" s="372"/>
      <c r="AR43" s="372"/>
      <c r="AS43" s="372"/>
      <c r="AT43" s="373"/>
      <c r="AU43" s="374"/>
      <c r="AV43" s="372"/>
      <c r="AW43" s="372"/>
      <c r="AX43" s="372"/>
      <c r="AY43" s="371"/>
      <c r="AZ43" s="375"/>
      <c r="BA43" s="372"/>
      <c r="BB43" s="372"/>
      <c r="BC43" s="372"/>
      <c r="BD43" s="373"/>
      <c r="BE43" s="374"/>
      <c r="BF43" s="372"/>
      <c r="BG43" s="372"/>
      <c r="BH43" s="372"/>
      <c r="BI43" s="371"/>
      <c r="BJ43" s="375"/>
      <c r="BK43" s="372"/>
      <c r="BL43" s="372"/>
      <c r="BM43" s="372"/>
      <c r="BN43" s="373"/>
      <c r="BO43" s="374"/>
      <c r="BP43" s="372"/>
      <c r="BQ43" s="372"/>
      <c r="BR43" s="372"/>
      <c r="BS43" s="371"/>
      <c r="BT43" s="375"/>
      <c r="BU43" s="372"/>
      <c r="BV43" s="372"/>
      <c r="BW43" s="372"/>
      <c r="BX43" s="373"/>
      <c r="BY43" s="374"/>
      <c r="BZ43" s="372"/>
      <c r="CA43" s="372"/>
      <c r="CB43" s="372"/>
      <c r="CC43" s="371"/>
      <c r="CD43" s="375"/>
      <c r="CE43" s="372"/>
      <c r="CF43" s="372"/>
      <c r="CG43" s="372"/>
      <c r="CH43" s="371"/>
      <c r="CI43" s="375"/>
      <c r="CJ43" s="372"/>
      <c r="CK43" s="372"/>
      <c r="CL43" s="372"/>
      <c r="CM43" s="373"/>
    </row>
    <row r="44" spans="1:91" ht="25.5" customHeight="1" thickBot="1">
      <c r="A44" s="411">
        <v>3787</v>
      </c>
      <c r="B44" s="412" t="s">
        <v>11</v>
      </c>
      <c r="C44" s="412" t="s">
        <v>44</v>
      </c>
      <c r="D44" s="412" t="s">
        <v>76</v>
      </c>
      <c r="E44" s="377" t="s">
        <v>53</v>
      </c>
      <c r="F44" s="412"/>
      <c r="G44" s="377" t="s">
        <v>142</v>
      </c>
      <c r="H44" s="376" t="s">
        <v>54</v>
      </c>
      <c r="I44" s="380"/>
      <c r="J44" s="377"/>
      <c r="K44" s="378"/>
      <c r="L44" s="413" t="s">
        <v>78</v>
      </c>
      <c r="M44" s="412" t="s">
        <v>77</v>
      </c>
      <c r="N44" s="412"/>
      <c r="O44" s="412" t="s">
        <v>77</v>
      </c>
      <c r="P44" s="414" t="s">
        <v>77</v>
      </c>
      <c r="Q44" s="413"/>
      <c r="R44" s="412"/>
      <c r="S44" s="412"/>
      <c r="T44" s="412"/>
      <c r="U44" s="415" t="s">
        <v>80</v>
      </c>
      <c r="V44" s="411"/>
      <c r="W44" s="377"/>
      <c r="X44" s="377"/>
      <c r="Y44" s="377"/>
      <c r="Z44" s="378"/>
      <c r="AA44" s="379"/>
      <c r="AB44" s="377"/>
      <c r="AC44" s="377"/>
      <c r="AD44" s="377"/>
      <c r="AE44" s="376"/>
      <c r="AF44" s="380"/>
      <c r="AG44" s="377"/>
      <c r="AH44" s="377"/>
      <c r="AI44" s="377"/>
      <c r="AJ44" s="378"/>
      <c r="AK44" s="379"/>
      <c r="AL44" s="377"/>
      <c r="AM44" s="377"/>
      <c r="AN44" s="377"/>
      <c r="AO44" s="376"/>
      <c r="AP44" s="380"/>
      <c r="AQ44" s="377"/>
      <c r="AR44" s="377"/>
      <c r="AS44" s="377"/>
      <c r="AT44" s="378"/>
      <c r="AU44" s="379"/>
      <c r="AV44" s="377"/>
      <c r="AW44" s="377"/>
      <c r="AX44" s="377"/>
      <c r="AY44" s="376"/>
      <c r="AZ44" s="380"/>
      <c r="BA44" s="377"/>
      <c r="BB44" s="377"/>
      <c r="BC44" s="377"/>
      <c r="BD44" s="378"/>
      <c r="BE44" s="379"/>
      <c r="BF44" s="377"/>
      <c r="BG44" s="377"/>
      <c r="BH44" s="377"/>
      <c r="BI44" s="376"/>
      <c r="BJ44" s="380"/>
      <c r="BK44" s="377"/>
      <c r="BL44" s="377"/>
      <c r="BM44" s="377"/>
      <c r="BN44" s="378"/>
      <c r="BO44" s="379"/>
      <c r="BP44" s="377"/>
      <c r="BQ44" s="377"/>
      <c r="BR44" s="377"/>
      <c r="BS44" s="376"/>
      <c r="BT44" s="380"/>
      <c r="BU44" s="377"/>
      <c r="BV44" s="377"/>
      <c r="BW44" s="377"/>
      <c r="BX44" s="378"/>
      <c r="BY44" s="379"/>
      <c r="BZ44" s="377"/>
      <c r="CA44" s="377"/>
      <c r="CB44" s="377"/>
      <c r="CC44" s="376"/>
      <c r="CD44" s="380"/>
      <c r="CE44" s="377"/>
      <c r="CF44" s="377"/>
      <c r="CG44" s="377"/>
      <c r="CH44" s="376"/>
      <c r="CI44" s="380"/>
      <c r="CJ44" s="377"/>
      <c r="CK44" s="377"/>
      <c r="CL44" s="377"/>
      <c r="CM44" s="378"/>
    </row>
    <row r="45" spans="1:91" ht="25.5" customHeight="1">
      <c r="A45" s="416">
        <v>3788</v>
      </c>
      <c r="B45" s="417" t="s">
        <v>11</v>
      </c>
      <c r="C45" s="417" t="s">
        <v>44</v>
      </c>
      <c r="D45" s="417" t="s">
        <v>76</v>
      </c>
      <c r="E45" s="381" t="s">
        <v>53</v>
      </c>
      <c r="F45" s="417"/>
      <c r="G45" s="381" t="s">
        <v>144</v>
      </c>
      <c r="H45" s="384" t="s">
        <v>54</v>
      </c>
      <c r="I45" s="385"/>
      <c r="J45" s="381"/>
      <c r="K45" s="382"/>
      <c r="L45" s="418" t="s">
        <v>78</v>
      </c>
      <c r="M45" s="417" t="s">
        <v>77</v>
      </c>
      <c r="N45" s="417"/>
      <c r="O45" s="417" t="s">
        <v>77</v>
      </c>
      <c r="P45" s="419" t="s">
        <v>77</v>
      </c>
      <c r="Q45" s="418"/>
      <c r="R45" s="417"/>
      <c r="S45" s="417"/>
      <c r="T45" s="417"/>
      <c r="U45" s="420" t="s">
        <v>80</v>
      </c>
      <c r="V45" s="416"/>
      <c r="W45" s="381"/>
      <c r="X45" s="381"/>
      <c r="Y45" s="381"/>
      <c r="Z45" s="382"/>
      <c r="AA45" s="383"/>
      <c r="AB45" s="381"/>
      <c r="AC45" s="381"/>
      <c r="AD45" s="381"/>
      <c r="AE45" s="384"/>
      <c r="AF45" s="385"/>
      <c r="AG45" s="381"/>
      <c r="AH45" s="381"/>
      <c r="AI45" s="381"/>
      <c r="AJ45" s="382"/>
      <c r="AK45" s="383"/>
      <c r="AL45" s="381"/>
      <c r="AM45" s="381"/>
      <c r="AN45" s="381"/>
      <c r="AO45" s="384"/>
      <c r="AP45" s="385"/>
      <c r="AQ45" s="381"/>
      <c r="AR45" s="381"/>
      <c r="AS45" s="381"/>
      <c r="AT45" s="382"/>
      <c r="AU45" s="383"/>
      <c r="AV45" s="381"/>
      <c r="AW45" s="381"/>
      <c r="AX45" s="381"/>
      <c r="AY45" s="384"/>
      <c r="AZ45" s="385"/>
      <c r="BA45" s="381"/>
      <c r="BB45" s="381"/>
      <c r="BC45" s="381"/>
      <c r="BD45" s="382"/>
      <c r="BE45" s="383"/>
      <c r="BF45" s="381"/>
      <c r="BG45" s="381"/>
      <c r="BH45" s="381"/>
      <c r="BI45" s="384"/>
      <c r="BJ45" s="385"/>
      <c r="BK45" s="381"/>
      <c r="BL45" s="381"/>
      <c r="BM45" s="381"/>
      <c r="BN45" s="382"/>
      <c r="BO45" s="383"/>
      <c r="BP45" s="381"/>
      <c r="BQ45" s="381"/>
      <c r="BR45" s="381"/>
      <c r="BS45" s="384"/>
      <c r="BT45" s="385"/>
      <c r="BU45" s="381"/>
      <c r="BV45" s="381"/>
      <c r="BW45" s="381"/>
      <c r="BX45" s="382"/>
      <c r="BY45" s="383"/>
      <c r="BZ45" s="381"/>
      <c r="CA45" s="381"/>
      <c r="CB45" s="381"/>
      <c r="CC45" s="384"/>
      <c r="CD45" s="385"/>
      <c r="CE45" s="381"/>
      <c r="CF45" s="381"/>
      <c r="CG45" s="381"/>
      <c r="CH45" s="384"/>
      <c r="CI45" s="385"/>
      <c r="CJ45" s="381"/>
      <c r="CK45" s="381"/>
      <c r="CL45" s="381"/>
      <c r="CM45" s="382"/>
    </row>
    <row r="46" spans="1:91" ht="25.5" customHeight="1">
      <c r="A46" s="386">
        <v>3789</v>
      </c>
      <c r="B46" s="387" t="s">
        <v>11</v>
      </c>
      <c r="C46" s="387" t="s">
        <v>44</v>
      </c>
      <c r="D46" s="387" t="s">
        <v>76</v>
      </c>
      <c r="E46" s="372" t="s">
        <v>53</v>
      </c>
      <c r="F46" s="387"/>
      <c r="G46" s="372" t="s">
        <v>146</v>
      </c>
      <c r="H46" s="371" t="s">
        <v>54</v>
      </c>
      <c r="I46" s="375"/>
      <c r="J46" s="372"/>
      <c r="K46" s="373"/>
      <c r="L46" s="388" t="s">
        <v>78</v>
      </c>
      <c r="M46" s="387" t="s">
        <v>77</v>
      </c>
      <c r="N46" s="387"/>
      <c r="O46" s="387" t="s">
        <v>77</v>
      </c>
      <c r="P46" s="389" t="s">
        <v>77</v>
      </c>
      <c r="Q46" s="388"/>
      <c r="R46" s="387"/>
      <c r="S46" s="387"/>
      <c r="T46" s="387"/>
      <c r="U46" s="390" t="s">
        <v>80</v>
      </c>
      <c r="V46" s="386"/>
      <c r="W46" s="372"/>
      <c r="X46" s="372"/>
      <c r="Y46" s="372"/>
      <c r="Z46" s="373"/>
      <c r="AA46" s="374"/>
      <c r="AB46" s="372"/>
      <c r="AC46" s="372"/>
      <c r="AD46" s="372"/>
      <c r="AE46" s="371"/>
      <c r="AF46" s="375"/>
      <c r="AG46" s="372"/>
      <c r="AH46" s="372"/>
      <c r="AI46" s="372"/>
      <c r="AJ46" s="373"/>
      <c r="AK46" s="374"/>
      <c r="AL46" s="372"/>
      <c r="AM46" s="372"/>
      <c r="AN46" s="372"/>
      <c r="AO46" s="371"/>
      <c r="AP46" s="375"/>
      <c r="AQ46" s="372"/>
      <c r="AR46" s="372"/>
      <c r="AS46" s="372"/>
      <c r="AT46" s="373"/>
      <c r="AU46" s="374"/>
      <c r="AV46" s="372"/>
      <c r="AW46" s="372"/>
      <c r="AX46" s="372"/>
      <c r="AY46" s="371"/>
      <c r="AZ46" s="375"/>
      <c r="BA46" s="372"/>
      <c r="BB46" s="372"/>
      <c r="BC46" s="372"/>
      <c r="BD46" s="373"/>
      <c r="BE46" s="374"/>
      <c r="BF46" s="372"/>
      <c r="BG46" s="372"/>
      <c r="BH46" s="372"/>
      <c r="BI46" s="371"/>
      <c r="BJ46" s="375"/>
      <c r="BK46" s="372"/>
      <c r="BL46" s="372"/>
      <c r="BM46" s="372"/>
      <c r="BN46" s="373"/>
      <c r="BO46" s="374"/>
      <c r="BP46" s="372"/>
      <c r="BQ46" s="372"/>
      <c r="BR46" s="372"/>
      <c r="BS46" s="371"/>
      <c r="BT46" s="375"/>
      <c r="BU46" s="372"/>
      <c r="BV46" s="372"/>
      <c r="BW46" s="372"/>
      <c r="BX46" s="373"/>
      <c r="BY46" s="374"/>
      <c r="BZ46" s="372"/>
      <c r="CA46" s="372"/>
      <c r="CB46" s="372"/>
      <c r="CC46" s="371"/>
      <c r="CD46" s="375"/>
      <c r="CE46" s="372"/>
      <c r="CF46" s="372"/>
      <c r="CG46" s="372"/>
      <c r="CH46" s="371"/>
      <c r="CI46" s="375"/>
      <c r="CJ46" s="372"/>
      <c r="CK46" s="372"/>
      <c r="CL46" s="372"/>
      <c r="CM46" s="373"/>
    </row>
    <row r="47" spans="1:91" ht="25.5" customHeight="1">
      <c r="A47" s="386">
        <v>3790</v>
      </c>
      <c r="B47" s="387" t="s">
        <v>11</v>
      </c>
      <c r="C47" s="387" t="s">
        <v>44</v>
      </c>
      <c r="D47" s="387" t="s">
        <v>76</v>
      </c>
      <c r="E47" s="372" t="s">
        <v>53</v>
      </c>
      <c r="F47" s="387"/>
      <c r="G47" s="372" t="s">
        <v>148</v>
      </c>
      <c r="H47" s="371" t="s">
        <v>54</v>
      </c>
      <c r="I47" s="375"/>
      <c r="J47" s="372"/>
      <c r="K47" s="373"/>
      <c r="L47" s="388" t="s">
        <v>78</v>
      </c>
      <c r="M47" s="387" t="s">
        <v>77</v>
      </c>
      <c r="N47" s="387"/>
      <c r="O47" s="387" t="s">
        <v>77</v>
      </c>
      <c r="P47" s="389" t="s">
        <v>77</v>
      </c>
      <c r="Q47" s="388"/>
      <c r="R47" s="387"/>
      <c r="S47" s="387"/>
      <c r="T47" s="387"/>
      <c r="U47" s="390" t="s">
        <v>80</v>
      </c>
      <c r="V47" s="386"/>
      <c r="W47" s="372"/>
      <c r="X47" s="372"/>
      <c r="Y47" s="372"/>
      <c r="Z47" s="373"/>
      <c r="AA47" s="374"/>
      <c r="AB47" s="372"/>
      <c r="AC47" s="372"/>
      <c r="AD47" s="372"/>
      <c r="AE47" s="371"/>
      <c r="AF47" s="375"/>
      <c r="AG47" s="372"/>
      <c r="AH47" s="372"/>
      <c r="AI47" s="372"/>
      <c r="AJ47" s="373"/>
      <c r="AK47" s="374"/>
      <c r="AL47" s="372"/>
      <c r="AM47" s="372"/>
      <c r="AN47" s="372"/>
      <c r="AO47" s="371"/>
      <c r="AP47" s="375"/>
      <c r="AQ47" s="372"/>
      <c r="AR47" s="372"/>
      <c r="AS47" s="372"/>
      <c r="AT47" s="373"/>
      <c r="AU47" s="374"/>
      <c r="AV47" s="372"/>
      <c r="AW47" s="372"/>
      <c r="AX47" s="372"/>
      <c r="AY47" s="371"/>
      <c r="AZ47" s="375"/>
      <c r="BA47" s="372"/>
      <c r="BB47" s="372"/>
      <c r="BC47" s="372"/>
      <c r="BD47" s="373"/>
      <c r="BE47" s="374"/>
      <c r="BF47" s="372"/>
      <c r="BG47" s="372"/>
      <c r="BH47" s="372"/>
      <c r="BI47" s="371"/>
      <c r="BJ47" s="375"/>
      <c r="BK47" s="372"/>
      <c r="BL47" s="372"/>
      <c r="BM47" s="372"/>
      <c r="BN47" s="373"/>
      <c r="BO47" s="374"/>
      <c r="BP47" s="372"/>
      <c r="BQ47" s="372"/>
      <c r="BR47" s="372"/>
      <c r="BS47" s="371"/>
      <c r="BT47" s="375"/>
      <c r="BU47" s="372"/>
      <c r="BV47" s="372"/>
      <c r="BW47" s="372"/>
      <c r="BX47" s="373"/>
      <c r="BY47" s="374"/>
      <c r="BZ47" s="372"/>
      <c r="CA47" s="372"/>
      <c r="CB47" s="372"/>
      <c r="CC47" s="371"/>
      <c r="CD47" s="375"/>
      <c r="CE47" s="372"/>
      <c r="CF47" s="372"/>
      <c r="CG47" s="372"/>
      <c r="CH47" s="371"/>
      <c r="CI47" s="375"/>
      <c r="CJ47" s="372"/>
      <c r="CK47" s="372"/>
      <c r="CL47" s="372"/>
      <c r="CM47" s="373"/>
    </row>
    <row r="48" spans="1:91" ht="25.5" customHeight="1">
      <c r="A48" s="386">
        <v>3791</v>
      </c>
      <c r="B48" s="387" t="s">
        <v>11</v>
      </c>
      <c r="C48" s="387" t="s">
        <v>44</v>
      </c>
      <c r="D48" s="387" t="s">
        <v>76</v>
      </c>
      <c r="E48" s="372" t="s">
        <v>53</v>
      </c>
      <c r="F48" s="387"/>
      <c r="G48" s="372" t="s">
        <v>150</v>
      </c>
      <c r="H48" s="371" t="s">
        <v>54</v>
      </c>
      <c r="I48" s="375"/>
      <c r="J48" s="372"/>
      <c r="K48" s="373"/>
      <c r="L48" s="388" t="s">
        <v>78</v>
      </c>
      <c r="M48" s="387" t="s">
        <v>77</v>
      </c>
      <c r="N48" s="387"/>
      <c r="O48" s="387" t="s">
        <v>77</v>
      </c>
      <c r="P48" s="389" t="s">
        <v>77</v>
      </c>
      <c r="Q48" s="388"/>
      <c r="R48" s="387"/>
      <c r="S48" s="387"/>
      <c r="T48" s="387"/>
      <c r="U48" s="390" t="s">
        <v>80</v>
      </c>
      <c r="V48" s="386"/>
      <c r="W48" s="372"/>
      <c r="X48" s="372"/>
      <c r="Y48" s="372"/>
      <c r="Z48" s="373"/>
      <c r="AA48" s="374"/>
      <c r="AB48" s="372"/>
      <c r="AC48" s="372"/>
      <c r="AD48" s="372"/>
      <c r="AE48" s="371"/>
      <c r="AF48" s="375"/>
      <c r="AG48" s="372"/>
      <c r="AH48" s="372"/>
      <c r="AI48" s="372"/>
      <c r="AJ48" s="373"/>
      <c r="AK48" s="374"/>
      <c r="AL48" s="372"/>
      <c r="AM48" s="372"/>
      <c r="AN48" s="372"/>
      <c r="AO48" s="371"/>
      <c r="AP48" s="375"/>
      <c r="AQ48" s="372"/>
      <c r="AR48" s="372"/>
      <c r="AS48" s="372"/>
      <c r="AT48" s="373"/>
      <c r="AU48" s="374"/>
      <c r="AV48" s="372"/>
      <c r="AW48" s="372"/>
      <c r="AX48" s="372"/>
      <c r="AY48" s="371"/>
      <c r="AZ48" s="375"/>
      <c r="BA48" s="372"/>
      <c r="BB48" s="372"/>
      <c r="BC48" s="372"/>
      <c r="BD48" s="373"/>
      <c r="BE48" s="374"/>
      <c r="BF48" s="372"/>
      <c r="BG48" s="372"/>
      <c r="BH48" s="372"/>
      <c r="BI48" s="371"/>
      <c r="BJ48" s="375"/>
      <c r="BK48" s="372"/>
      <c r="BL48" s="372"/>
      <c r="BM48" s="372"/>
      <c r="BN48" s="373"/>
      <c r="BO48" s="374"/>
      <c r="BP48" s="372"/>
      <c r="BQ48" s="372"/>
      <c r="BR48" s="372"/>
      <c r="BS48" s="371"/>
      <c r="BT48" s="375"/>
      <c r="BU48" s="372"/>
      <c r="BV48" s="372"/>
      <c r="BW48" s="372"/>
      <c r="BX48" s="373"/>
      <c r="BY48" s="374"/>
      <c r="BZ48" s="372"/>
      <c r="CA48" s="372"/>
      <c r="CB48" s="372"/>
      <c r="CC48" s="371"/>
      <c r="CD48" s="375"/>
      <c r="CE48" s="372"/>
      <c r="CF48" s="372"/>
      <c r="CG48" s="372"/>
      <c r="CH48" s="371"/>
      <c r="CI48" s="375"/>
      <c r="CJ48" s="372"/>
      <c r="CK48" s="372"/>
      <c r="CL48" s="372"/>
      <c r="CM48" s="373"/>
    </row>
    <row r="49" spans="1:91" ht="25.5" customHeight="1" thickBot="1">
      <c r="A49" s="391">
        <v>3792</v>
      </c>
      <c r="B49" s="392" t="s">
        <v>11</v>
      </c>
      <c r="C49" s="392" t="s">
        <v>44</v>
      </c>
      <c r="D49" s="392" t="s">
        <v>76</v>
      </c>
      <c r="E49" s="393" t="s">
        <v>53</v>
      </c>
      <c r="F49" s="392"/>
      <c r="G49" s="393" t="s">
        <v>152</v>
      </c>
      <c r="H49" s="394" t="s">
        <v>54</v>
      </c>
      <c r="I49" s="395"/>
      <c r="J49" s="393"/>
      <c r="K49" s="396"/>
      <c r="L49" s="397" t="s">
        <v>78</v>
      </c>
      <c r="M49" s="392" t="s">
        <v>77</v>
      </c>
      <c r="N49" s="392"/>
      <c r="O49" s="392" t="s">
        <v>77</v>
      </c>
      <c r="P49" s="398" t="s">
        <v>77</v>
      </c>
      <c r="Q49" s="397"/>
      <c r="R49" s="392"/>
      <c r="S49" s="392"/>
      <c r="T49" s="392"/>
      <c r="U49" s="399" t="s">
        <v>80</v>
      </c>
      <c r="V49" s="391"/>
      <c r="W49" s="393"/>
      <c r="X49" s="393"/>
      <c r="Y49" s="393"/>
      <c r="Z49" s="396"/>
      <c r="AA49" s="400"/>
      <c r="AB49" s="393"/>
      <c r="AC49" s="393"/>
      <c r="AD49" s="393"/>
      <c r="AE49" s="394"/>
      <c r="AF49" s="395"/>
      <c r="AG49" s="393"/>
      <c r="AH49" s="393"/>
      <c r="AI49" s="393"/>
      <c r="AJ49" s="396"/>
      <c r="AK49" s="400"/>
      <c r="AL49" s="393"/>
      <c r="AM49" s="393"/>
      <c r="AN49" s="393"/>
      <c r="AO49" s="394"/>
      <c r="AP49" s="395"/>
      <c r="AQ49" s="393"/>
      <c r="AR49" s="393"/>
      <c r="AS49" s="393"/>
      <c r="AT49" s="396"/>
      <c r="AU49" s="400"/>
      <c r="AV49" s="393"/>
      <c r="AW49" s="393"/>
      <c r="AX49" s="393"/>
      <c r="AY49" s="394"/>
      <c r="AZ49" s="395"/>
      <c r="BA49" s="393"/>
      <c r="BB49" s="393"/>
      <c r="BC49" s="393"/>
      <c r="BD49" s="396"/>
      <c r="BE49" s="400"/>
      <c r="BF49" s="393"/>
      <c r="BG49" s="393"/>
      <c r="BH49" s="393"/>
      <c r="BI49" s="394"/>
      <c r="BJ49" s="395"/>
      <c r="BK49" s="393"/>
      <c r="BL49" s="393"/>
      <c r="BM49" s="393"/>
      <c r="BN49" s="396"/>
      <c r="BO49" s="400"/>
      <c r="BP49" s="393"/>
      <c r="BQ49" s="393"/>
      <c r="BR49" s="393"/>
      <c r="BS49" s="394"/>
      <c r="BT49" s="395"/>
      <c r="BU49" s="393"/>
      <c r="BV49" s="393"/>
      <c r="BW49" s="393"/>
      <c r="BX49" s="396"/>
      <c r="BY49" s="400"/>
      <c r="BZ49" s="393"/>
      <c r="CA49" s="393"/>
      <c r="CB49" s="393"/>
      <c r="CC49" s="394"/>
      <c r="CD49" s="395"/>
      <c r="CE49" s="393"/>
      <c r="CF49" s="393"/>
      <c r="CG49" s="393"/>
      <c r="CH49" s="394"/>
      <c r="CI49" s="395"/>
      <c r="CJ49" s="393"/>
      <c r="CK49" s="393"/>
      <c r="CL49" s="393"/>
      <c r="CM49" s="396"/>
    </row>
    <row r="50" spans="1:91" ht="25.5" customHeight="1">
      <c r="A50" s="401">
        <v>3793</v>
      </c>
      <c r="B50" s="402" t="s">
        <v>11</v>
      </c>
      <c r="C50" s="402" t="s">
        <v>44</v>
      </c>
      <c r="D50" s="402" t="s">
        <v>76</v>
      </c>
      <c r="E50" s="403" t="s">
        <v>53</v>
      </c>
      <c r="F50" s="402"/>
      <c r="G50" s="403" t="s">
        <v>154</v>
      </c>
      <c r="H50" s="404" t="s">
        <v>54</v>
      </c>
      <c r="I50" s="405"/>
      <c r="J50" s="403"/>
      <c r="K50" s="406"/>
      <c r="L50" s="407" t="s">
        <v>78</v>
      </c>
      <c r="M50" s="402" t="s">
        <v>77</v>
      </c>
      <c r="N50" s="402"/>
      <c r="O50" s="402" t="s">
        <v>77</v>
      </c>
      <c r="P50" s="408" t="s">
        <v>77</v>
      </c>
      <c r="Q50" s="407"/>
      <c r="R50" s="402"/>
      <c r="S50" s="402"/>
      <c r="T50" s="402"/>
      <c r="U50" s="409" t="s">
        <v>80</v>
      </c>
      <c r="V50" s="401"/>
      <c r="W50" s="403"/>
      <c r="X50" s="403"/>
      <c r="Y50" s="403"/>
      <c r="Z50" s="406"/>
      <c r="AA50" s="410"/>
      <c r="AB50" s="403"/>
      <c r="AC50" s="403"/>
      <c r="AD50" s="403"/>
      <c r="AE50" s="404"/>
      <c r="AF50" s="405"/>
      <c r="AG50" s="403"/>
      <c r="AH50" s="403"/>
      <c r="AI50" s="403"/>
      <c r="AJ50" s="406"/>
      <c r="AK50" s="410"/>
      <c r="AL50" s="403"/>
      <c r="AM50" s="403"/>
      <c r="AN50" s="403"/>
      <c r="AO50" s="404"/>
      <c r="AP50" s="405"/>
      <c r="AQ50" s="403"/>
      <c r="AR50" s="403"/>
      <c r="AS50" s="403"/>
      <c r="AT50" s="406"/>
      <c r="AU50" s="410"/>
      <c r="AV50" s="403"/>
      <c r="AW50" s="403"/>
      <c r="AX50" s="403"/>
      <c r="AY50" s="404"/>
      <c r="AZ50" s="405"/>
      <c r="BA50" s="403"/>
      <c r="BB50" s="403"/>
      <c r="BC50" s="403"/>
      <c r="BD50" s="406"/>
      <c r="BE50" s="410"/>
      <c r="BF50" s="403"/>
      <c r="BG50" s="403"/>
      <c r="BH50" s="403"/>
      <c r="BI50" s="404"/>
      <c r="BJ50" s="405"/>
      <c r="BK50" s="403"/>
      <c r="BL50" s="403"/>
      <c r="BM50" s="403"/>
      <c r="BN50" s="406"/>
      <c r="BO50" s="410"/>
      <c r="BP50" s="403"/>
      <c r="BQ50" s="403"/>
      <c r="BR50" s="403"/>
      <c r="BS50" s="404"/>
      <c r="BT50" s="405"/>
      <c r="BU50" s="403"/>
      <c r="BV50" s="403"/>
      <c r="BW50" s="403"/>
      <c r="BX50" s="406"/>
      <c r="BY50" s="410"/>
      <c r="BZ50" s="403"/>
      <c r="CA50" s="403"/>
      <c r="CB50" s="403"/>
      <c r="CC50" s="404"/>
      <c r="CD50" s="405"/>
      <c r="CE50" s="403"/>
      <c r="CF50" s="403"/>
      <c r="CG50" s="403"/>
      <c r="CH50" s="404"/>
      <c r="CI50" s="405"/>
      <c r="CJ50" s="403"/>
      <c r="CK50" s="403"/>
      <c r="CL50" s="403"/>
      <c r="CM50" s="406"/>
    </row>
    <row r="51" spans="1:91" ht="25.5" customHeight="1">
      <c r="A51" s="386">
        <v>3794</v>
      </c>
      <c r="B51" s="387" t="s">
        <v>11</v>
      </c>
      <c r="C51" s="387" t="s">
        <v>44</v>
      </c>
      <c r="D51" s="387" t="s">
        <v>76</v>
      </c>
      <c r="E51" s="372" t="s">
        <v>53</v>
      </c>
      <c r="F51" s="387"/>
      <c r="G51" s="372" t="s">
        <v>156</v>
      </c>
      <c r="H51" s="371" t="s">
        <v>54</v>
      </c>
      <c r="I51" s="375"/>
      <c r="J51" s="372"/>
      <c r="K51" s="373"/>
      <c r="L51" s="388" t="s">
        <v>78</v>
      </c>
      <c r="M51" s="387" t="s">
        <v>77</v>
      </c>
      <c r="N51" s="387"/>
      <c r="O51" s="387" t="s">
        <v>77</v>
      </c>
      <c r="P51" s="389" t="s">
        <v>77</v>
      </c>
      <c r="Q51" s="388"/>
      <c r="R51" s="387"/>
      <c r="S51" s="387"/>
      <c r="T51" s="387"/>
      <c r="U51" s="390" t="s">
        <v>80</v>
      </c>
      <c r="V51" s="386"/>
      <c r="W51" s="372"/>
      <c r="X51" s="372"/>
      <c r="Y51" s="372"/>
      <c r="Z51" s="373"/>
      <c r="AA51" s="374"/>
      <c r="AB51" s="372"/>
      <c r="AC51" s="372"/>
      <c r="AD51" s="372"/>
      <c r="AE51" s="371"/>
      <c r="AF51" s="375"/>
      <c r="AG51" s="372"/>
      <c r="AH51" s="372"/>
      <c r="AI51" s="372"/>
      <c r="AJ51" s="373"/>
      <c r="AK51" s="374"/>
      <c r="AL51" s="372"/>
      <c r="AM51" s="372"/>
      <c r="AN51" s="372"/>
      <c r="AO51" s="371"/>
      <c r="AP51" s="375"/>
      <c r="AQ51" s="372"/>
      <c r="AR51" s="372"/>
      <c r="AS51" s="372"/>
      <c r="AT51" s="373"/>
      <c r="AU51" s="374"/>
      <c r="AV51" s="372"/>
      <c r="AW51" s="372"/>
      <c r="AX51" s="372"/>
      <c r="AY51" s="371"/>
      <c r="AZ51" s="375"/>
      <c r="BA51" s="372"/>
      <c r="BB51" s="372"/>
      <c r="BC51" s="372"/>
      <c r="BD51" s="373"/>
      <c r="BE51" s="374"/>
      <c r="BF51" s="372"/>
      <c r="BG51" s="372"/>
      <c r="BH51" s="372"/>
      <c r="BI51" s="371"/>
      <c r="BJ51" s="375"/>
      <c r="BK51" s="372"/>
      <c r="BL51" s="372"/>
      <c r="BM51" s="372"/>
      <c r="BN51" s="373"/>
      <c r="BO51" s="374"/>
      <c r="BP51" s="372"/>
      <c r="BQ51" s="372"/>
      <c r="BR51" s="372"/>
      <c r="BS51" s="371"/>
      <c r="BT51" s="375"/>
      <c r="BU51" s="372"/>
      <c r="BV51" s="372"/>
      <c r="BW51" s="372"/>
      <c r="BX51" s="373"/>
      <c r="BY51" s="374"/>
      <c r="BZ51" s="372"/>
      <c r="CA51" s="372"/>
      <c r="CB51" s="372"/>
      <c r="CC51" s="371"/>
      <c r="CD51" s="375"/>
      <c r="CE51" s="372"/>
      <c r="CF51" s="372"/>
      <c r="CG51" s="372"/>
      <c r="CH51" s="371"/>
      <c r="CI51" s="375"/>
      <c r="CJ51" s="372"/>
      <c r="CK51" s="372"/>
      <c r="CL51" s="372"/>
      <c r="CM51" s="373"/>
    </row>
    <row r="52" spans="1:91" ht="25.5" customHeight="1">
      <c r="A52" s="386">
        <v>3795</v>
      </c>
      <c r="B52" s="387" t="s">
        <v>11</v>
      </c>
      <c r="C52" s="387" t="s">
        <v>44</v>
      </c>
      <c r="D52" s="387" t="s">
        <v>76</v>
      </c>
      <c r="E52" s="372" t="s">
        <v>53</v>
      </c>
      <c r="F52" s="387"/>
      <c r="G52" s="372" t="s">
        <v>158</v>
      </c>
      <c r="H52" s="371" t="s">
        <v>54</v>
      </c>
      <c r="I52" s="375"/>
      <c r="J52" s="372"/>
      <c r="K52" s="373"/>
      <c r="L52" s="388" t="s">
        <v>78</v>
      </c>
      <c r="M52" s="387" t="s">
        <v>77</v>
      </c>
      <c r="N52" s="387"/>
      <c r="O52" s="387" t="s">
        <v>77</v>
      </c>
      <c r="P52" s="389" t="s">
        <v>77</v>
      </c>
      <c r="Q52" s="388"/>
      <c r="R52" s="387"/>
      <c r="S52" s="387"/>
      <c r="T52" s="387"/>
      <c r="U52" s="390" t="s">
        <v>80</v>
      </c>
      <c r="V52" s="386"/>
      <c r="W52" s="372"/>
      <c r="X52" s="372"/>
      <c r="Y52" s="372"/>
      <c r="Z52" s="373"/>
      <c r="AA52" s="374"/>
      <c r="AB52" s="372"/>
      <c r="AC52" s="372"/>
      <c r="AD52" s="372"/>
      <c r="AE52" s="371"/>
      <c r="AF52" s="375"/>
      <c r="AG52" s="372"/>
      <c r="AH52" s="372"/>
      <c r="AI52" s="372"/>
      <c r="AJ52" s="373"/>
      <c r="AK52" s="374"/>
      <c r="AL52" s="372"/>
      <c r="AM52" s="372"/>
      <c r="AN52" s="372"/>
      <c r="AO52" s="371"/>
      <c r="AP52" s="375"/>
      <c r="AQ52" s="372"/>
      <c r="AR52" s="372"/>
      <c r="AS52" s="372"/>
      <c r="AT52" s="373"/>
      <c r="AU52" s="374"/>
      <c r="AV52" s="372"/>
      <c r="AW52" s="372"/>
      <c r="AX52" s="372"/>
      <c r="AY52" s="371"/>
      <c r="AZ52" s="375"/>
      <c r="BA52" s="372"/>
      <c r="BB52" s="372"/>
      <c r="BC52" s="372"/>
      <c r="BD52" s="373"/>
      <c r="BE52" s="374"/>
      <c r="BF52" s="372"/>
      <c r="BG52" s="372"/>
      <c r="BH52" s="372"/>
      <c r="BI52" s="371"/>
      <c r="BJ52" s="375"/>
      <c r="BK52" s="372"/>
      <c r="BL52" s="372"/>
      <c r="BM52" s="372"/>
      <c r="BN52" s="373"/>
      <c r="BO52" s="374"/>
      <c r="BP52" s="372"/>
      <c r="BQ52" s="372"/>
      <c r="BR52" s="372"/>
      <c r="BS52" s="371"/>
      <c r="BT52" s="375"/>
      <c r="BU52" s="372"/>
      <c r="BV52" s="372"/>
      <c r="BW52" s="372"/>
      <c r="BX52" s="373"/>
      <c r="BY52" s="374"/>
      <c r="BZ52" s="372"/>
      <c r="CA52" s="372"/>
      <c r="CB52" s="372"/>
      <c r="CC52" s="371"/>
      <c r="CD52" s="375"/>
      <c r="CE52" s="372"/>
      <c r="CF52" s="372"/>
      <c r="CG52" s="372"/>
      <c r="CH52" s="371"/>
      <c r="CI52" s="375"/>
      <c r="CJ52" s="372"/>
      <c r="CK52" s="372"/>
      <c r="CL52" s="372"/>
      <c r="CM52" s="373"/>
    </row>
    <row r="53" spans="1:91" ht="25.5" customHeight="1">
      <c r="A53" s="386">
        <v>3796</v>
      </c>
      <c r="B53" s="387" t="s">
        <v>11</v>
      </c>
      <c r="C53" s="387" t="s">
        <v>44</v>
      </c>
      <c r="D53" s="387" t="s">
        <v>76</v>
      </c>
      <c r="E53" s="372" t="s">
        <v>53</v>
      </c>
      <c r="F53" s="387"/>
      <c r="G53" s="372" t="s">
        <v>160</v>
      </c>
      <c r="H53" s="371" t="s">
        <v>54</v>
      </c>
      <c r="I53" s="375"/>
      <c r="J53" s="372"/>
      <c r="K53" s="373"/>
      <c r="L53" s="388" t="s">
        <v>78</v>
      </c>
      <c r="M53" s="387" t="s">
        <v>77</v>
      </c>
      <c r="N53" s="387"/>
      <c r="O53" s="387" t="s">
        <v>77</v>
      </c>
      <c r="P53" s="389" t="s">
        <v>77</v>
      </c>
      <c r="Q53" s="388"/>
      <c r="R53" s="387"/>
      <c r="S53" s="387"/>
      <c r="T53" s="387"/>
      <c r="U53" s="390" t="s">
        <v>80</v>
      </c>
      <c r="V53" s="386"/>
      <c r="W53" s="372"/>
      <c r="X53" s="372"/>
      <c r="Y53" s="372"/>
      <c r="Z53" s="373"/>
      <c r="AA53" s="374"/>
      <c r="AB53" s="372"/>
      <c r="AC53" s="372"/>
      <c r="AD53" s="372"/>
      <c r="AE53" s="371"/>
      <c r="AF53" s="375"/>
      <c r="AG53" s="372"/>
      <c r="AH53" s="372"/>
      <c r="AI53" s="372"/>
      <c r="AJ53" s="373"/>
      <c r="AK53" s="374"/>
      <c r="AL53" s="372"/>
      <c r="AM53" s="372"/>
      <c r="AN53" s="372"/>
      <c r="AO53" s="371"/>
      <c r="AP53" s="375"/>
      <c r="AQ53" s="372"/>
      <c r="AR53" s="372"/>
      <c r="AS53" s="372"/>
      <c r="AT53" s="373"/>
      <c r="AU53" s="374"/>
      <c r="AV53" s="372"/>
      <c r="AW53" s="372"/>
      <c r="AX53" s="372"/>
      <c r="AY53" s="371"/>
      <c r="AZ53" s="375"/>
      <c r="BA53" s="372"/>
      <c r="BB53" s="372"/>
      <c r="BC53" s="372"/>
      <c r="BD53" s="373"/>
      <c r="BE53" s="374"/>
      <c r="BF53" s="372"/>
      <c r="BG53" s="372"/>
      <c r="BH53" s="372"/>
      <c r="BI53" s="371"/>
      <c r="BJ53" s="375"/>
      <c r="BK53" s="372"/>
      <c r="BL53" s="372"/>
      <c r="BM53" s="372"/>
      <c r="BN53" s="373"/>
      <c r="BO53" s="374"/>
      <c r="BP53" s="372"/>
      <c r="BQ53" s="372"/>
      <c r="BR53" s="372"/>
      <c r="BS53" s="371"/>
      <c r="BT53" s="375"/>
      <c r="BU53" s="372"/>
      <c r="BV53" s="372"/>
      <c r="BW53" s="372"/>
      <c r="BX53" s="373"/>
      <c r="BY53" s="374"/>
      <c r="BZ53" s="372"/>
      <c r="CA53" s="372"/>
      <c r="CB53" s="372"/>
      <c r="CC53" s="371"/>
      <c r="CD53" s="375"/>
      <c r="CE53" s="372"/>
      <c r="CF53" s="372"/>
      <c r="CG53" s="372"/>
      <c r="CH53" s="371"/>
      <c r="CI53" s="375"/>
      <c r="CJ53" s="372"/>
      <c r="CK53" s="372"/>
      <c r="CL53" s="372"/>
      <c r="CM53" s="373"/>
    </row>
    <row r="54" spans="1:91" ht="25.5" customHeight="1" thickBot="1">
      <c r="A54" s="411">
        <v>3797</v>
      </c>
      <c r="B54" s="412" t="s">
        <v>11</v>
      </c>
      <c r="C54" s="412" t="s">
        <v>44</v>
      </c>
      <c r="D54" s="412" t="s">
        <v>76</v>
      </c>
      <c r="E54" s="377" t="s">
        <v>53</v>
      </c>
      <c r="F54" s="412"/>
      <c r="G54" s="377" t="s">
        <v>162</v>
      </c>
      <c r="H54" s="376" t="s">
        <v>54</v>
      </c>
      <c r="I54" s="380"/>
      <c r="J54" s="377"/>
      <c r="K54" s="378"/>
      <c r="L54" s="413" t="s">
        <v>78</v>
      </c>
      <c r="M54" s="412" t="s">
        <v>77</v>
      </c>
      <c r="N54" s="412"/>
      <c r="O54" s="412" t="s">
        <v>77</v>
      </c>
      <c r="P54" s="414" t="s">
        <v>77</v>
      </c>
      <c r="Q54" s="413"/>
      <c r="R54" s="412"/>
      <c r="S54" s="412"/>
      <c r="T54" s="412"/>
      <c r="U54" s="415" t="s">
        <v>80</v>
      </c>
      <c r="V54" s="411"/>
      <c r="W54" s="377"/>
      <c r="X54" s="377"/>
      <c r="Y54" s="377"/>
      <c r="Z54" s="378"/>
      <c r="AA54" s="379"/>
      <c r="AB54" s="377"/>
      <c r="AC54" s="377"/>
      <c r="AD54" s="377"/>
      <c r="AE54" s="376"/>
      <c r="AF54" s="380"/>
      <c r="AG54" s="377"/>
      <c r="AH54" s="377"/>
      <c r="AI54" s="377"/>
      <c r="AJ54" s="378"/>
      <c r="AK54" s="379"/>
      <c r="AL54" s="377"/>
      <c r="AM54" s="377"/>
      <c r="AN54" s="377"/>
      <c r="AO54" s="376"/>
      <c r="AP54" s="380"/>
      <c r="AQ54" s="377"/>
      <c r="AR54" s="377"/>
      <c r="AS54" s="377"/>
      <c r="AT54" s="378"/>
      <c r="AU54" s="379"/>
      <c r="AV54" s="377"/>
      <c r="AW54" s="377"/>
      <c r="AX54" s="377"/>
      <c r="AY54" s="376"/>
      <c r="AZ54" s="380"/>
      <c r="BA54" s="377"/>
      <c r="BB54" s="377"/>
      <c r="BC54" s="377"/>
      <c r="BD54" s="378"/>
      <c r="BE54" s="379"/>
      <c r="BF54" s="377"/>
      <c r="BG54" s="377"/>
      <c r="BH54" s="377"/>
      <c r="BI54" s="376"/>
      <c r="BJ54" s="380"/>
      <c r="BK54" s="377"/>
      <c r="BL54" s="377"/>
      <c r="BM54" s="377"/>
      <c r="BN54" s="378"/>
      <c r="BO54" s="379"/>
      <c r="BP54" s="377"/>
      <c r="BQ54" s="377"/>
      <c r="BR54" s="377"/>
      <c r="BS54" s="376"/>
      <c r="BT54" s="380"/>
      <c r="BU54" s="377"/>
      <c r="BV54" s="377"/>
      <c r="BW54" s="377"/>
      <c r="BX54" s="378"/>
      <c r="BY54" s="379"/>
      <c r="BZ54" s="377"/>
      <c r="CA54" s="377"/>
      <c r="CB54" s="377"/>
      <c r="CC54" s="376"/>
      <c r="CD54" s="380"/>
      <c r="CE54" s="377"/>
      <c r="CF54" s="377"/>
      <c r="CG54" s="377"/>
      <c r="CH54" s="376"/>
      <c r="CI54" s="380"/>
      <c r="CJ54" s="377"/>
      <c r="CK54" s="377"/>
      <c r="CL54" s="377"/>
      <c r="CM54" s="378"/>
    </row>
    <row r="55" spans="1:91" ht="25.5" customHeight="1">
      <c r="A55" s="416">
        <v>3798</v>
      </c>
      <c r="B55" s="417" t="s">
        <v>11</v>
      </c>
      <c r="C55" s="417" t="s">
        <v>44</v>
      </c>
      <c r="D55" s="417" t="s">
        <v>76</v>
      </c>
      <c r="E55" s="381" t="s">
        <v>53</v>
      </c>
      <c r="F55" s="417"/>
      <c r="G55" s="381" t="s">
        <v>164</v>
      </c>
      <c r="H55" s="384" t="s">
        <v>54</v>
      </c>
      <c r="I55" s="385"/>
      <c r="J55" s="381"/>
      <c r="K55" s="382"/>
      <c r="L55" s="418" t="s">
        <v>78</v>
      </c>
      <c r="M55" s="417" t="s">
        <v>77</v>
      </c>
      <c r="N55" s="417"/>
      <c r="O55" s="417" t="s">
        <v>77</v>
      </c>
      <c r="P55" s="419" t="s">
        <v>77</v>
      </c>
      <c r="Q55" s="418"/>
      <c r="R55" s="417"/>
      <c r="S55" s="417"/>
      <c r="T55" s="417"/>
      <c r="U55" s="420" t="s">
        <v>80</v>
      </c>
      <c r="V55" s="416"/>
      <c r="W55" s="381"/>
      <c r="X55" s="381"/>
      <c r="Y55" s="381"/>
      <c r="Z55" s="382"/>
      <c r="AA55" s="383"/>
      <c r="AB55" s="381"/>
      <c r="AC55" s="381"/>
      <c r="AD55" s="381"/>
      <c r="AE55" s="384"/>
      <c r="AF55" s="385"/>
      <c r="AG55" s="381"/>
      <c r="AH55" s="381"/>
      <c r="AI55" s="381"/>
      <c r="AJ55" s="382"/>
      <c r="AK55" s="383"/>
      <c r="AL55" s="381"/>
      <c r="AM55" s="381"/>
      <c r="AN55" s="381"/>
      <c r="AO55" s="384"/>
      <c r="AP55" s="385"/>
      <c r="AQ55" s="381"/>
      <c r="AR55" s="381"/>
      <c r="AS55" s="381"/>
      <c r="AT55" s="382"/>
      <c r="AU55" s="383"/>
      <c r="AV55" s="381"/>
      <c r="AW55" s="381"/>
      <c r="AX55" s="381"/>
      <c r="AY55" s="384"/>
      <c r="AZ55" s="385"/>
      <c r="BA55" s="381"/>
      <c r="BB55" s="381"/>
      <c r="BC55" s="381"/>
      <c r="BD55" s="382"/>
      <c r="BE55" s="383"/>
      <c r="BF55" s="381"/>
      <c r="BG55" s="381"/>
      <c r="BH55" s="381"/>
      <c r="BI55" s="384"/>
      <c r="BJ55" s="385"/>
      <c r="BK55" s="381"/>
      <c r="BL55" s="381"/>
      <c r="BM55" s="381"/>
      <c r="BN55" s="382"/>
      <c r="BO55" s="383"/>
      <c r="BP55" s="381"/>
      <c r="BQ55" s="381"/>
      <c r="BR55" s="381"/>
      <c r="BS55" s="384"/>
      <c r="BT55" s="385"/>
      <c r="BU55" s="381"/>
      <c r="BV55" s="381"/>
      <c r="BW55" s="381"/>
      <c r="BX55" s="382"/>
      <c r="BY55" s="383"/>
      <c r="BZ55" s="381"/>
      <c r="CA55" s="381"/>
      <c r="CB55" s="381"/>
      <c r="CC55" s="384"/>
      <c r="CD55" s="385"/>
      <c r="CE55" s="381"/>
      <c r="CF55" s="381"/>
      <c r="CG55" s="381"/>
      <c r="CH55" s="384"/>
      <c r="CI55" s="385"/>
      <c r="CJ55" s="381"/>
      <c r="CK55" s="381"/>
      <c r="CL55" s="381"/>
      <c r="CM55" s="382"/>
    </row>
    <row r="56" spans="1:91" ht="25.5" customHeight="1">
      <c r="A56" s="386">
        <v>3799</v>
      </c>
      <c r="B56" s="387" t="s">
        <v>11</v>
      </c>
      <c r="C56" s="387" t="s">
        <v>44</v>
      </c>
      <c r="D56" s="387" t="s">
        <v>76</v>
      </c>
      <c r="E56" s="372" t="s">
        <v>53</v>
      </c>
      <c r="F56" s="387"/>
      <c r="G56" s="372" t="s">
        <v>166</v>
      </c>
      <c r="H56" s="371" t="s">
        <v>54</v>
      </c>
      <c r="I56" s="375"/>
      <c r="J56" s="372"/>
      <c r="K56" s="373"/>
      <c r="L56" s="388" t="s">
        <v>78</v>
      </c>
      <c r="M56" s="387" t="s">
        <v>77</v>
      </c>
      <c r="N56" s="387"/>
      <c r="O56" s="387" t="s">
        <v>77</v>
      </c>
      <c r="P56" s="389" t="s">
        <v>77</v>
      </c>
      <c r="Q56" s="388"/>
      <c r="R56" s="387"/>
      <c r="S56" s="387"/>
      <c r="T56" s="387"/>
      <c r="U56" s="390" t="s">
        <v>80</v>
      </c>
      <c r="V56" s="386"/>
      <c r="W56" s="372"/>
      <c r="X56" s="372"/>
      <c r="Y56" s="372"/>
      <c r="Z56" s="373"/>
      <c r="AA56" s="374"/>
      <c r="AB56" s="372"/>
      <c r="AC56" s="372"/>
      <c r="AD56" s="372"/>
      <c r="AE56" s="371"/>
      <c r="AF56" s="375"/>
      <c r="AG56" s="372"/>
      <c r="AH56" s="372"/>
      <c r="AI56" s="372"/>
      <c r="AJ56" s="373"/>
      <c r="AK56" s="374"/>
      <c r="AL56" s="372"/>
      <c r="AM56" s="372"/>
      <c r="AN56" s="372"/>
      <c r="AO56" s="371"/>
      <c r="AP56" s="375"/>
      <c r="AQ56" s="372"/>
      <c r="AR56" s="372"/>
      <c r="AS56" s="372"/>
      <c r="AT56" s="373"/>
      <c r="AU56" s="374"/>
      <c r="AV56" s="372"/>
      <c r="AW56" s="372"/>
      <c r="AX56" s="372"/>
      <c r="AY56" s="371"/>
      <c r="AZ56" s="375"/>
      <c r="BA56" s="372"/>
      <c r="BB56" s="372"/>
      <c r="BC56" s="372"/>
      <c r="BD56" s="373"/>
      <c r="BE56" s="374"/>
      <c r="BF56" s="372"/>
      <c r="BG56" s="372"/>
      <c r="BH56" s="372"/>
      <c r="BI56" s="371"/>
      <c r="BJ56" s="375"/>
      <c r="BK56" s="372"/>
      <c r="BL56" s="372"/>
      <c r="BM56" s="372"/>
      <c r="BN56" s="373"/>
      <c r="BO56" s="374"/>
      <c r="BP56" s="372"/>
      <c r="BQ56" s="372"/>
      <c r="BR56" s="372"/>
      <c r="BS56" s="371"/>
      <c r="BT56" s="375"/>
      <c r="BU56" s="372"/>
      <c r="BV56" s="372"/>
      <c r="BW56" s="372"/>
      <c r="BX56" s="373"/>
      <c r="BY56" s="374"/>
      <c r="BZ56" s="372"/>
      <c r="CA56" s="372"/>
      <c r="CB56" s="372"/>
      <c r="CC56" s="371"/>
      <c r="CD56" s="375"/>
      <c r="CE56" s="372"/>
      <c r="CF56" s="372"/>
      <c r="CG56" s="372"/>
      <c r="CH56" s="371"/>
      <c r="CI56" s="375"/>
      <c r="CJ56" s="372"/>
      <c r="CK56" s="372"/>
      <c r="CL56" s="372"/>
      <c r="CM56" s="373"/>
    </row>
    <row r="57" spans="1:91" ht="25.5" customHeight="1">
      <c r="A57" s="386">
        <v>3800</v>
      </c>
      <c r="B57" s="387" t="s">
        <v>11</v>
      </c>
      <c r="C57" s="387" t="s">
        <v>44</v>
      </c>
      <c r="D57" s="387" t="s">
        <v>76</v>
      </c>
      <c r="E57" s="372" t="s">
        <v>53</v>
      </c>
      <c r="F57" s="387"/>
      <c r="G57" s="372" t="s">
        <v>168</v>
      </c>
      <c r="H57" s="371" t="s">
        <v>54</v>
      </c>
      <c r="I57" s="375"/>
      <c r="J57" s="372"/>
      <c r="K57" s="373"/>
      <c r="L57" s="388" t="s">
        <v>78</v>
      </c>
      <c r="M57" s="387" t="s">
        <v>77</v>
      </c>
      <c r="N57" s="387"/>
      <c r="O57" s="387" t="s">
        <v>77</v>
      </c>
      <c r="P57" s="389" t="s">
        <v>77</v>
      </c>
      <c r="Q57" s="388"/>
      <c r="R57" s="387"/>
      <c r="S57" s="387"/>
      <c r="T57" s="387"/>
      <c r="U57" s="390" t="s">
        <v>80</v>
      </c>
      <c r="V57" s="386"/>
      <c r="W57" s="372"/>
      <c r="X57" s="372"/>
      <c r="Y57" s="372"/>
      <c r="Z57" s="373"/>
      <c r="AA57" s="374"/>
      <c r="AB57" s="372"/>
      <c r="AC57" s="372"/>
      <c r="AD57" s="372"/>
      <c r="AE57" s="371"/>
      <c r="AF57" s="375"/>
      <c r="AG57" s="372"/>
      <c r="AH57" s="372"/>
      <c r="AI57" s="372"/>
      <c r="AJ57" s="373"/>
      <c r="AK57" s="374"/>
      <c r="AL57" s="372"/>
      <c r="AM57" s="372"/>
      <c r="AN57" s="372"/>
      <c r="AO57" s="371"/>
      <c r="AP57" s="375"/>
      <c r="AQ57" s="372"/>
      <c r="AR57" s="372"/>
      <c r="AS57" s="372"/>
      <c r="AT57" s="373"/>
      <c r="AU57" s="374"/>
      <c r="AV57" s="372"/>
      <c r="AW57" s="372"/>
      <c r="AX57" s="372"/>
      <c r="AY57" s="371"/>
      <c r="AZ57" s="375"/>
      <c r="BA57" s="372"/>
      <c r="BB57" s="372"/>
      <c r="BC57" s="372"/>
      <c r="BD57" s="373"/>
      <c r="BE57" s="374"/>
      <c r="BF57" s="372"/>
      <c r="BG57" s="372"/>
      <c r="BH57" s="372"/>
      <c r="BI57" s="371"/>
      <c r="BJ57" s="375"/>
      <c r="BK57" s="372"/>
      <c r="BL57" s="372"/>
      <c r="BM57" s="372"/>
      <c r="BN57" s="373"/>
      <c r="BO57" s="374"/>
      <c r="BP57" s="372"/>
      <c r="BQ57" s="372"/>
      <c r="BR57" s="372"/>
      <c r="BS57" s="371"/>
      <c r="BT57" s="375"/>
      <c r="BU57" s="372"/>
      <c r="BV57" s="372"/>
      <c r="BW57" s="372"/>
      <c r="BX57" s="373"/>
      <c r="BY57" s="374"/>
      <c r="BZ57" s="372"/>
      <c r="CA57" s="372"/>
      <c r="CB57" s="372"/>
      <c r="CC57" s="371"/>
      <c r="CD57" s="375"/>
      <c r="CE57" s="372"/>
      <c r="CF57" s="372"/>
      <c r="CG57" s="372"/>
      <c r="CH57" s="371"/>
      <c r="CI57" s="375"/>
      <c r="CJ57" s="372"/>
      <c r="CK57" s="372"/>
      <c r="CL57" s="372"/>
      <c r="CM57" s="373"/>
    </row>
    <row r="58" spans="1:91" ht="25.5" customHeight="1">
      <c r="A58" s="386">
        <v>3801</v>
      </c>
      <c r="B58" s="387" t="s">
        <v>11</v>
      </c>
      <c r="C58" s="387" t="s">
        <v>44</v>
      </c>
      <c r="D58" s="387" t="s">
        <v>76</v>
      </c>
      <c r="E58" s="372" t="s">
        <v>53</v>
      </c>
      <c r="F58" s="387"/>
      <c r="G58" s="372" t="s">
        <v>170</v>
      </c>
      <c r="H58" s="371" t="s">
        <v>54</v>
      </c>
      <c r="I58" s="375"/>
      <c r="J58" s="372"/>
      <c r="K58" s="373"/>
      <c r="L58" s="388" t="s">
        <v>78</v>
      </c>
      <c r="M58" s="387" t="s">
        <v>77</v>
      </c>
      <c r="N58" s="387"/>
      <c r="O58" s="387" t="s">
        <v>77</v>
      </c>
      <c r="P58" s="389" t="s">
        <v>77</v>
      </c>
      <c r="Q58" s="388"/>
      <c r="R58" s="387"/>
      <c r="S58" s="387"/>
      <c r="T58" s="387"/>
      <c r="U58" s="390" t="s">
        <v>80</v>
      </c>
      <c r="V58" s="386"/>
      <c r="W58" s="372"/>
      <c r="X58" s="372"/>
      <c r="Y58" s="372"/>
      <c r="Z58" s="373"/>
      <c r="AA58" s="374"/>
      <c r="AB58" s="372"/>
      <c r="AC58" s="372"/>
      <c r="AD58" s="372"/>
      <c r="AE58" s="371"/>
      <c r="AF58" s="375"/>
      <c r="AG58" s="372"/>
      <c r="AH58" s="372"/>
      <c r="AI58" s="372"/>
      <c r="AJ58" s="373"/>
      <c r="AK58" s="374"/>
      <c r="AL58" s="372"/>
      <c r="AM58" s="372"/>
      <c r="AN58" s="372"/>
      <c r="AO58" s="371"/>
      <c r="AP58" s="375"/>
      <c r="AQ58" s="372"/>
      <c r="AR58" s="372"/>
      <c r="AS58" s="372"/>
      <c r="AT58" s="373"/>
      <c r="AU58" s="374"/>
      <c r="AV58" s="372"/>
      <c r="AW58" s="372"/>
      <c r="AX58" s="372"/>
      <c r="AY58" s="371"/>
      <c r="AZ58" s="375"/>
      <c r="BA58" s="372"/>
      <c r="BB58" s="372"/>
      <c r="BC58" s="372"/>
      <c r="BD58" s="373"/>
      <c r="BE58" s="374"/>
      <c r="BF58" s="372"/>
      <c r="BG58" s="372"/>
      <c r="BH58" s="372"/>
      <c r="BI58" s="371"/>
      <c r="BJ58" s="375"/>
      <c r="BK58" s="372"/>
      <c r="BL58" s="372"/>
      <c r="BM58" s="372"/>
      <c r="BN58" s="373"/>
      <c r="BO58" s="374"/>
      <c r="BP58" s="372"/>
      <c r="BQ58" s="372"/>
      <c r="BR58" s="372"/>
      <c r="BS58" s="371"/>
      <c r="BT58" s="375"/>
      <c r="BU58" s="372"/>
      <c r="BV58" s="372"/>
      <c r="BW58" s="372"/>
      <c r="BX58" s="373"/>
      <c r="BY58" s="374"/>
      <c r="BZ58" s="372"/>
      <c r="CA58" s="372"/>
      <c r="CB58" s="372"/>
      <c r="CC58" s="371"/>
      <c r="CD58" s="375"/>
      <c r="CE58" s="372"/>
      <c r="CF58" s="372"/>
      <c r="CG58" s="372"/>
      <c r="CH58" s="371"/>
      <c r="CI58" s="375"/>
      <c r="CJ58" s="372"/>
      <c r="CK58" s="372"/>
      <c r="CL58" s="372"/>
      <c r="CM58" s="373"/>
    </row>
    <row r="59" spans="1:91" ht="25.5" customHeight="1" thickBot="1">
      <c r="A59" s="411">
        <v>3802</v>
      </c>
      <c r="B59" s="412" t="s">
        <v>11</v>
      </c>
      <c r="C59" s="412" t="s">
        <v>44</v>
      </c>
      <c r="D59" s="412" t="s">
        <v>76</v>
      </c>
      <c r="E59" s="377" t="s">
        <v>53</v>
      </c>
      <c r="F59" s="412"/>
      <c r="G59" s="377" t="s">
        <v>172</v>
      </c>
      <c r="H59" s="376" t="s">
        <v>54</v>
      </c>
      <c r="I59" s="380"/>
      <c r="J59" s="377"/>
      <c r="K59" s="378"/>
      <c r="L59" s="413" t="s">
        <v>78</v>
      </c>
      <c r="M59" s="412" t="s">
        <v>77</v>
      </c>
      <c r="N59" s="412"/>
      <c r="O59" s="412" t="s">
        <v>77</v>
      </c>
      <c r="P59" s="414" t="s">
        <v>77</v>
      </c>
      <c r="Q59" s="413"/>
      <c r="R59" s="412"/>
      <c r="S59" s="412"/>
      <c r="T59" s="412"/>
      <c r="U59" s="415" t="s">
        <v>80</v>
      </c>
      <c r="V59" s="411"/>
      <c r="W59" s="377"/>
      <c r="X59" s="377"/>
      <c r="Y59" s="377"/>
      <c r="Z59" s="378"/>
      <c r="AA59" s="379"/>
      <c r="AB59" s="377"/>
      <c r="AC59" s="377"/>
      <c r="AD59" s="377"/>
      <c r="AE59" s="376"/>
      <c r="AF59" s="380"/>
      <c r="AG59" s="377"/>
      <c r="AH59" s="377"/>
      <c r="AI59" s="377"/>
      <c r="AJ59" s="378"/>
      <c r="AK59" s="379"/>
      <c r="AL59" s="377"/>
      <c r="AM59" s="377"/>
      <c r="AN59" s="377"/>
      <c r="AO59" s="376"/>
      <c r="AP59" s="380"/>
      <c r="AQ59" s="377"/>
      <c r="AR59" s="377"/>
      <c r="AS59" s="377"/>
      <c r="AT59" s="378"/>
      <c r="AU59" s="379"/>
      <c r="AV59" s="377"/>
      <c r="AW59" s="377"/>
      <c r="AX59" s="377"/>
      <c r="AY59" s="376"/>
      <c r="AZ59" s="380"/>
      <c r="BA59" s="377"/>
      <c r="BB59" s="377"/>
      <c r="BC59" s="377"/>
      <c r="BD59" s="378"/>
      <c r="BE59" s="379"/>
      <c r="BF59" s="377"/>
      <c r="BG59" s="377"/>
      <c r="BH59" s="377"/>
      <c r="BI59" s="376"/>
      <c r="BJ59" s="380"/>
      <c r="BK59" s="377"/>
      <c r="BL59" s="377"/>
      <c r="BM59" s="377"/>
      <c r="BN59" s="378"/>
      <c r="BO59" s="379"/>
      <c r="BP59" s="377"/>
      <c r="BQ59" s="377"/>
      <c r="BR59" s="377"/>
      <c r="BS59" s="376"/>
      <c r="BT59" s="380"/>
      <c r="BU59" s="377"/>
      <c r="BV59" s="377"/>
      <c r="BW59" s="377"/>
      <c r="BX59" s="378"/>
      <c r="BY59" s="379"/>
      <c r="BZ59" s="377"/>
      <c r="CA59" s="377"/>
      <c r="CB59" s="377"/>
      <c r="CC59" s="376"/>
      <c r="CD59" s="380"/>
      <c r="CE59" s="377"/>
      <c r="CF59" s="377"/>
      <c r="CG59" s="377"/>
      <c r="CH59" s="376"/>
      <c r="CI59" s="380"/>
      <c r="CJ59" s="377"/>
      <c r="CK59" s="377"/>
      <c r="CL59" s="377"/>
      <c r="CM59" s="378"/>
    </row>
    <row r="60" spans="1:91" ht="15" customHeight="1" thickBot="1">
      <c r="A60" s="48"/>
      <c r="B60" s="179"/>
      <c r="C60" s="180"/>
      <c r="D60" s="181"/>
      <c r="E60" s="17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50"/>
      <c r="CH60" s="50"/>
      <c r="CI60" s="50"/>
      <c r="CJ60" s="50"/>
      <c r="CK60" s="50"/>
      <c r="CL60" s="50"/>
      <c r="CM60" s="51"/>
    </row>
    <row r="61" spans="1:91" ht="25.5" customHeight="1" thickBot="1">
      <c r="A61" s="275" t="s">
        <v>31</v>
      </c>
      <c r="B61" s="276"/>
      <c r="C61" s="277"/>
      <c r="D61" s="111"/>
      <c r="E61" s="278" t="s">
        <v>32</v>
      </c>
      <c r="F61" s="276"/>
      <c r="G61" s="277"/>
      <c r="H61" s="112" t="s">
        <v>8</v>
      </c>
      <c r="I61" s="111" t="s">
        <v>9</v>
      </c>
      <c r="J61" s="111" t="s">
        <v>33</v>
      </c>
      <c r="K61" s="111" t="s">
        <v>10</v>
      </c>
      <c r="L61" s="291"/>
      <c r="M61" s="292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  <c r="AA61" s="292"/>
      <c r="AB61" s="292"/>
      <c r="AC61" s="292"/>
      <c r="AD61" s="292"/>
      <c r="AE61" s="292"/>
      <c r="AF61" s="292"/>
      <c r="AG61" s="292"/>
      <c r="AH61" s="292"/>
      <c r="AI61" s="292"/>
      <c r="AJ61" s="292"/>
      <c r="AK61" s="292"/>
      <c r="AL61" s="292"/>
      <c r="AM61" s="292"/>
      <c r="AN61" s="292"/>
      <c r="AO61" s="292"/>
      <c r="AP61" s="292"/>
      <c r="AQ61" s="292"/>
      <c r="AR61" s="292"/>
      <c r="AS61" s="292"/>
      <c r="AT61" s="292"/>
      <c r="AU61" s="292"/>
      <c r="AV61" s="292"/>
      <c r="AW61" s="292"/>
      <c r="AX61" s="292"/>
      <c r="AY61" s="292"/>
      <c r="AZ61" s="292"/>
      <c r="BA61" s="292"/>
      <c r="BB61" s="292"/>
      <c r="BC61" s="292"/>
      <c r="BD61" s="292"/>
      <c r="BE61" s="293"/>
      <c r="BF61" s="300"/>
      <c r="BG61" s="300"/>
      <c r="BH61" s="300"/>
      <c r="BI61" s="300"/>
      <c r="BJ61" s="300"/>
      <c r="BK61" s="300"/>
      <c r="BL61" s="300"/>
      <c r="BM61" s="300"/>
      <c r="BN61" s="300"/>
      <c r="BO61" s="300"/>
      <c r="BP61" s="300"/>
      <c r="BQ61" s="300"/>
      <c r="BR61" s="300"/>
      <c r="BS61" s="300"/>
      <c r="BT61" s="300"/>
      <c r="BU61" s="301"/>
      <c r="BV61" s="291"/>
      <c r="BW61" s="247"/>
      <c r="BX61" s="247"/>
      <c r="BY61" s="247"/>
      <c r="BZ61" s="247"/>
      <c r="CA61" s="247"/>
      <c r="CB61" s="247"/>
      <c r="CC61" s="247"/>
      <c r="CD61" s="247"/>
      <c r="CE61" s="247"/>
      <c r="CF61" s="247"/>
      <c r="CG61" s="247"/>
      <c r="CH61" s="247"/>
      <c r="CI61" s="247"/>
      <c r="CJ61" s="247"/>
      <c r="CK61" s="247"/>
      <c r="CL61" s="247"/>
      <c r="CM61" s="248"/>
    </row>
    <row r="62" spans="1:91" ht="25.5" customHeight="1">
      <c r="A62" s="288"/>
      <c r="B62" s="289"/>
      <c r="C62" s="289"/>
      <c r="D62" s="52"/>
      <c r="E62" s="290"/>
      <c r="F62" s="290"/>
      <c r="G62" s="290"/>
      <c r="H62" s="53"/>
      <c r="I62" s="53"/>
      <c r="J62" s="53"/>
      <c r="K62" s="54"/>
      <c r="L62" s="294"/>
      <c r="M62" s="295"/>
      <c r="N62" s="295"/>
      <c r="O62" s="295"/>
      <c r="P62" s="295"/>
      <c r="Q62" s="295"/>
      <c r="R62" s="295"/>
      <c r="S62" s="295"/>
      <c r="T62" s="295"/>
      <c r="U62" s="295"/>
      <c r="V62" s="295"/>
      <c r="W62" s="295"/>
      <c r="X62" s="295"/>
      <c r="Y62" s="295"/>
      <c r="Z62" s="295"/>
      <c r="AA62" s="295"/>
      <c r="AB62" s="295"/>
      <c r="AC62" s="295"/>
      <c r="AD62" s="295"/>
      <c r="AE62" s="295"/>
      <c r="AF62" s="295"/>
      <c r="AG62" s="295"/>
      <c r="AH62" s="295"/>
      <c r="AI62" s="295"/>
      <c r="AJ62" s="295"/>
      <c r="AK62" s="295"/>
      <c r="AL62" s="295"/>
      <c r="AM62" s="295"/>
      <c r="AN62" s="295"/>
      <c r="AO62" s="295"/>
      <c r="AP62" s="295"/>
      <c r="AQ62" s="295"/>
      <c r="AR62" s="295"/>
      <c r="AS62" s="295"/>
      <c r="AT62" s="295"/>
      <c r="AU62" s="295"/>
      <c r="AV62" s="295"/>
      <c r="AW62" s="295"/>
      <c r="AX62" s="295"/>
      <c r="AY62" s="295"/>
      <c r="AZ62" s="295"/>
      <c r="BA62" s="295"/>
      <c r="BB62" s="295"/>
      <c r="BC62" s="295"/>
      <c r="BD62" s="295"/>
      <c r="BE62" s="296"/>
      <c r="BF62" s="302"/>
      <c r="BG62" s="302"/>
      <c r="BH62" s="302"/>
      <c r="BI62" s="302"/>
      <c r="BJ62" s="302"/>
      <c r="BK62" s="302"/>
      <c r="BL62" s="302"/>
      <c r="BM62" s="302"/>
      <c r="BN62" s="302"/>
      <c r="BO62" s="302"/>
      <c r="BP62" s="302"/>
      <c r="BQ62" s="302"/>
      <c r="BR62" s="302"/>
      <c r="BS62" s="302"/>
      <c r="BT62" s="302"/>
      <c r="BU62" s="303"/>
      <c r="BV62" s="306"/>
      <c r="BW62" s="249"/>
      <c r="BX62" s="249"/>
      <c r="BY62" s="249"/>
      <c r="BZ62" s="249"/>
      <c r="CA62" s="249"/>
      <c r="CB62" s="249"/>
      <c r="CC62" s="249"/>
      <c r="CD62" s="249"/>
      <c r="CE62" s="249"/>
      <c r="CF62" s="249"/>
      <c r="CG62" s="249"/>
      <c r="CH62" s="249"/>
      <c r="CI62" s="249"/>
      <c r="CJ62" s="249"/>
      <c r="CK62" s="249"/>
      <c r="CL62" s="249"/>
      <c r="CM62" s="250"/>
    </row>
    <row r="63" spans="1:91" ht="25.5" customHeight="1" thickBot="1">
      <c r="A63" s="288"/>
      <c r="B63" s="289"/>
      <c r="C63" s="289"/>
      <c r="D63" s="52"/>
      <c r="E63" s="290"/>
      <c r="F63" s="290"/>
      <c r="G63" s="290"/>
      <c r="H63" s="53"/>
      <c r="I63" s="53"/>
      <c r="J63" s="53"/>
      <c r="K63" s="54"/>
      <c r="L63" s="294"/>
      <c r="M63" s="295"/>
      <c r="N63" s="295"/>
      <c r="O63" s="295"/>
      <c r="P63" s="295"/>
      <c r="Q63" s="295"/>
      <c r="R63" s="295"/>
      <c r="S63" s="295"/>
      <c r="T63" s="295"/>
      <c r="U63" s="295"/>
      <c r="V63" s="295"/>
      <c r="W63" s="295"/>
      <c r="X63" s="295"/>
      <c r="Y63" s="295"/>
      <c r="Z63" s="295"/>
      <c r="AA63" s="295"/>
      <c r="AB63" s="295"/>
      <c r="AC63" s="295"/>
      <c r="AD63" s="295"/>
      <c r="AE63" s="295"/>
      <c r="AF63" s="295"/>
      <c r="AG63" s="295"/>
      <c r="AH63" s="295"/>
      <c r="AI63" s="295"/>
      <c r="AJ63" s="295"/>
      <c r="AK63" s="295"/>
      <c r="AL63" s="295"/>
      <c r="AM63" s="295"/>
      <c r="AN63" s="295"/>
      <c r="AO63" s="295"/>
      <c r="AP63" s="295"/>
      <c r="AQ63" s="295"/>
      <c r="AR63" s="295"/>
      <c r="AS63" s="295"/>
      <c r="AT63" s="295"/>
      <c r="AU63" s="295"/>
      <c r="AV63" s="295"/>
      <c r="AW63" s="295"/>
      <c r="AX63" s="295"/>
      <c r="AY63" s="295"/>
      <c r="AZ63" s="295"/>
      <c r="BA63" s="295"/>
      <c r="BB63" s="295"/>
      <c r="BC63" s="295"/>
      <c r="BD63" s="295"/>
      <c r="BE63" s="296"/>
      <c r="BF63" s="304"/>
      <c r="BG63" s="304"/>
      <c r="BH63" s="304"/>
      <c r="BI63" s="304"/>
      <c r="BJ63" s="304"/>
      <c r="BK63" s="304"/>
      <c r="BL63" s="304"/>
      <c r="BM63" s="304"/>
      <c r="BN63" s="304"/>
      <c r="BO63" s="304"/>
      <c r="BP63" s="304"/>
      <c r="BQ63" s="304"/>
      <c r="BR63" s="304"/>
      <c r="BS63" s="304"/>
      <c r="BT63" s="304"/>
      <c r="BU63" s="305"/>
      <c r="BV63" s="263"/>
      <c r="BW63" s="251"/>
      <c r="BX63" s="251"/>
      <c r="BY63" s="251"/>
      <c r="BZ63" s="251"/>
      <c r="CA63" s="251"/>
      <c r="CB63" s="251"/>
      <c r="CC63" s="251"/>
      <c r="CD63" s="251"/>
      <c r="CE63" s="251"/>
      <c r="CF63" s="251"/>
      <c r="CG63" s="251"/>
      <c r="CH63" s="251"/>
      <c r="CI63" s="251"/>
      <c r="CJ63" s="251"/>
      <c r="CK63" s="251"/>
      <c r="CL63" s="251"/>
      <c r="CM63" s="252"/>
    </row>
    <row r="64" spans="1:91" ht="27" customHeight="1">
      <c r="A64" s="288"/>
      <c r="B64" s="289"/>
      <c r="C64" s="289"/>
      <c r="D64" s="52"/>
      <c r="E64" s="290"/>
      <c r="F64" s="290"/>
      <c r="G64" s="290"/>
      <c r="H64" s="53"/>
      <c r="I64" s="53"/>
      <c r="J64" s="53"/>
      <c r="K64" s="54"/>
      <c r="L64" s="294"/>
      <c r="M64" s="295"/>
      <c r="N64" s="295"/>
      <c r="O64" s="295"/>
      <c r="P64" s="295"/>
      <c r="Q64" s="295"/>
      <c r="R64" s="295"/>
      <c r="S64" s="295"/>
      <c r="T64" s="295"/>
      <c r="U64" s="295"/>
      <c r="V64" s="295"/>
      <c r="W64" s="295"/>
      <c r="X64" s="295"/>
      <c r="Y64" s="295"/>
      <c r="Z64" s="295"/>
      <c r="AA64" s="295"/>
      <c r="AB64" s="295"/>
      <c r="AC64" s="295"/>
      <c r="AD64" s="295"/>
      <c r="AE64" s="295"/>
      <c r="AF64" s="295"/>
      <c r="AG64" s="295"/>
      <c r="AH64" s="295"/>
      <c r="AI64" s="295"/>
      <c r="AJ64" s="295"/>
      <c r="AK64" s="295"/>
      <c r="AL64" s="295"/>
      <c r="AM64" s="295"/>
      <c r="AN64" s="295"/>
      <c r="AO64" s="295"/>
      <c r="AP64" s="295"/>
      <c r="AQ64" s="295"/>
      <c r="AR64" s="295"/>
      <c r="AS64" s="295"/>
      <c r="AT64" s="295"/>
      <c r="AU64" s="295"/>
      <c r="AV64" s="295"/>
      <c r="AW64" s="295"/>
      <c r="AX64" s="295"/>
      <c r="AY64" s="295"/>
      <c r="AZ64" s="295"/>
      <c r="BA64" s="295"/>
      <c r="BB64" s="295"/>
      <c r="BC64" s="295"/>
      <c r="BD64" s="295"/>
      <c r="BE64" s="296"/>
      <c r="BF64" s="247" t="s">
        <v>89</v>
      </c>
      <c r="BG64" s="247"/>
      <c r="BH64" s="247"/>
      <c r="BI64" s="247"/>
      <c r="BJ64" s="247"/>
      <c r="BK64" s="247"/>
      <c r="BL64" s="247"/>
      <c r="BM64" s="247"/>
      <c r="BN64" s="247"/>
      <c r="BO64" s="247"/>
      <c r="BP64" s="247"/>
      <c r="BQ64" s="247"/>
      <c r="BR64" s="247"/>
      <c r="BS64" s="247"/>
      <c r="BT64" s="247"/>
      <c r="BU64" s="248"/>
      <c r="BV64" s="279" t="s">
        <v>90</v>
      </c>
      <c r="BW64" s="280"/>
      <c r="BX64" s="280"/>
      <c r="BY64" s="280"/>
      <c r="BZ64" s="280"/>
      <c r="CA64" s="280"/>
      <c r="CB64" s="280"/>
      <c r="CC64" s="280"/>
      <c r="CD64" s="280"/>
      <c r="CE64" s="280"/>
      <c r="CF64" s="280"/>
      <c r="CG64" s="280"/>
      <c r="CH64" s="280"/>
      <c r="CI64" s="280"/>
      <c r="CJ64" s="280"/>
      <c r="CK64" s="280"/>
      <c r="CL64" s="280"/>
      <c r="CM64" s="281"/>
    </row>
    <row r="65" spans="1:91" ht="25.5" customHeight="1">
      <c r="A65" s="288"/>
      <c r="B65" s="289"/>
      <c r="C65" s="289"/>
      <c r="D65" s="52"/>
      <c r="E65" s="290"/>
      <c r="F65" s="290"/>
      <c r="G65" s="290"/>
      <c r="H65" s="53"/>
      <c r="I65" s="53"/>
      <c r="J65" s="53"/>
      <c r="K65" s="54"/>
      <c r="L65" s="294"/>
      <c r="M65" s="295"/>
      <c r="N65" s="295"/>
      <c r="O65" s="295"/>
      <c r="P65" s="295"/>
      <c r="Q65" s="295"/>
      <c r="R65" s="295"/>
      <c r="S65" s="295"/>
      <c r="T65" s="295"/>
      <c r="U65" s="295"/>
      <c r="V65" s="295"/>
      <c r="W65" s="295"/>
      <c r="X65" s="295"/>
      <c r="Y65" s="295"/>
      <c r="Z65" s="295"/>
      <c r="AA65" s="295"/>
      <c r="AB65" s="295"/>
      <c r="AC65" s="295"/>
      <c r="AD65" s="295"/>
      <c r="AE65" s="295"/>
      <c r="AF65" s="295"/>
      <c r="AG65" s="295"/>
      <c r="AH65" s="295"/>
      <c r="AI65" s="295"/>
      <c r="AJ65" s="295"/>
      <c r="AK65" s="295"/>
      <c r="AL65" s="295"/>
      <c r="AM65" s="295"/>
      <c r="AN65" s="295"/>
      <c r="AO65" s="295"/>
      <c r="AP65" s="295"/>
      <c r="AQ65" s="295"/>
      <c r="AR65" s="295"/>
      <c r="AS65" s="295"/>
      <c r="AT65" s="295"/>
      <c r="AU65" s="295"/>
      <c r="AV65" s="295"/>
      <c r="AW65" s="295"/>
      <c r="AX65" s="295"/>
      <c r="AY65" s="295"/>
      <c r="AZ65" s="295"/>
      <c r="BA65" s="295"/>
      <c r="BB65" s="295"/>
      <c r="BC65" s="295"/>
      <c r="BD65" s="295"/>
      <c r="BE65" s="296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50"/>
      <c r="BV65" s="282"/>
      <c r="BW65" s="283"/>
      <c r="BX65" s="283"/>
      <c r="BY65" s="283"/>
      <c r="BZ65" s="283"/>
      <c r="CA65" s="283"/>
      <c r="CB65" s="283"/>
      <c r="CC65" s="283"/>
      <c r="CD65" s="283"/>
      <c r="CE65" s="283"/>
      <c r="CF65" s="283"/>
      <c r="CG65" s="283"/>
      <c r="CH65" s="283"/>
      <c r="CI65" s="283"/>
      <c r="CJ65" s="283"/>
      <c r="CK65" s="283"/>
      <c r="CL65" s="283"/>
      <c r="CM65" s="284"/>
    </row>
    <row r="66" spans="1:91" ht="25.5" customHeight="1" thickBot="1">
      <c r="A66" s="288"/>
      <c r="B66" s="289"/>
      <c r="C66" s="289"/>
      <c r="D66" s="52"/>
      <c r="E66" s="290"/>
      <c r="F66" s="290"/>
      <c r="G66" s="290"/>
      <c r="H66" s="53"/>
      <c r="I66" s="53"/>
      <c r="J66" s="53"/>
      <c r="K66" s="54"/>
      <c r="L66" s="294"/>
      <c r="M66" s="295"/>
      <c r="N66" s="295"/>
      <c r="O66" s="295"/>
      <c r="P66" s="295"/>
      <c r="Q66" s="295"/>
      <c r="R66" s="295"/>
      <c r="S66" s="295"/>
      <c r="T66" s="295"/>
      <c r="U66" s="295"/>
      <c r="V66" s="295"/>
      <c r="W66" s="295"/>
      <c r="X66" s="295"/>
      <c r="Y66" s="295"/>
      <c r="Z66" s="295"/>
      <c r="AA66" s="295"/>
      <c r="AB66" s="295"/>
      <c r="AC66" s="295"/>
      <c r="AD66" s="295"/>
      <c r="AE66" s="295"/>
      <c r="AF66" s="295"/>
      <c r="AG66" s="295"/>
      <c r="AH66" s="295"/>
      <c r="AI66" s="295"/>
      <c r="AJ66" s="295"/>
      <c r="AK66" s="295"/>
      <c r="AL66" s="295"/>
      <c r="AM66" s="295"/>
      <c r="AN66" s="295"/>
      <c r="AO66" s="295"/>
      <c r="AP66" s="295"/>
      <c r="AQ66" s="295"/>
      <c r="AR66" s="295"/>
      <c r="AS66" s="295"/>
      <c r="AT66" s="295"/>
      <c r="AU66" s="295"/>
      <c r="AV66" s="295"/>
      <c r="AW66" s="295"/>
      <c r="AX66" s="295"/>
      <c r="AY66" s="295"/>
      <c r="AZ66" s="295"/>
      <c r="BA66" s="295"/>
      <c r="BB66" s="295"/>
      <c r="BC66" s="295"/>
      <c r="BD66" s="295"/>
      <c r="BE66" s="296"/>
      <c r="BF66" s="251"/>
      <c r="BG66" s="251"/>
      <c r="BH66" s="251"/>
      <c r="BI66" s="251"/>
      <c r="BJ66" s="251"/>
      <c r="BK66" s="251"/>
      <c r="BL66" s="251"/>
      <c r="BM66" s="251"/>
      <c r="BN66" s="251"/>
      <c r="BO66" s="251"/>
      <c r="BP66" s="251"/>
      <c r="BQ66" s="251"/>
      <c r="BR66" s="251"/>
      <c r="BS66" s="251"/>
      <c r="BT66" s="251"/>
      <c r="BU66" s="252"/>
      <c r="BV66" s="285"/>
      <c r="BW66" s="286"/>
      <c r="BX66" s="286"/>
      <c r="BY66" s="286"/>
      <c r="BZ66" s="286"/>
      <c r="CA66" s="286"/>
      <c r="CB66" s="286"/>
      <c r="CC66" s="286"/>
      <c r="CD66" s="286"/>
      <c r="CE66" s="286"/>
      <c r="CF66" s="286"/>
      <c r="CG66" s="286"/>
      <c r="CH66" s="286"/>
      <c r="CI66" s="286"/>
      <c r="CJ66" s="286"/>
      <c r="CK66" s="286"/>
      <c r="CL66" s="286"/>
      <c r="CM66" s="287"/>
    </row>
    <row r="67" spans="1:91" ht="25.5" customHeight="1">
      <c r="A67" s="255" t="e">
        <f>IF(#REF!&lt;&gt;"",#REF!,"")</f>
        <v>#REF!</v>
      </c>
      <c r="B67" s="256"/>
      <c r="C67" s="256"/>
      <c r="D67" s="185"/>
      <c r="E67" s="257" t="e">
        <f>IF(#REF!&lt;&gt;"",#REF!,"")</f>
        <v>#REF!</v>
      </c>
      <c r="F67" s="257"/>
      <c r="G67" s="257"/>
      <c r="H67" s="186" t="e">
        <f>IF(#REF!&lt;&gt;"",#REF!,"")</f>
        <v>#REF!</v>
      </c>
      <c r="I67" s="186" t="e">
        <f>IF(#REF!&lt;&gt;"",#REF!,"")</f>
        <v>#REF!</v>
      </c>
      <c r="J67" s="186" t="e">
        <f>IF(#REF!&lt;&gt;"",#REF!,"")</f>
        <v>#REF!</v>
      </c>
      <c r="K67" s="187" t="e">
        <f>IF(#REF!&lt;&gt;"",#REF!,"")</f>
        <v>#REF!</v>
      </c>
      <c r="L67" s="294"/>
      <c r="M67" s="295"/>
      <c r="N67" s="295"/>
      <c r="O67" s="295"/>
      <c r="P67" s="295"/>
      <c r="Q67" s="295"/>
      <c r="R67" s="295"/>
      <c r="S67" s="295"/>
      <c r="T67" s="295"/>
      <c r="U67" s="295"/>
      <c r="V67" s="295"/>
      <c r="W67" s="295"/>
      <c r="X67" s="295"/>
      <c r="Y67" s="295"/>
      <c r="Z67" s="295"/>
      <c r="AA67" s="295"/>
      <c r="AB67" s="295"/>
      <c r="AC67" s="295"/>
      <c r="AD67" s="295"/>
      <c r="AE67" s="295"/>
      <c r="AF67" s="295"/>
      <c r="AG67" s="295"/>
      <c r="AH67" s="295"/>
      <c r="AI67" s="295"/>
      <c r="AJ67" s="295"/>
      <c r="AK67" s="295"/>
      <c r="AL67" s="295"/>
      <c r="AM67" s="295"/>
      <c r="AN67" s="295"/>
      <c r="AO67" s="295"/>
      <c r="AP67" s="295"/>
      <c r="AQ67" s="295"/>
      <c r="AR67" s="295"/>
      <c r="AS67" s="295"/>
      <c r="AT67" s="295"/>
      <c r="AU67" s="295"/>
      <c r="AV67" s="295"/>
      <c r="AW67" s="295"/>
      <c r="AX67" s="295"/>
      <c r="AY67" s="295"/>
      <c r="AZ67" s="295"/>
      <c r="BA67" s="295"/>
      <c r="BB67" s="295"/>
      <c r="BC67" s="295"/>
      <c r="BD67" s="295"/>
      <c r="BE67" s="296"/>
      <c r="BF67" s="272" t="s">
        <v>34</v>
      </c>
      <c r="BG67" s="272"/>
      <c r="BH67" s="272"/>
      <c r="BI67" s="272"/>
      <c r="BJ67" s="272"/>
      <c r="BK67" s="272"/>
      <c r="BL67" s="272"/>
      <c r="BM67" s="272"/>
      <c r="BN67" s="272"/>
      <c r="BO67" s="272"/>
      <c r="BP67" s="272"/>
      <c r="BQ67" s="272"/>
      <c r="BR67" s="272"/>
      <c r="BS67" s="272"/>
      <c r="BT67" s="272"/>
      <c r="BU67" s="254"/>
      <c r="BV67" s="273" t="s">
        <v>35</v>
      </c>
      <c r="BW67" s="272"/>
      <c r="BX67" s="274"/>
      <c r="BY67" s="253" t="s">
        <v>36</v>
      </c>
      <c r="BZ67" s="272"/>
      <c r="CA67" s="272"/>
      <c r="CB67" s="272"/>
      <c r="CC67" s="272"/>
      <c r="CD67" s="272"/>
      <c r="CE67" s="272"/>
      <c r="CF67" s="272"/>
      <c r="CG67" s="272"/>
      <c r="CH67" s="272"/>
      <c r="CI67" s="272"/>
      <c r="CJ67" s="272"/>
      <c r="CK67" s="274"/>
      <c r="CL67" s="253" t="s">
        <v>37</v>
      </c>
      <c r="CM67" s="254"/>
    </row>
    <row r="68" spans="1:91" ht="25.5" customHeight="1">
      <c r="A68" s="255" t="e">
        <f>IF(#REF!&lt;&gt;"",#REF!,"")</f>
        <v>#REF!</v>
      </c>
      <c r="B68" s="256"/>
      <c r="C68" s="256"/>
      <c r="D68" s="185"/>
      <c r="E68" s="257" t="e">
        <f>IF(#REF!&lt;&gt;"",#REF!,"")</f>
        <v>#REF!</v>
      </c>
      <c r="F68" s="257"/>
      <c r="G68" s="257"/>
      <c r="H68" s="186" t="e">
        <f>IF(#REF!&lt;&gt;"",#REF!,"")</f>
        <v>#REF!</v>
      </c>
      <c r="I68" s="186" t="e">
        <f>IF(#REF!&lt;&gt;"",#REF!,"")</f>
        <v>#REF!</v>
      </c>
      <c r="J68" s="186" t="e">
        <f>IF(#REF!&lt;&gt;"",#REF!,"")</f>
        <v>#REF!</v>
      </c>
      <c r="K68" s="187" t="e">
        <f>IF(#REF!&lt;&gt;"",#REF!,"")</f>
        <v>#REF!</v>
      </c>
      <c r="L68" s="294"/>
      <c r="M68" s="295"/>
      <c r="N68" s="295"/>
      <c r="O68" s="295"/>
      <c r="P68" s="295"/>
      <c r="Q68" s="295"/>
      <c r="R68" s="295"/>
      <c r="S68" s="295"/>
      <c r="T68" s="295"/>
      <c r="U68" s="295"/>
      <c r="V68" s="295"/>
      <c r="W68" s="295"/>
      <c r="X68" s="295"/>
      <c r="Y68" s="295"/>
      <c r="Z68" s="295"/>
      <c r="AA68" s="295"/>
      <c r="AB68" s="295"/>
      <c r="AC68" s="295"/>
      <c r="AD68" s="295"/>
      <c r="AE68" s="295"/>
      <c r="AF68" s="295"/>
      <c r="AG68" s="295"/>
      <c r="AH68" s="295"/>
      <c r="AI68" s="295"/>
      <c r="AJ68" s="295"/>
      <c r="AK68" s="295"/>
      <c r="AL68" s="295"/>
      <c r="AM68" s="295"/>
      <c r="AN68" s="295"/>
      <c r="AO68" s="295"/>
      <c r="AP68" s="295"/>
      <c r="AQ68" s="295"/>
      <c r="AR68" s="295"/>
      <c r="AS68" s="295"/>
      <c r="AT68" s="295"/>
      <c r="AU68" s="295"/>
      <c r="AV68" s="295"/>
      <c r="AW68" s="295"/>
      <c r="AX68" s="295"/>
      <c r="AY68" s="295"/>
      <c r="AZ68" s="295"/>
      <c r="BA68" s="295"/>
      <c r="BB68" s="295"/>
      <c r="BC68" s="295"/>
      <c r="BD68" s="295"/>
      <c r="BE68" s="296"/>
      <c r="BF68" s="258" t="s">
        <v>5</v>
      </c>
      <c r="BG68" s="259"/>
      <c r="BH68" s="259"/>
      <c r="BI68" s="259"/>
      <c r="BJ68" s="259"/>
      <c r="BK68" s="259"/>
      <c r="BL68" s="259"/>
      <c r="BM68" s="259"/>
      <c r="BN68" s="259"/>
      <c r="BO68" s="259"/>
      <c r="BP68" s="259"/>
      <c r="BQ68" s="259"/>
      <c r="BR68" s="259"/>
      <c r="BS68" s="259"/>
      <c r="BT68" s="259"/>
      <c r="BU68" s="260"/>
      <c r="BV68" s="261" t="s">
        <v>12</v>
      </c>
      <c r="BW68" s="259"/>
      <c r="BX68" s="262"/>
      <c r="BY68" s="265" t="s">
        <v>84</v>
      </c>
      <c r="BZ68" s="266"/>
      <c r="CA68" s="266"/>
      <c r="CB68" s="266"/>
      <c r="CC68" s="266"/>
      <c r="CD68" s="266"/>
      <c r="CE68" s="266"/>
      <c r="CF68" s="266"/>
      <c r="CG68" s="266"/>
      <c r="CH68" s="266"/>
      <c r="CI68" s="266"/>
      <c r="CJ68" s="266"/>
      <c r="CK68" s="267"/>
      <c r="CL68" s="227" t="s">
        <v>11</v>
      </c>
      <c r="CM68" s="260"/>
    </row>
    <row r="69" spans="1:91" ht="25.5" customHeight="1" thickBot="1">
      <c r="A69" s="255" t="e">
        <f>IF(#REF!&lt;&gt;"",#REF!,"")</f>
        <v>#REF!</v>
      </c>
      <c r="B69" s="256"/>
      <c r="C69" s="256"/>
      <c r="D69" s="185"/>
      <c r="E69" s="257" t="e">
        <f>IF(#REF!&lt;&gt;"",#REF!,"")</f>
        <v>#REF!</v>
      </c>
      <c r="F69" s="257"/>
      <c r="G69" s="257"/>
      <c r="H69" s="186" t="e">
        <f>IF(#REF!&lt;&gt;"",#REF!,"")</f>
        <v>#REF!</v>
      </c>
      <c r="I69" s="186" t="e">
        <f>IF(#REF!&lt;&gt;"",#REF!,"")</f>
        <v>#REF!</v>
      </c>
      <c r="J69" s="186" t="e">
        <f>IF(#REF!&lt;&gt;"",#REF!,"")</f>
        <v>#REF!</v>
      </c>
      <c r="K69" s="187" t="e">
        <f>IF(#REF!&lt;&gt;"",#REF!,"")</f>
        <v>#REF!</v>
      </c>
      <c r="L69" s="297"/>
      <c r="M69" s="298"/>
      <c r="N69" s="298"/>
      <c r="O69" s="298"/>
      <c r="P69" s="298"/>
      <c r="Q69" s="298"/>
      <c r="R69" s="298"/>
      <c r="S69" s="298"/>
      <c r="T69" s="298"/>
      <c r="U69" s="298"/>
      <c r="V69" s="298"/>
      <c r="W69" s="298"/>
      <c r="X69" s="298"/>
      <c r="Y69" s="298"/>
      <c r="Z69" s="298"/>
      <c r="AA69" s="298"/>
      <c r="AB69" s="298"/>
      <c r="AC69" s="298"/>
      <c r="AD69" s="298"/>
      <c r="AE69" s="298"/>
      <c r="AF69" s="298"/>
      <c r="AG69" s="298"/>
      <c r="AH69" s="298"/>
      <c r="AI69" s="298"/>
      <c r="AJ69" s="298"/>
      <c r="AK69" s="298"/>
      <c r="AL69" s="298"/>
      <c r="AM69" s="298"/>
      <c r="AN69" s="298"/>
      <c r="AO69" s="298"/>
      <c r="AP69" s="298"/>
      <c r="AQ69" s="298"/>
      <c r="AR69" s="298"/>
      <c r="AS69" s="298"/>
      <c r="AT69" s="298"/>
      <c r="AU69" s="298"/>
      <c r="AV69" s="298"/>
      <c r="AW69" s="298"/>
      <c r="AX69" s="298"/>
      <c r="AY69" s="298"/>
      <c r="AZ69" s="298"/>
      <c r="BA69" s="298"/>
      <c r="BB69" s="298"/>
      <c r="BC69" s="298"/>
      <c r="BD69" s="298"/>
      <c r="BE69" s="299"/>
      <c r="BF69" s="251"/>
      <c r="BG69" s="251"/>
      <c r="BH69" s="251"/>
      <c r="BI69" s="251"/>
      <c r="BJ69" s="251"/>
      <c r="BK69" s="251"/>
      <c r="BL69" s="251"/>
      <c r="BM69" s="251"/>
      <c r="BN69" s="251"/>
      <c r="BO69" s="251"/>
      <c r="BP69" s="251"/>
      <c r="BQ69" s="251"/>
      <c r="BR69" s="251"/>
      <c r="BS69" s="251"/>
      <c r="BT69" s="251"/>
      <c r="BU69" s="252"/>
      <c r="BV69" s="263"/>
      <c r="BW69" s="251"/>
      <c r="BX69" s="264"/>
      <c r="BY69" s="268"/>
      <c r="BZ69" s="269"/>
      <c r="CA69" s="269"/>
      <c r="CB69" s="269"/>
      <c r="CC69" s="269"/>
      <c r="CD69" s="269"/>
      <c r="CE69" s="269"/>
      <c r="CF69" s="269"/>
      <c r="CG69" s="269"/>
      <c r="CH69" s="269"/>
      <c r="CI69" s="269"/>
      <c r="CJ69" s="269"/>
      <c r="CK69" s="270"/>
      <c r="CL69" s="271"/>
      <c r="CM69" s="252"/>
    </row>
    <row r="70" spans="1:91" ht="12" customHeight="1">
      <c r="A70" s="55"/>
      <c r="B70" s="56"/>
      <c r="C70" s="56"/>
      <c r="D70" s="56"/>
      <c r="E70" s="57"/>
      <c r="F70" s="58"/>
      <c r="G70" s="58"/>
      <c r="H70" s="58"/>
      <c r="I70" s="59"/>
      <c r="BL70" s="17"/>
      <c r="BM70" s="17"/>
      <c r="BN70" s="17"/>
      <c r="BO70" s="17"/>
      <c r="BP70" s="17"/>
      <c r="BQ70" s="17"/>
      <c r="BR70" s="17"/>
      <c r="BS70" s="17"/>
      <c r="BT70" s="61"/>
      <c r="CD70" s="57"/>
      <c r="CE70" s="57"/>
      <c r="CF70" s="57"/>
      <c r="CG70" s="57"/>
      <c r="CH70" s="57"/>
      <c r="CI70" s="57"/>
      <c r="CJ70" s="57"/>
      <c r="CK70" s="57"/>
      <c r="CL70" s="57"/>
      <c r="CM70" s="57"/>
    </row>
  </sheetData>
  <mergeCells count="45"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  <mergeCell ref="G7:G9"/>
    <mergeCell ref="H7:H9"/>
    <mergeCell ref="I7:K7"/>
    <mergeCell ref="J8:K8"/>
    <mergeCell ref="A61:C61"/>
    <mergeCell ref="E61:G61"/>
    <mergeCell ref="BV64:CM66"/>
    <mergeCell ref="A65:C65"/>
    <mergeCell ref="E65:G65"/>
    <mergeCell ref="A66:C66"/>
    <mergeCell ref="E66:G66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BF64:BU66"/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A67:C67"/>
    <mergeCell ref="E67:G67"/>
    <mergeCell ref="BF67:BU67"/>
    <mergeCell ref="BV67:BX67"/>
    <mergeCell ref="BY67:CK67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29" orientation="landscape" r:id="rId1"/>
  <headerFooter alignWithMargins="0">
    <oddFooter xml:space="preserve">&amp;L&amp;Z&amp;F&amp;C&amp;D&amp;RConcise DesignShutdown Key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DQ70"/>
  <sheetViews>
    <sheetView showGridLines="0" view="pageBreakPreview" topLeftCell="M27" zoomScale="50" zoomScaleNormal="50" zoomScaleSheetLayoutView="50" zoomScalePageLayoutView="50" workbookViewId="0">
      <selection activeCell="I1" sqref="I1:K9"/>
    </sheetView>
  </sheetViews>
  <sheetFormatPr defaultColWidth="12.7109375" defaultRowHeight="12" customHeight="1"/>
  <cols>
    <col min="1" max="1" width="8.7109375" style="21" hidden="1" customWidth="1"/>
    <col min="2" max="2" width="7.42578125" style="21" hidden="1" customWidth="1"/>
    <col min="3" max="3" width="19" style="21" customWidth="1"/>
    <col min="4" max="4" width="25.42578125" style="21" hidden="1" customWidth="1"/>
    <col min="5" max="5" width="95.85546875" style="27" bestFit="1" customWidth="1"/>
    <col min="6" max="6" width="18.42578125" style="196" hidden="1" customWidth="1"/>
    <col min="7" max="7" width="31.5703125" style="196" bestFit="1" customWidth="1"/>
    <col min="8" max="8" width="33" style="196" bestFit="1" customWidth="1"/>
    <col min="9" max="10" width="8.42578125" style="41" customWidth="1"/>
    <col min="11" max="11" width="10.85546875" style="41" bestFit="1" customWidth="1"/>
    <col min="12" max="12" width="6.140625" style="60" hidden="1" customWidth="1"/>
    <col min="13" max="14" width="6.140625" style="27" customWidth="1"/>
    <col min="15" max="16" width="6.140625" style="27" hidden="1" customWidth="1"/>
    <col min="17" max="21" width="6.140625" style="27" customWidth="1"/>
    <col min="22" max="22" width="6.140625" style="60" customWidth="1"/>
    <col min="23" max="31" width="6.140625" style="27" customWidth="1"/>
    <col min="32" max="32" width="6.140625" style="60" customWidth="1"/>
    <col min="33" max="41" width="6.140625" style="27" customWidth="1"/>
    <col min="42" max="42" width="6.140625" style="60" customWidth="1"/>
    <col min="43" max="51" width="6.140625" style="27" customWidth="1"/>
    <col min="52" max="52" width="6.140625" style="60" customWidth="1"/>
    <col min="53" max="61" width="6.140625" style="27" customWidth="1"/>
    <col min="62" max="62" width="6.140625" style="60" customWidth="1"/>
    <col min="63" max="71" width="6.140625" style="27" customWidth="1"/>
    <col min="72" max="72" width="6.140625" style="60" customWidth="1"/>
    <col min="73" max="80" width="6.140625" style="27" customWidth="1"/>
    <col min="81" max="81" width="6.140625" style="62" customWidth="1"/>
    <col min="82" max="91" width="6.140625" style="27" customWidth="1"/>
    <col min="92" max="16384" width="12.7109375" style="27"/>
  </cols>
  <sheetData>
    <row r="1" spans="1:121" s="194" customFormat="1" ht="20.25" customHeight="1">
      <c r="A1" s="15"/>
      <c r="B1" s="16"/>
      <c r="C1" s="16"/>
      <c r="D1" s="16"/>
      <c r="E1" s="17"/>
      <c r="F1" s="195"/>
      <c r="G1" s="195"/>
      <c r="H1" s="195"/>
      <c r="I1" s="18"/>
      <c r="J1" s="19" t="s">
        <v>13</v>
      </c>
      <c r="K1" s="20"/>
      <c r="L1" s="407">
        <v>1</v>
      </c>
      <c r="M1" s="402">
        <v>2</v>
      </c>
      <c r="N1" s="402">
        <v>3</v>
      </c>
      <c r="O1" s="402">
        <v>4</v>
      </c>
      <c r="P1" s="408">
        <v>6</v>
      </c>
      <c r="Q1" s="407">
        <v>7</v>
      </c>
      <c r="R1" s="402">
        <v>238</v>
      </c>
      <c r="S1" s="402">
        <v>889</v>
      </c>
      <c r="T1" s="402">
        <v>887</v>
      </c>
      <c r="U1" s="409">
        <v>888</v>
      </c>
      <c r="V1" s="401">
        <v>231</v>
      </c>
      <c r="W1" s="403">
        <v>7777</v>
      </c>
      <c r="X1" s="403"/>
      <c r="Y1" s="403"/>
      <c r="Z1" s="406"/>
      <c r="AA1" s="410"/>
      <c r="AB1" s="403"/>
      <c r="AC1" s="403"/>
      <c r="AD1" s="403"/>
      <c r="AE1" s="404"/>
      <c r="AF1" s="405"/>
      <c r="AG1" s="403"/>
      <c r="AH1" s="403"/>
      <c r="AI1" s="403"/>
      <c r="AJ1" s="406"/>
      <c r="AK1" s="410"/>
      <c r="AL1" s="403"/>
      <c r="AM1" s="403"/>
      <c r="AN1" s="403"/>
      <c r="AO1" s="404"/>
      <c r="AP1" s="405"/>
      <c r="AQ1" s="403"/>
      <c r="AR1" s="403"/>
      <c r="AS1" s="403"/>
      <c r="AT1" s="406"/>
      <c r="AU1" s="410"/>
      <c r="AV1" s="403"/>
      <c r="AW1" s="403"/>
      <c r="AX1" s="403"/>
      <c r="AY1" s="404"/>
      <c r="AZ1" s="405"/>
      <c r="BA1" s="403"/>
      <c r="BB1" s="403"/>
      <c r="BC1" s="403"/>
      <c r="BD1" s="406"/>
      <c r="BE1" s="410"/>
      <c r="BF1" s="403"/>
      <c r="BG1" s="403"/>
      <c r="BH1" s="403"/>
      <c r="BI1" s="404"/>
      <c r="BJ1" s="405"/>
      <c r="BK1" s="403"/>
      <c r="BL1" s="403"/>
      <c r="BM1" s="403"/>
      <c r="BN1" s="406"/>
      <c r="BO1" s="410"/>
      <c r="BP1" s="403"/>
      <c r="BQ1" s="403"/>
      <c r="BR1" s="403"/>
      <c r="BS1" s="404"/>
      <c r="BT1" s="405"/>
      <c r="BU1" s="403"/>
      <c r="BV1" s="403"/>
      <c r="BW1" s="403"/>
      <c r="BX1" s="406"/>
      <c r="BY1" s="410"/>
      <c r="BZ1" s="403"/>
      <c r="CA1" s="403"/>
      <c r="CB1" s="403"/>
      <c r="CC1" s="404"/>
      <c r="CD1" s="405"/>
      <c r="CE1" s="403"/>
      <c r="CF1" s="403"/>
      <c r="CG1" s="403"/>
      <c r="CH1" s="404"/>
      <c r="CI1" s="405"/>
      <c r="CJ1" s="403"/>
      <c r="CK1" s="403"/>
      <c r="CL1" s="403"/>
      <c r="CM1" s="406"/>
      <c r="CN1" s="21"/>
      <c r="CO1" s="21"/>
      <c r="CP1" s="21"/>
      <c r="CQ1" s="21"/>
      <c r="CR1" s="21"/>
      <c r="CS1" s="21"/>
      <c r="CT1" s="21"/>
      <c r="CU1" s="21"/>
      <c r="CV1" s="21"/>
      <c r="CW1" s="21"/>
      <c r="CX1" s="21"/>
      <c r="CY1" s="21"/>
      <c r="CZ1" s="21"/>
      <c r="DA1" s="21"/>
      <c r="DB1" s="21"/>
      <c r="DC1" s="21"/>
      <c r="DD1" s="21"/>
      <c r="DE1" s="21"/>
      <c r="DF1" s="21"/>
      <c r="DG1" s="21"/>
      <c r="DH1" s="21"/>
      <c r="DI1" s="21"/>
      <c r="DJ1" s="21"/>
      <c r="DK1" s="21"/>
      <c r="DL1" s="21"/>
      <c r="DM1" s="21"/>
      <c r="DN1" s="21"/>
      <c r="DO1" s="21"/>
      <c r="DP1" s="21"/>
      <c r="DQ1" s="21"/>
    </row>
    <row r="2" spans="1:121" s="194" customFormat="1" ht="24" customHeight="1" thickBot="1">
      <c r="A2" s="22"/>
      <c r="B2" s="21"/>
      <c r="C2" s="21"/>
      <c r="D2" s="21"/>
      <c r="F2" s="196"/>
      <c r="G2" s="196"/>
      <c r="H2" s="196"/>
      <c r="I2" s="23"/>
      <c r="J2" s="24" t="s">
        <v>14</v>
      </c>
      <c r="K2" s="25"/>
      <c r="L2" s="388" t="s">
        <v>11</v>
      </c>
      <c r="M2" s="387" t="s">
        <v>11</v>
      </c>
      <c r="N2" s="387" t="s">
        <v>11</v>
      </c>
      <c r="O2" s="387" t="s">
        <v>11</v>
      </c>
      <c r="P2" s="389" t="s">
        <v>11</v>
      </c>
      <c r="Q2" s="388" t="s">
        <v>77</v>
      </c>
      <c r="R2" s="387" t="s">
        <v>11</v>
      </c>
      <c r="S2" s="387" t="s">
        <v>11</v>
      </c>
      <c r="T2" s="387" t="s">
        <v>11</v>
      </c>
      <c r="U2" s="390" t="s">
        <v>11</v>
      </c>
      <c r="V2" s="386" t="s">
        <v>11</v>
      </c>
      <c r="W2" s="372" t="s">
        <v>11</v>
      </c>
      <c r="X2" s="372"/>
      <c r="Y2" s="372"/>
      <c r="Z2" s="373"/>
      <c r="AA2" s="374"/>
      <c r="AB2" s="372"/>
      <c r="AC2" s="372"/>
      <c r="AD2" s="372"/>
      <c r="AE2" s="371"/>
      <c r="AF2" s="375"/>
      <c r="AG2" s="372"/>
      <c r="AH2" s="372"/>
      <c r="AI2" s="372"/>
      <c r="AJ2" s="373"/>
      <c r="AK2" s="374"/>
      <c r="AL2" s="372"/>
      <c r="AM2" s="372"/>
      <c r="AN2" s="372"/>
      <c r="AO2" s="371"/>
      <c r="AP2" s="375"/>
      <c r="AQ2" s="372"/>
      <c r="AR2" s="372"/>
      <c r="AS2" s="372"/>
      <c r="AT2" s="373"/>
      <c r="AU2" s="374"/>
      <c r="AV2" s="372"/>
      <c r="AW2" s="372"/>
      <c r="AX2" s="372"/>
      <c r="AY2" s="371"/>
      <c r="AZ2" s="375"/>
      <c r="BA2" s="372"/>
      <c r="BB2" s="372"/>
      <c r="BC2" s="372"/>
      <c r="BD2" s="373"/>
      <c r="BE2" s="374"/>
      <c r="BF2" s="372"/>
      <c r="BG2" s="372"/>
      <c r="BH2" s="372"/>
      <c r="BI2" s="371"/>
      <c r="BJ2" s="375"/>
      <c r="BK2" s="372"/>
      <c r="BL2" s="372"/>
      <c r="BM2" s="372"/>
      <c r="BN2" s="373"/>
      <c r="BO2" s="374"/>
      <c r="BP2" s="372"/>
      <c r="BQ2" s="372"/>
      <c r="BR2" s="372"/>
      <c r="BS2" s="371"/>
      <c r="BT2" s="375"/>
      <c r="BU2" s="372"/>
      <c r="BV2" s="372"/>
      <c r="BW2" s="372"/>
      <c r="BX2" s="373"/>
      <c r="BY2" s="374"/>
      <c r="BZ2" s="372"/>
      <c r="CA2" s="372"/>
      <c r="CB2" s="372"/>
      <c r="CC2" s="371"/>
      <c r="CD2" s="375"/>
      <c r="CE2" s="372"/>
      <c r="CF2" s="372"/>
      <c r="CG2" s="372"/>
      <c r="CH2" s="371"/>
      <c r="CI2" s="375"/>
      <c r="CJ2" s="372"/>
      <c r="CK2" s="372"/>
      <c r="CL2" s="372"/>
      <c r="CM2" s="373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  <c r="DO2" s="26"/>
      <c r="DP2" s="26"/>
      <c r="DQ2" s="21"/>
    </row>
    <row r="3" spans="1:121" ht="111" customHeight="1">
      <c r="A3" s="22"/>
      <c r="I3" s="307" t="s">
        <v>15</v>
      </c>
      <c r="J3" s="308"/>
      <c r="K3" s="309"/>
      <c r="L3" s="421" t="s">
        <v>76</v>
      </c>
      <c r="M3" s="422" t="s">
        <v>76</v>
      </c>
      <c r="N3" s="422" t="s">
        <v>76</v>
      </c>
      <c r="O3" s="422" t="s">
        <v>76</v>
      </c>
      <c r="P3" s="423" t="s">
        <v>76</v>
      </c>
      <c r="Q3" s="421"/>
      <c r="R3" s="422" t="s">
        <v>16</v>
      </c>
      <c r="S3" s="422" t="s">
        <v>44</v>
      </c>
      <c r="T3" s="422" t="s">
        <v>44</v>
      </c>
      <c r="U3" s="424" t="s">
        <v>44</v>
      </c>
      <c r="V3" s="425" t="s">
        <v>44</v>
      </c>
      <c r="W3" s="372" t="s">
        <v>93</v>
      </c>
      <c r="X3" s="372"/>
      <c r="Y3" s="372"/>
      <c r="Z3" s="373"/>
      <c r="AA3" s="374"/>
      <c r="AB3" s="372"/>
      <c r="AC3" s="372"/>
      <c r="AD3" s="372"/>
      <c r="AE3" s="371"/>
      <c r="AF3" s="375"/>
      <c r="AG3" s="372"/>
      <c r="AH3" s="372"/>
      <c r="AI3" s="372"/>
      <c r="AJ3" s="373"/>
      <c r="AK3" s="374"/>
      <c r="AL3" s="372"/>
      <c r="AM3" s="372"/>
      <c r="AN3" s="372"/>
      <c r="AO3" s="371"/>
      <c r="AP3" s="375"/>
      <c r="AQ3" s="372"/>
      <c r="AR3" s="372"/>
      <c r="AS3" s="372"/>
      <c r="AT3" s="373"/>
      <c r="AU3" s="374"/>
      <c r="AV3" s="372"/>
      <c r="AW3" s="372"/>
      <c r="AX3" s="372"/>
      <c r="AY3" s="371"/>
      <c r="AZ3" s="375"/>
      <c r="BA3" s="372"/>
      <c r="BB3" s="372"/>
      <c r="BC3" s="372"/>
      <c r="BD3" s="373"/>
      <c r="BE3" s="374"/>
      <c r="BF3" s="372"/>
      <c r="BG3" s="372"/>
      <c r="BH3" s="372"/>
      <c r="BI3" s="371"/>
      <c r="BJ3" s="375"/>
      <c r="BK3" s="372"/>
      <c r="BL3" s="372"/>
      <c r="BM3" s="372"/>
      <c r="BN3" s="373"/>
      <c r="BO3" s="374"/>
      <c r="BP3" s="372"/>
      <c r="BQ3" s="372"/>
      <c r="BR3" s="372"/>
      <c r="BS3" s="371"/>
      <c r="BT3" s="375"/>
      <c r="BU3" s="372"/>
      <c r="BV3" s="372"/>
      <c r="BW3" s="372"/>
      <c r="BX3" s="373"/>
      <c r="BY3" s="374"/>
      <c r="BZ3" s="372"/>
      <c r="CA3" s="372"/>
      <c r="CB3" s="372"/>
      <c r="CC3" s="371"/>
      <c r="CD3" s="375"/>
      <c r="CE3" s="372"/>
      <c r="CF3" s="372"/>
      <c r="CG3" s="372"/>
      <c r="CH3" s="371"/>
      <c r="CI3" s="375"/>
      <c r="CJ3" s="372"/>
      <c r="CK3" s="372"/>
      <c r="CL3" s="372"/>
      <c r="CM3" s="373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</row>
    <row r="4" spans="1:121" s="29" customFormat="1" ht="156.75" customHeight="1">
      <c r="A4" s="22"/>
      <c r="B4" s="21"/>
      <c r="C4" s="21"/>
      <c r="D4" s="21"/>
      <c r="F4" s="21"/>
      <c r="G4" s="21"/>
      <c r="H4" s="30"/>
      <c r="I4" s="310" t="s">
        <v>17</v>
      </c>
      <c r="J4" s="311"/>
      <c r="K4" s="312"/>
      <c r="L4" s="421" t="s">
        <v>76</v>
      </c>
      <c r="M4" s="422" t="s">
        <v>76</v>
      </c>
      <c r="N4" s="422" t="s">
        <v>76</v>
      </c>
      <c r="O4" s="422" t="s">
        <v>76</v>
      </c>
      <c r="P4" s="423" t="s">
        <v>76</v>
      </c>
      <c r="Q4" s="421" t="s">
        <v>77</v>
      </c>
      <c r="R4" s="422" t="s">
        <v>76</v>
      </c>
      <c r="S4" s="422" t="s">
        <v>76</v>
      </c>
      <c r="T4" s="422" t="s">
        <v>76</v>
      </c>
      <c r="U4" s="424" t="s">
        <v>76</v>
      </c>
      <c r="V4" s="425" t="s">
        <v>76</v>
      </c>
      <c r="W4" s="372" t="s">
        <v>93</v>
      </c>
      <c r="X4" s="372"/>
      <c r="Y4" s="372"/>
      <c r="Z4" s="373"/>
      <c r="AA4" s="374"/>
      <c r="AB4" s="372"/>
      <c r="AC4" s="372"/>
      <c r="AD4" s="372"/>
      <c r="AE4" s="371"/>
      <c r="AF4" s="375"/>
      <c r="AG4" s="372"/>
      <c r="AH4" s="372"/>
      <c r="AI4" s="372"/>
      <c r="AJ4" s="373"/>
      <c r="AK4" s="374"/>
      <c r="AL4" s="372"/>
      <c r="AM4" s="372"/>
      <c r="AN4" s="372"/>
      <c r="AO4" s="371"/>
      <c r="AP4" s="375"/>
      <c r="AQ4" s="372"/>
      <c r="AR4" s="372"/>
      <c r="AS4" s="372"/>
      <c r="AT4" s="373"/>
      <c r="AU4" s="374"/>
      <c r="AV4" s="372"/>
      <c r="AW4" s="372"/>
      <c r="AX4" s="372"/>
      <c r="AY4" s="371"/>
      <c r="AZ4" s="375"/>
      <c r="BA4" s="372"/>
      <c r="BB4" s="372"/>
      <c r="BC4" s="372"/>
      <c r="BD4" s="373"/>
      <c r="BE4" s="374"/>
      <c r="BF4" s="372"/>
      <c r="BG4" s="372"/>
      <c r="BH4" s="372"/>
      <c r="BI4" s="371"/>
      <c r="BJ4" s="375"/>
      <c r="BK4" s="372"/>
      <c r="BL4" s="372"/>
      <c r="BM4" s="372"/>
      <c r="BN4" s="373"/>
      <c r="BO4" s="374"/>
      <c r="BP4" s="372"/>
      <c r="BQ4" s="372"/>
      <c r="BR4" s="372"/>
      <c r="BS4" s="371"/>
      <c r="BT4" s="375"/>
      <c r="BU4" s="372"/>
      <c r="BV4" s="372"/>
      <c r="BW4" s="372"/>
      <c r="BX4" s="373"/>
      <c r="BY4" s="374"/>
      <c r="BZ4" s="372"/>
      <c r="CA4" s="372"/>
      <c r="CB4" s="372"/>
      <c r="CC4" s="371"/>
      <c r="CD4" s="375"/>
      <c r="CE4" s="372"/>
      <c r="CF4" s="372"/>
      <c r="CG4" s="372"/>
      <c r="CH4" s="371"/>
      <c r="CI4" s="375"/>
      <c r="CJ4" s="372"/>
      <c r="CK4" s="372"/>
      <c r="CL4" s="372"/>
      <c r="CM4" s="373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6"/>
      <c r="DF4" s="28"/>
      <c r="DG4" s="26"/>
      <c r="DH4" s="28"/>
      <c r="DI4" s="26"/>
      <c r="DJ4" s="28"/>
      <c r="DK4" s="26"/>
      <c r="DL4" s="28"/>
      <c r="DM4" s="26"/>
      <c r="DN4" s="28"/>
      <c r="DO4" s="26"/>
      <c r="DP4" s="28"/>
      <c r="DQ4" s="28"/>
    </row>
    <row r="5" spans="1:121" s="21" customFormat="1" ht="408" customHeight="1">
      <c r="A5" s="22"/>
      <c r="H5" s="30" t="s">
        <v>18</v>
      </c>
      <c r="I5" s="203" t="s">
        <v>7</v>
      </c>
      <c r="J5" s="204"/>
      <c r="K5" s="313"/>
      <c r="L5" s="426" t="s">
        <v>69</v>
      </c>
      <c r="M5" s="427" t="s">
        <v>72</v>
      </c>
      <c r="N5" s="427" t="s">
        <v>71</v>
      </c>
      <c r="O5" s="427" t="s">
        <v>83</v>
      </c>
      <c r="P5" s="428" t="s">
        <v>82</v>
      </c>
      <c r="Q5" s="426"/>
      <c r="R5" s="427" t="s">
        <v>56</v>
      </c>
      <c r="S5" s="427" t="s">
        <v>59</v>
      </c>
      <c r="T5" s="427" t="s">
        <v>57</v>
      </c>
      <c r="U5" s="429" t="s">
        <v>58</v>
      </c>
      <c r="V5" s="430" t="s">
        <v>55</v>
      </c>
      <c r="W5" s="372" t="s">
        <v>93</v>
      </c>
      <c r="X5" s="372"/>
      <c r="Y5" s="372"/>
      <c r="Z5" s="373"/>
      <c r="AA5" s="374"/>
      <c r="AB5" s="372"/>
      <c r="AC5" s="372"/>
      <c r="AD5" s="372"/>
      <c r="AE5" s="371"/>
      <c r="AF5" s="375"/>
      <c r="AG5" s="372"/>
      <c r="AH5" s="372"/>
      <c r="AI5" s="372"/>
      <c r="AJ5" s="373"/>
      <c r="AK5" s="374"/>
      <c r="AL5" s="372"/>
      <c r="AM5" s="372"/>
      <c r="AN5" s="372"/>
      <c r="AO5" s="371"/>
      <c r="AP5" s="375"/>
      <c r="AQ5" s="372"/>
      <c r="AR5" s="372"/>
      <c r="AS5" s="372"/>
      <c r="AT5" s="373"/>
      <c r="AU5" s="374"/>
      <c r="AV5" s="372"/>
      <c r="AW5" s="372"/>
      <c r="AX5" s="372"/>
      <c r="AY5" s="371"/>
      <c r="AZ5" s="375"/>
      <c r="BA5" s="372"/>
      <c r="BB5" s="372"/>
      <c r="BC5" s="372"/>
      <c r="BD5" s="373"/>
      <c r="BE5" s="374"/>
      <c r="BF5" s="372"/>
      <c r="BG5" s="372"/>
      <c r="BH5" s="372"/>
      <c r="BI5" s="371"/>
      <c r="BJ5" s="375"/>
      <c r="BK5" s="372"/>
      <c r="BL5" s="372"/>
      <c r="BM5" s="372"/>
      <c r="BN5" s="373"/>
      <c r="BO5" s="374"/>
      <c r="BP5" s="372"/>
      <c r="BQ5" s="372"/>
      <c r="BR5" s="372"/>
      <c r="BS5" s="371"/>
      <c r="BT5" s="375"/>
      <c r="BU5" s="372"/>
      <c r="BV5" s="372"/>
      <c r="BW5" s="372"/>
      <c r="BX5" s="373"/>
      <c r="BY5" s="374"/>
      <c r="BZ5" s="372"/>
      <c r="CA5" s="372"/>
      <c r="CB5" s="372"/>
      <c r="CC5" s="371"/>
      <c r="CD5" s="375"/>
      <c r="CE5" s="372"/>
      <c r="CF5" s="372"/>
      <c r="CG5" s="372"/>
      <c r="CH5" s="371"/>
      <c r="CI5" s="375"/>
      <c r="CJ5" s="372"/>
      <c r="CK5" s="372"/>
      <c r="CL5" s="372"/>
      <c r="CM5" s="373"/>
      <c r="CN5" s="31"/>
      <c r="CO5" s="32"/>
      <c r="CP5" s="31"/>
      <c r="CQ5" s="32"/>
      <c r="CR5" s="31"/>
      <c r="CS5" s="32"/>
      <c r="CT5" s="31"/>
      <c r="CU5" s="32"/>
      <c r="CV5" s="31"/>
      <c r="CW5" s="33"/>
      <c r="CX5" s="31"/>
      <c r="CY5" s="33"/>
      <c r="CZ5" s="31"/>
      <c r="DA5" s="31"/>
      <c r="DB5" s="31"/>
      <c r="DC5" s="32"/>
      <c r="DD5" s="31"/>
      <c r="DE5" s="31"/>
      <c r="DF5" s="31"/>
      <c r="DG5" s="31"/>
      <c r="DH5" s="31"/>
      <c r="DI5" s="31"/>
      <c r="DJ5" s="31"/>
      <c r="DK5" s="32"/>
      <c r="DL5" s="31"/>
      <c r="DM5" s="33"/>
      <c r="DN5" s="31"/>
      <c r="DO5" s="31"/>
      <c r="DP5" s="31"/>
      <c r="DQ5" s="33"/>
    </row>
    <row r="6" spans="1:121" s="21" customFormat="1" ht="140.25" customHeight="1" thickBot="1">
      <c r="A6" s="22"/>
      <c r="D6" s="197"/>
      <c r="E6" s="197" t="s">
        <v>19</v>
      </c>
      <c r="I6" s="232" t="s">
        <v>20</v>
      </c>
      <c r="J6" s="233"/>
      <c r="K6" s="314"/>
      <c r="L6" s="431" t="s">
        <v>66</v>
      </c>
      <c r="M6" s="432" t="s">
        <v>64</v>
      </c>
      <c r="N6" s="432" t="s">
        <v>65</v>
      </c>
      <c r="O6" s="432" t="s">
        <v>67</v>
      </c>
      <c r="P6" s="433" t="s">
        <v>68</v>
      </c>
      <c r="Q6" s="431"/>
      <c r="R6" s="432" t="s">
        <v>21</v>
      </c>
      <c r="S6" s="432" t="s">
        <v>63</v>
      </c>
      <c r="T6" s="432" t="s">
        <v>61</v>
      </c>
      <c r="U6" s="434" t="s">
        <v>62</v>
      </c>
      <c r="V6" s="435" t="s">
        <v>60</v>
      </c>
      <c r="W6" s="393" t="s">
        <v>92</v>
      </c>
      <c r="X6" s="393"/>
      <c r="Y6" s="393"/>
      <c r="Z6" s="396"/>
      <c r="AA6" s="400"/>
      <c r="AB6" s="393"/>
      <c r="AC6" s="393"/>
      <c r="AD6" s="393"/>
      <c r="AE6" s="394"/>
      <c r="AF6" s="395"/>
      <c r="AG6" s="393"/>
      <c r="AH6" s="393"/>
      <c r="AI6" s="393"/>
      <c r="AJ6" s="396"/>
      <c r="AK6" s="400"/>
      <c r="AL6" s="393"/>
      <c r="AM6" s="393"/>
      <c r="AN6" s="393"/>
      <c r="AO6" s="394"/>
      <c r="AP6" s="395"/>
      <c r="AQ6" s="393"/>
      <c r="AR6" s="393"/>
      <c r="AS6" s="393"/>
      <c r="AT6" s="396"/>
      <c r="AU6" s="400"/>
      <c r="AV6" s="393"/>
      <c r="AW6" s="393"/>
      <c r="AX6" s="393"/>
      <c r="AY6" s="394"/>
      <c r="AZ6" s="395"/>
      <c r="BA6" s="393"/>
      <c r="BB6" s="393"/>
      <c r="BC6" s="393"/>
      <c r="BD6" s="396"/>
      <c r="BE6" s="400"/>
      <c r="BF6" s="393"/>
      <c r="BG6" s="393"/>
      <c r="BH6" s="393"/>
      <c r="BI6" s="394"/>
      <c r="BJ6" s="395"/>
      <c r="BK6" s="393"/>
      <c r="BL6" s="393"/>
      <c r="BM6" s="393"/>
      <c r="BN6" s="396"/>
      <c r="BO6" s="400"/>
      <c r="BP6" s="393"/>
      <c r="BQ6" s="393"/>
      <c r="BR6" s="393"/>
      <c r="BS6" s="394"/>
      <c r="BT6" s="395"/>
      <c r="BU6" s="393"/>
      <c r="BV6" s="393"/>
      <c r="BW6" s="393"/>
      <c r="BX6" s="396"/>
      <c r="BY6" s="400"/>
      <c r="BZ6" s="393"/>
      <c r="CA6" s="393"/>
      <c r="CB6" s="393"/>
      <c r="CC6" s="394"/>
      <c r="CD6" s="395"/>
      <c r="CE6" s="393"/>
      <c r="CF6" s="393"/>
      <c r="CG6" s="393"/>
      <c r="CH6" s="394"/>
      <c r="CI6" s="395"/>
      <c r="CJ6" s="393"/>
      <c r="CK6" s="393"/>
      <c r="CL6" s="393"/>
      <c r="CM6" s="396"/>
      <c r="CN6" s="28"/>
      <c r="CO6" s="28"/>
      <c r="CP6" s="28"/>
      <c r="CQ6" s="34"/>
      <c r="CR6" s="33"/>
      <c r="CS6" s="33"/>
      <c r="CT6" s="34"/>
      <c r="CU6" s="35"/>
      <c r="CV6" s="36"/>
      <c r="CW6" s="37"/>
      <c r="CX6" s="37"/>
      <c r="CY6" s="37"/>
      <c r="CZ6" s="38"/>
      <c r="DA6" s="39"/>
      <c r="DB6" s="39"/>
      <c r="DC6" s="39"/>
      <c r="DD6" s="28"/>
      <c r="DE6" s="39"/>
      <c r="DF6" s="40"/>
      <c r="DG6" s="39"/>
      <c r="DH6" s="40"/>
      <c r="DI6" s="39"/>
      <c r="DJ6" s="40"/>
      <c r="DK6" s="39"/>
      <c r="DL6" s="40"/>
      <c r="DM6" s="39"/>
      <c r="DN6" s="40"/>
      <c r="DO6" s="39"/>
      <c r="DP6" s="40"/>
      <c r="DQ6" s="40"/>
    </row>
    <row r="7" spans="1:121" s="41" customFormat="1" ht="25.5" customHeight="1">
      <c r="A7" s="221" t="s">
        <v>22</v>
      </c>
      <c r="B7" s="212" t="s">
        <v>23</v>
      </c>
      <c r="C7" s="212" t="s">
        <v>24</v>
      </c>
      <c r="D7" s="212" t="s">
        <v>25</v>
      </c>
      <c r="E7" s="212" t="s">
        <v>7</v>
      </c>
      <c r="F7" s="212" t="s">
        <v>26</v>
      </c>
      <c r="G7" s="212" t="s">
        <v>20</v>
      </c>
      <c r="H7" s="225" t="s">
        <v>27</v>
      </c>
      <c r="I7" s="318" t="s">
        <v>28</v>
      </c>
      <c r="J7" s="212"/>
      <c r="K7" s="319"/>
      <c r="L7" s="407"/>
      <c r="M7" s="402"/>
      <c r="N7" s="402"/>
      <c r="O7" s="402"/>
      <c r="P7" s="408"/>
      <c r="Q7" s="407"/>
      <c r="R7" s="402"/>
      <c r="S7" s="402"/>
      <c r="T7" s="402"/>
      <c r="U7" s="409"/>
      <c r="V7" s="401"/>
      <c r="W7" s="403" t="s">
        <v>93</v>
      </c>
      <c r="X7" s="403"/>
      <c r="Y7" s="403"/>
      <c r="Z7" s="406"/>
      <c r="AA7" s="410"/>
      <c r="AB7" s="403"/>
      <c r="AC7" s="403"/>
      <c r="AD7" s="403"/>
      <c r="AE7" s="404"/>
      <c r="AF7" s="405"/>
      <c r="AG7" s="403"/>
      <c r="AH7" s="403"/>
      <c r="AI7" s="403"/>
      <c r="AJ7" s="406"/>
      <c r="AK7" s="410"/>
      <c r="AL7" s="403"/>
      <c r="AM7" s="403"/>
      <c r="AN7" s="403"/>
      <c r="AO7" s="404"/>
      <c r="AP7" s="405"/>
      <c r="AQ7" s="403"/>
      <c r="AR7" s="403"/>
      <c r="AS7" s="403"/>
      <c r="AT7" s="406"/>
      <c r="AU7" s="410"/>
      <c r="AV7" s="403"/>
      <c r="AW7" s="403"/>
      <c r="AX7" s="403"/>
      <c r="AY7" s="404"/>
      <c r="AZ7" s="405"/>
      <c r="BA7" s="403"/>
      <c r="BB7" s="403"/>
      <c r="BC7" s="403"/>
      <c r="BD7" s="406"/>
      <c r="BE7" s="410"/>
      <c r="BF7" s="403"/>
      <c r="BG7" s="403"/>
      <c r="BH7" s="403"/>
      <c r="BI7" s="404"/>
      <c r="BJ7" s="405"/>
      <c r="BK7" s="403"/>
      <c r="BL7" s="403"/>
      <c r="BM7" s="403"/>
      <c r="BN7" s="406"/>
      <c r="BO7" s="410"/>
      <c r="BP7" s="403"/>
      <c r="BQ7" s="403"/>
      <c r="BR7" s="403"/>
      <c r="BS7" s="404"/>
      <c r="BT7" s="405"/>
      <c r="BU7" s="403"/>
      <c r="BV7" s="403"/>
      <c r="BW7" s="403"/>
      <c r="BX7" s="406"/>
      <c r="BY7" s="410"/>
      <c r="BZ7" s="403"/>
      <c r="CA7" s="403"/>
      <c r="CB7" s="403"/>
      <c r="CC7" s="404"/>
      <c r="CD7" s="405"/>
      <c r="CE7" s="403"/>
      <c r="CF7" s="403"/>
      <c r="CG7" s="403"/>
      <c r="CH7" s="404"/>
      <c r="CI7" s="405"/>
      <c r="CJ7" s="403"/>
      <c r="CK7" s="403"/>
      <c r="CL7" s="403"/>
      <c r="CM7" s="406"/>
    </row>
    <row r="8" spans="1:121" s="41" customFormat="1" ht="25.5" customHeight="1">
      <c r="A8" s="222"/>
      <c r="B8" s="213"/>
      <c r="C8" s="213"/>
      <c r="D8" s="213"/>
      <c r="E8" s="213"/>
      <c r="F8" s="213"/>
      <c r="G8" s="213"/>
      <c r="H8" s="226"/>
      <c r="I8" s="42"/>
      <c r="J8" s="214" t="s">
        <v>29</v>
      </c>
      <c r="K8" s="320"/>
      <c r="L8" s="388"/>
      <c r="M8" s="387"/>
      <c r="N8" s="387"/>
      <c r="O8" s="387"/>
      <c r="P8" s="389"/>
      <c r="Q8" s="388"/>
      <c r="R8" s="387"/>
      <c r="S8" s="387"/>
      <c r="T8" s="387"/>
      <c r="U8" s="390"/>
      <c r="V8" s="386"/>
      <c r="W8" s="372" t="s">
        <v>93</v>
      </c>
      <c r="X8" s="372"/>
      <c r="Y8" s="372"/>
      <c r="Z8" s="373"/>
      <c r="AA8" s="374"/>
      <c r="AB8" s="372"/>
      <c r="AC8" s="372"/>
      <c r="AD8" s="372"/>
      <c r="AE8" s="371"/>
      <c r="AF8" s="375"/>
      <c r="AG8" s="372"/>
      <c r="AH8" s="372"/>
      <c r="AI8" s="372"/>
      <c r="AJ8" s="373"/>
      <c r="AK8" s="374"/>
      <c r="AL8" s="372"/>
      <c r="AM8" s="372"/>
      <c r="AN8" s="372"/>
      <c r="AO8" s="371"/>
      <c r="AP8" s="375"/>
      <c r="AQ8" s="372"/>
      <c r="AR8" s="372"/>
      <c r="AS8" s="372"/>
      <c r="AT8" s="373"/>
      <c r="AU8" s="374"/>
      <c r="AV8" s="372"/>
      <c r="AW8" s="372"/>
      <c r="AX8" s="372"/>
      <c r="AY8" s="371"/>
      <c r="AZ8" s="375"/>
      <c r="BA8" s="372"/>
      <c r="BB8" s="372"/>
      <c r="BC8" s="372"/>
      <c r="BD8" s="373"/>
      <c r="BE8" s="374"/>
      <c r="BF8" s="372"/>
      <c r="BG8" s="372"/>
      <c r="BH8" s="372"/>
      <c r="BI8" s="371"/>
      <c r="BJ8" s="375"/>
      <c r="BK8" s="372"/>
      <c r="BL8" s="372"/>
      <c r="BM8" s="372"/>
      <c r="BN8" s="373"/>
      <c r="BO8" s="374"/>
      <c r="BP8" s="372"/>
      <c r="BQ8" s="372"/>
      <c r="BR8" s="372"/>
      <c r="BS8" s="371"/>
      <c r="BT8" s="375"/>
      <c r="BU8" s="372"/>
      <c r="BV8" s="372"/>
      <c r="BW8" s="372"/>
      <c r="BX8" s="373"/>
      <c r="BY8" s="374"/>
      <c r="BZ8" s="372"/>
      <c r="CA8" s="372"/>
      <c r="CB8" s="372"/>
      <c r="CC8" s="371"/>
      <c r="CD8" s="375"/>
      <c r="CE8" s="372"/>
      <c r="CF8" s="372"/>
      <c r="CG8" s="372"/>
      <c r="CH8" s="371"/>
      <c r="CI8" s="375"/>
      <c r="CJ8" s="372"/>
      <c r="CK8" s="372"/>
      <c r="CL8" s="372"/>
      <c r="CM8" s="373"/>
    </row>
    <row r="9" spans="1:121" s="41" customFormat="1" ht="25.5" customHeight="1" thickBot="1">
      <c r="A9" s="315"/>
      <c r="B9" s="316"/>
      <c r="C9" s="316"/>
      <c r="D9" s="316"/>
      <c r="E9" s="316"/>
      <c r="F9" s="316"/>
      <c r="G9" s="316"/>
      <c r="H9" s="317"/>
      <c r="I9" s="43"/>
      <c r="J9" s="191"/>
      <c r="K9" s="44" t="s">
        <v>30</v>
      </c>
      <c r="L9" s="413"/>
      <c r="M9" s="412"/>
      <c r="N9" s="412"/>
      <c r="O9" s="412"/>
      <c r="P9" s="414"/>
      <c r="Q9" s="413"/>
      <c r="R9" s="412"/>
      <c r="S9" s="412"/>
      <c r="T9" s="412"/>
      <c r="U9" s="415"/>
      <c r="V9" s="411"/>
      <c r="W9" s="377" t="s">
        <v>93</v>
      </c>
      <c r="X9" s="377"/>
      <c r="Y9" s="377"/>
      <c r="Z9" s="378"/>
      <c r="AA9" s="379"/>
      <c r="AB9" s="377"/>
      <c r="AC9" s="377"/>
      <c r="AD9" s="377"/>
      <c r="AE9" s="376"/>
      <c r="AF9" s="380"/>
      <c r="AG9" s="377"/>
      <c r="AH9" s="377"/>
      <c r="AI9" s="377"/>
      <c r="AJ9" s="378"/>
      <c r="AK9" s="379"/>
      <c r="AL9" s="377"/>
      <c r="AM9" s="377"/>
      <c r="AN9" s="377"/>
      <c r="AO9" s="376"/>
      <c r="AP9" s="380"/>
      <c r="AQ9" s="377"/>
      <c r="AR9" s="377"/>
      <c r="AS9" s="377"/>
      <c r="AT9" s="378"/>
      <c r="AU9" s="379"/>
      <c r="AV9" s="377"/>
      <c r="AW9" s="377"/>
      <c r="AX9" s="377"/>
      <c r="AY9" s="376"/>
      <c r="AZ9" s="380"/>
      <c r="BA9" s="377"/>
      <c r="BB9" s="377"/>
      <c r="BC9" s="377"/>
      <c r="BD9" s="378"/>
      <c r="BE9" s="379"/>
      <c r="BF9" s="377"/>
      <c r="BG9" s="377"/>
      <c r="BH9" s="377"/>
      <c r="BI9" s="376"/>
      <c r="BJ9" s="380"/>
      <c r="BK9" s="377"/>
      <c r="BL9" s="377"/>
      <c r="BM9" s="377"/>
      <c r="BN9" s="378"/>
      <c r="BO9" s="379"/>
      <c r="BP9" s="377"/>
      <c r="BQ9" s="377"/>
      <c r="BR9" s="377"/>
      <c r="BS9" s="376"/>
      <c r="BT9" s="380"/>
      <c r="BU9" s="377"/>
      <c r="BV9" s="377"/>
      <c r="BW9" s="377"/>
      <c r="BX9" s="378"/>
      <c r="BY9" s="379"/>
      <c r="BZ9" s="377"/>
      <c r="CA9" s="377"/>
      <c r="CB9" s="377"/>
      <c r="CC9" s="376"/>
      <c r="CD9" s="380"/>
      <c r="CE9" s="377"/>
      <c r="CF9" s="377"/>
      <c r="CG9" s="377"/>
      <c r="CH9" s="376"/>
      <c r="CI9" s="380"/>
      <c r="CJ9" s="377"/>
      <c r="CK9" s="377"/>
      <c r="CL9" s="377"/>
      <c r="CM9" s="378"/>
    </row>
    <row r="10" spans="1:121" ht="25.5" hidden="1" customHeight="1">
      <c r="A10" s="100">
        <v>3803</v>
      </c>
      <c r="B10" s="101" t="s">
        <v>11</v>
      </c>
      <c r="C10" s="101" t="s">
        <v>44</v>
      </c>
      <c r="D10" s="101" t="s">
        <v>76</v>
      </c>
      <c r="E10" s="102" t="s">
        <v>53</v>
      </c>
      <c r="F10" s="101"/>
      <c r="G10" s="102" t="s">
        <v>174</v>
      </c>
      <c r="H10" s="177" t="s">
        <v>54</v>
      </c>
      <c r="I10" s="104"/>
      <c r="J10" s="102"/>
      <c r="K10" s="103"/>
      <c r="L10" s="347" t="s">
        <v>78</v>
      </c>
      <c r="M10" s="342" t="s">
        <v>77</v>
      </c>
      <c r="N10" s="342"/>
      <c r="O10" s="342" t="s">
        <v>77</v>
      </c>
      <c r="P10" s="348" t="s">
        <v>77</v>
      </c>
      <c r="Q10" s="347"/>
      <c r="R10" s="342"/>
      <c r="S10" s="342"/>
      <c r="T10" s="342"/>
      <c r="U10" s="349" t="s">
        <v>80</v>
      </c>
      <c r="V10" s="341"/>
      <c r="W10" s="343"/>
      <c r="X10" s="343"/>
      <c r="Y10" s="343"/>
      <c r="Z10" s="346"/>
      <c r="AA10" s="350"/>
      <c r="AB10" s="343"/>
      <c r="AC10" s="343"/>
      <c r="AD10" s="343"/>
      <c r="AE10" s="344"/>
      <c r="AF10" s="345"/>
      <c r="AG10" s="343"/>
      <c r="AH10" s="343"/>
      <c r="AI10" s="343"/>
      <c r="AJ10" s="346"/>
      <c r="AK10" s="350"/>
      <c r="AL10" s="343"/>
      <c r="AM10" s="343"/>
      <c r="AN10" s="343"/>
      <c r="AO10" s="344"/>
      <c r="AP10" s="345"/>
      <c r="AQ10" s="343"/>
      <c r="AR10" s="343"/>
      <c r="AS10" s="343"/>
      <c r="AT10" s="346"/>
      <c r="AU10" s="350"/>
      <c r="AV10" s="343"/>
      <c r="AW10" s="343"/>
      <c r="AX10" s="343"/>
      <c r="AY10" s="344"/>
      <c r="AZ10" s="345"/>
      <c r="BA10" s="343"/>
      <c r="BB10" s="343"/>
      <c r="BC10" s="343"/>
      <c r="BD10" s="346"/>
      <c r="BE10" s="350"/>
      <c r="BF10" s="343"/>
      <c r="BG10" s="343"/>
      <c r="BH10" s="343"/>
      <c r="BI10" s="344"/>
      <c r="BJ10" s="345"/>
      <c r="BK10" s="343"/>
      <c r="BL10" s="343"/>
      <c r="BM10" s="343"/>
      <c r="BN10" s="346"/>
      <c r="BO10" s="350"/>
      <c r="BP10" s="343"/>
      <c r="BQ10" s="343"/>
      <c r="BR10" s="343"/>
      <c r="BS10" s="344"/>
      <c r="BT10" s="345"/>
      <c r="BU10" s="343"/>
      <c r="BV10" s="343"/>
      <c r="BW10" s="343"/>
      <c r="BX10" s="346"/>
      <c r="BY10" s="350"/>
      <c r="BZ10" s="343"/>
      <c r="CA10" s="343"/>
      <c r="CB10" s="343"/>
      <c r="CC10" s="344"/>
      <c r="CD10" s="345"/>
      <c r="CE10" s="343"/>
      <c r="CF10" s="343"/>
      <c r="CG10" s="343"/>
      <c r="CH10" s="344"/>
      <c r="CI10" s="345"/>
      <c r="CJ10" s="343"/>
      <c r="CK10" s="343"/>
      <c r="CL10" s="343"/>
      <c r="CM10" s="346"/>
      <c r="CN10" s="45"/>
      <c r="CO10" s="45"/>
      <c r="CP10" s="45"/>
      <c r="CQ10" s="45"/>
      <c r="CR10" s="45"/>
      <c r="CS10" s="45"/>
      <c r="CT10" s="45"/>
      <c r="CU10" s="45"/>
      <c r="CV10" s="45"/>
      <c r="CW10" s="45"/>
      <c r="CX10" s="45"/>
      <c r="CY10" s="45"/>
      <c r="CZ10" s="45"/>
      <c r="DA10" s="45"/>
      <c r="DB10" s="45"/>
      <c r="DC10" s="45"/>
      <c r="DD10" s="45"/>
      <c r="DE10" s="45"/>
      <c r="DF10" s="45"/>
      <c r="DG10" s="45"/>
      <c r="DH10" s="45"/>
      <c r="DI10" s="45"/>
      <c r="DJ10" s="45"/>
      <c r="DK10" s="45"/>
      <c r="DL10" s="45"/>
      <c r="DM10" s="45"/>
      <c r="DN10" s="45"/>
    </row>
    <row r="11" spans="1:121" ht="25.5" customHeight="1">
      <c r="A11" s="321">
        <v>3804</v>
      </c>
      <c r="B11" s="322" t="s">
        <v>11</v>
      </c>
      <c r="C11" s="322" t="s">
        <v>44</v>
      </c>
      <c r="D11" s="322" t="s">
        <v>76</v>
      </c>
      <c r="E11" s="323" t="s">
        <v>53</v>
      </c>
      <c r="F11" s="322"/>
      <c r="G11" s="323" t="s">
        <v>176</v>
      </c>
      <c r="H11" s="324" t="s">
        <v>54</v>
      </c>
      <c r="I11" s="325"/>
      <c r="J11" s="323"/>
      <c r="K11" s="326"/>
      <c r="L11" s="327" t="s">
        <v>78</v>
      </c>
      <c r="M11" s="322" t="s">
        <v>77</v>
      </c>
      <c r="N11" s="322"/>
      <c r="O11" s="322" t="s">
        <v>77</v>
      </c>
      <c r="P11" s="328" t="s">
        <v>77</v>
      </c>
      <c r="Q11" s="327"/>
      <c r="R11" s="322"/>
      <c r="S11" s="322"/>
      <c r="T11" s="322"/>
      <c r="U11" s="329" t="s">
        <v>80</v>
      </c>
      <c r="V11" s="321"/>
      <c r="W11" s="323"/>
      <c r="X11" s="323"/>
      <c r="Y11" s="323"/>
      <c r="Z11" s="326"/>
      <c r="AA11" s="330"/>
      <c r="AB11" s="323"/>
      <c r="AC11" s="323"/>
      <c r="AD11" s="323"/>
      <c r="AE11" s="324"/>
      <c r="AF11" s="325"/>
      <c r="AG11" s="323"/>
      <c r="AH11" s="323"/>
      <c r="AI11" s="323"/>
      <c r="AJ11" s="326"/>
      <c r="AK11" s="330"/>
      <c r="AL11" s="323"/>
      <c r="AM11" s="323"/>
      <c r="AN11" s="323"/>
      <c r="AO11" s="324"/>
      <c r="AP11" s="325"/>
      <c r="AQ11" s="323"/>
      <c r="AR11" s="323"/>
      <c r="AS11" s="323"/>
      <c r="AT11" s="326"/>
      <c r="AU11" s="330"/>
      <c r="AV11" s="323"/>
      <c r="AW11" s="323"/>
      <c r="AX11" s="323"/>
      <c r="AY11" s="324"/>
      <c r="AZ11" s="325"/>
      <c r="BA11" s="323"/>
      <c r="BB11" s="323"/>
      <c r="BC11" s="323"/>
      <c r="BD11" s="326"/>
      <c r="BE11" s="330"/>
      <c r="BF11" s="323"/>
      <c r="BG11" s="323"/>
      <c r="BH11" s="323"/>
      <c r="BI11" s="324"/>
      <c r="BJ11" s="325"/>
      <c r="BK11" s="323"/>
      <c r="BL11" s="323"/>
      <c r="BM11" s="323"/>
      <c r="BN11" s="326"/>
      <c r="BO11" s="330"/>
      <c r="BP11" s="323"/>
      <c r="BQ11" s="323"/>
      <c r="BR11" s="323"/>
      <c r="BS11" s="324"/>
      <c r="BT11" s="325"/>
      <c r="BU11" s="323"/>
      <c r="BV11" s="323"/>
      <c r="BW11" s="323"/>
      <c r="BX11" s="326"/>
      <c r="BY11" s="330"/>
      <c r="BZ11" s="323"/>
      <c r="CA11" s="323"/>
      <c r="CB11" s="323"/>
      <c r="CC11" s="324"/>
      <c r="CD11" s="325"/>
      <c r="CE11" s="323"/>
      <c r="CF11" s="323"/>
      <c r="CG11" s="323"/>
      <c r="CH11" s="324"/>
      <c r="CI11" s="325"/>
      <c r="CJ11" s="323"/>
      <c r="CK11" s="323"/>
      <c r="CL11" s="323"/>
      <c r="CM11" s="326"/>
      <c r="CN11" s="46"/>
      <c r="CO11" s="45"/>
      <c r="CP11" s="45"/>
      <c r="CQ11" s="45"/>
      <c r="CR11" s="46"/>
      <c r="CS11" s="45"/>
      <c r="CT11" s="45"/>
      <c r="CU11" s="45"/>
      <c r="CV11" s="45"/>
      <c r="CW11" s="45"/>
      <c r="CX11" s="46"/>
      <c r="CY11" s="45"/>
      <c r="CZ11" s="45"/>
      <c r="DA11" s="46"/>
      <c r="DB11" s="47"/>
      <c r="DC11" s="46"/>
      <c r="DD11" s="46"/>
      <c r="DE11" s="45"/>
      <c r="DF11" s="46"/>
      <c r="DG11" s="46"/>
      <c r="DH11" s="45"/>
      <c r="DI11" s="45"/>
      <c r="DJ11" s="45"/>
      <c r="DK11" s="45"/>
      <c r="DL11" s="45"/>
      <c r="DM11" s="45"/>
      <c r="DN11" s="45"/>
    </row>
    <row r="12" spans="1:121" ht="25.5" customHeight="1">
      <c r="A12" s="321">
        <v>3805</v>
      </c>
      <c r="B12" s="322" t="s">
        <v>11</v>
      </c>
      <c r="C12" s="322" t="s">
        <v>44</v>
      </c>
      <c r="D12" s="322" t="s">
        <v>76</v>
      </c>
      <c r="E12" s="323" t="s">
        <v>53</v>
      </c>
      <c r="F12" s="322"/>
      <c r="G12" s="323" t="s">
        <v>178</v>
      </c>
      <c r="H12" s="324" t="s">
        <v>54</v>
      </c>
      <c r="I12" s="325"/>
      <c r="J12" s="323"/>
      <c r="K12" s="326"/>
      <c r="L12" s="327" t="s">
        <v>78</v>
      </c>
      <c r="M12" s="322" t="s">
        <v>77</v>
      </c>
      <c r="N12" s="322"/>
      <c r="O12" s="322" t="s">
        <v>77</v>
      </c>
      <c r="P12" s="328" t="s">
        <v>77</v>
      </c>
      <c r="Q12" s="327"/>
      <c r="R12" s="322"/>
      <c r="S12" s="322"/>
      <c r="T12" s="322"/>
      <c r="U12" s="329" t="s">
        <v>80</v>
      </c>
      <c r="V12" s="321"/>
      <c r="W12" s="323"/>
      <c r="X12" s="323"/>
      <c r="Y12" s="323"/>
      <c r="Z12" s="326"/>
      <c r="AA12" s="330"/>
      <c r="AB12" s="323"/>
      <c r="AC12" s="323"/>
      <c r="AD12" s="323"/>
      <c r="AE12" s="324"/>
      <c r="AF12" s="325"/>
      <c r="AG12" s="323"/>
      <c r="AH12" s="323"/>
      <c r="AI12" s="323"/>
      <c r="AJ12" s="326"/>
      <c r="AK12" s="330"/>
      <c r="AL12" s="323"/>
      <c r="AM12" s="323"/>
      <c r="AN12" s="323"/>
      <c r="AO12" s="324"/>
      <c r="AP12" s="325"/>
      <c r="AQ12" s="323"/>
      <c r="AR12" s="323"/>
      <c r="AS12" s="323"/>
      <c r="AT12" s="326"/>
      <c r="AU12" s="330"/>
      <c r="AV12" s="323"/>
      <c r="AW12" s="323"/>
      <c r="AX12" s="323"/>
      <c r="AY12" s="324"/>
      <c r="AZ12" s="325"/>
      <c r="BA12" s="323"/>
      <c r="BB12" s="323"/>
      <c r="BC12" s="323"/>
      <c r="BD12" s="326"/>
      <c r="BE12" s="330"/>
      <c r="BF12" s="323"/>
      <c r="BG12" s="323"/>
      <c r="BH12" s="323"/>
      <c r="BI12" s="324"/>
      <c r="BJ12" s="325"/>
      <c r="BK12" s="323"/>
      <c r="BL12" s="323"/>
      <c r="BM12" s="323"/>
      <c r="BN12" s="326"/>
      <c r="BO12" s="330"/>
      <c r="BP12" s="323"/>
      <c r="BQ12" s="323"/>
      <c r="BR12" s="323"/>
      <c r="BS12" s="324"/>
      <c r="BT12" s="325"/>
      <c r="BU12" s="323"/>
      <c r="BV12" s="323"/>
      <c r="BW12" s="323"/>
      <c r="BX12" s="326"/>
      <c r="BY12" s="330"/>
      <c r="BZ12" s="323"/>
      <c r="CA12" s="323"/>
      <c r="CB12" s="323"/>
      <c r="CC12" s="324"/>
      <c r="CD12" s="325"/>
      <c r="CE12" s="323"/>
      <c r="CF12" s="323"/>
      <c r="CG12" s="323"/>
      <c r="CH12" s="324"/>
      <c r="CI12" s="325"/>
      <c r="CJ12" s="323"/>
      <c r="CK12" s="323"/>
      <c r="CL12" s="323"/>
      <c r="CM12" s="326"/>
      <c r="CN12" s="45"/>
      <c r="CO12" s="45"/>
      <c r="CP12" s="45"/>
      <c r="CQ12" s="45"/>
      <c r="CR12" s="45"/>
      <c r="CS12" s="45"/>
      <c r="CT12" s="45"/>
      <c r="CU12" s="45"/>
      <c r="CV12" s="45"/>
      <c r="CW12" s="45"/>
      <c r="CX12" s="46"/>
      <c r="CY12" s="45"/>
      <c r="CZ12" s="45"/>
      <c r="DA12" s="46"/>
      <c r="DB12" s="45"/>
      <c r="DC12" s="46"/>
      <c r="DD12" s="46"/>
      <c r="DE12" s="45"/>
      <c r="DF12" s="46"/>
      <c r="DG12" s="46"/>
      <c r="DH12" s="45"/>
      <c r="DI12" s="45"/>
      <c r="DJ12" s="45"/>
      <c r="DK12" s="45"/>
      <c r="DL12" s="45"/>
      <c r="DM12" s="45"/>
      <c r="DN12" s="45"/>
    </row>
    <row r="13" spans="1:121" ht="25.5" hidden="1" customHeight="1">
      <c r="A13" s="321">
        <v>3806</v>
      </c>
      <c r="B13" s="322" t="s">
        <v>11</v>
      </c>
      <c r="C13" s="322" t="s">
        <v>44</v>
      </c>
      <c r="D13" s="322" t="s">
        <v>76</v>
      </c>
      <c r="E13" s="323" t="s">
        <v>53</v>
      </c>
      <c r="F13" s="322"/>
      <c r="G13" s="323" t="s">
        <v>180</v>
      </c>
      <c r="H13" s="324" t="s">
        <v>54</v>
      </c>
      <c r="I13" s="325"/>
      <c r="J13" s="323"/>
      <c r="K13" s="326"/>
      <c r="L13" s="327" t="s">
        <v>78</v>
      </c>
      <c r="M13" s="322" t="s">
        <v>77</v>
      </c>
      <c r="N13" s="322"/>
      <c r="O13" s="322" t="s">
        <v>77</v>
      </c>
      <c r="P13" s="328" t="s">
        <v>77</v>
      </c>
      <c r="Q13" s="327"/>
      <c r="R13" s="322"/>
      <c r="S13" s="322"/>
      <c r="T13" s="322"/>
      <c r="U13" s="329" t="s">
        <v>80</v>
      </c>
      <c r="V13" s="321"/>
      <c r="W13" s="323"/>
      <c r="X13" s="323"/>
      <c r="Y13" s="323"/>
      <c r="Z13" s="326"/>
      <c r="AA13" s="330"/>
      <c r="AB13" s="323"/>
      <c r="AC13" s="323"/>
      <c r="AD13" s="323"/>
      <c r="AE13" s="324"/>
      <c r="AF13" s="325"/>
      <c r="AG13" s="323"/>
      <c r="AH13" s="323"/>
      <c r="AI13" s="323"/>
      <c r="AJ13" s="326"/>
      <c r="AK13" s="330"/>
      <c r="AL13" s="323"/>
      <c r="AM13" s="323"/>
      <c r="AN13" s="323"/>
      <c r="AO13" s="324"/>
      <c r="AP13" s="325"/>
      <c r="AQ13" s="323"/>
      <c r="AR13" s="323"/>
      <c r="AS13" s="323"/>
      <c r="AT13" s="326"/>
      <c r="AU13" s="330"/>
      <c r="AV13" s="323"/>
      <c r="AW13" s="323"/>
      <c r="AX13" s="323"/>
      <c r="AY13" s="324"/>
      <c r="AZ13" s="325"/>
      <c r="BA13" s="323"/>
      <c r="BB13" s="323"/>
      <c r="BC13" s="323"/>
      <c r="BD13" s="326"/>
      <c r="BE13" s="330"/>
      <c r="BF13" s="323"/>
      <c r="BG13" s="323"/>
      <c r="BH13" s="323"/>
      <c r="BI13" s="324"/>
      <c r="BJ13" s="325"/>
      <c r="BK13" s="323"/>
      <c r="BL13" s="323"/>
      <c r="BM13" s="323"/>
      <c r="BN13" s="326"/>
      <c r="BO13" s="330"/>
      <c r="BP13" s="323"/>
      <c r="BQ13" s="323"/>
      <c r="BR13" s="323"/>
      <c r="BS13" s="324"/>
      <c r="BT13" s="325"/>
      <c r="BU13" s="323"/>
      <c r="BV13" s="323"/>
      <c r="BW13" s="323"/>
      <c r="BX13" s="326"/>
      <c r="BY13" s="330"/>
      <c r="BZ13" s="323"/>
      <c r="CA13" s="323"/>
      <c r="CB13" s="323"/>
      <c r="CC13" s="324"/>
      <c r="CD13" s="325"/>
      <c r="CE13" s="323"/>
      <c r="CF13" s="323"/>
      <c r="CG13" s="323"/>
      <c r="CH13" s="324"/>
      <c r="CI13" s="325"/>
      <c r="CJ13" s="323"/>
      <c r="CK13" s="323"/>
      <c r="CL13" s="323"/>
      <c r="CM13" s="326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  <c r="DA13" s="45"/>
      <c r="DB13" s="45"/>
      <c r="DC13" s="45"/>
      <c r="DD13" s="45"/>
      <c r="DE13" s="45"/>
      <c r="DF13" s="45"/>
      <c r="DG13" s="46"/>
      <c r="DH13" s="45"/>
      <c r="DI13" s="45"/>
      <c r="DJ13" s="45"/>
      <c r="DK13" s="45"/>
      <c r="DL13" s="45"/>
      <c r="DM13" s="45"/>
      <c r="DN13" s="45"/>
    </row>
    <row r="14" spans="1:121" ht="25.5" hidden="1" customHeight="1" thickBot="1">
      <c r="A14" s="331">
        <v>3807</v>
      </c>
      <c r="B14" s="332" t="s">
        <v>11</v>
      </c>
      <c r="C14" s="332" t="s">
        <v>44</v>
      </c>
      <c r="D14" s="332" t="s">
        <v>76</v>
      </c>
      <c r="E14" s="333" t="s">
        <v>53</v>
      </c>
      <c r="F14" s="332"/>
      <c r="G14" s="333" t="s">
        <v>182</v>
      </c>
      <c r="H14" s="334" t="s">
        <v>54</v>
      </c>
      <c r="I14" s="335"/>
      <c r="J14" s="333"/>
      <c r="K14" s="336"/>
      <c r="L14" s="337" t="s">
        <v>78</v>
      </c>
      <c r="M14" s="332" t="s">
        <v>77</v>
      </c>
      <c r="N14" s="332"/>
      <c r="O14" s="332" t="s">
        <v>77</v>
      </c>
      <c r="P14" s="338" t="s">
        <v>77</v>
      </c>
      <c r="Q14" s="337"/>
      <c r="R14" s="332"/>
      <c r="S14" s="332"/>
      <c r="T14" s="332"/>
      <c r="U14" s="339" t="s">
        <v>80</v>
      </c>
      <c r="V14" s="331"/>
      <c r="W14" s="333"/>
      <c r="X14" s="333"/>
      <c r="Y14" s="333"/>
      <c r="Z14" s="336"/>
      <c r="AA14" s="340"/>
      <c r="AB14" s="333"/>
      <c r="AC14" s="333"/>
      <c r="AD14" s="333"/>
      <c r="AE14" s="334"/>
      <c r="AF14" s="335"/>
      <c r="AG14" s="333"/>
      <c r="AH14" s="333"/>
      <c r="AI14" s="333"/>
      <c r="AJ14" s="336"/>
      <c r="AK14" s="340"/>
      <c r="AL14" s="333"/>
      <c r="AM14" s="333"/>
      <c r="AN14" s="333"/>
      <c r="AO14" s="334"/>
      <c r="AP14" s="335"/>
      <c r="AQ14" s="333"/>
      <c r="AR14" s="333"/>
      <c r="AS14" s="333"/>
      <c r="AT14" s="336"/>
      <c r="AU14" s="340"/>
      <c r="AV14" s="333"/>
      <c r="AW14" s="333"/>
      <c r="AX14" s="333"/>
      <c r="AY14" s="334"/>
      <c r="AZ14" s="335"/>
      <c r="BA14" s="333"/>
      <c r="BB14" s="333"/>
      <c r="BC14" s="333"/>
      <c r="BD14" s="336"/>
      <c r="BE14" s="340"/>
      <c r="BF14" s="333"/>
      <c r="BG14" s="333"/>
      <c r="BH14" s="333"/>
      <c r="BI14" s="334"/>
      <c r="BJ14" s="335"/>
      <c r="BK14" s="333"/>
      <c r="BL14" s="333"/>
      <c r="BM14" s="333"/>
      <c r="BN14" s="336"/>
      <c r="BO14" s="340"/>
      <c r="BP14" s="333"/>
      <c r="BQ14" s="333"/>
      <c r="BR14" s="333"/>
      <c r="BS14" s="334"/>
      <c r="BT14" s="335"/>
      <c r="BU14" s="333"/>
      <c r="BV14" s="333"/>
      <c r="BW14" s="333"/>
      <c r="BX14" s="336"/>
      <c r="BY14" s="340"/>
      <c r="BZ14" s="333"/>
      <c r="CA14" s="333"/>
      <c r="CB14" s="333"/>
      <c r="CC14" s="334"/>
      <c r="CD14" s="335"/>
      <c r="CE14" s="333"/>
      <c r="CF14" s="333"/>
      <c r="CG14" s="333"/>
      <c r="CH14" s="334"/>
      <c r="CI14" s="335"/>
      <c r="CJ14" s="333"/>
      <c r="CK14" s="333"/>
      <c r="CL14" s="333"/>
      <c r="CM14" s="336"/>
      <c r="CN14" s="45"/>
      <c r="CO14" s="45"/>
      <c r="CP14" s="45"/>
      <c r="CQ14" s="45"/>
      <c r="CR14" s="45"/>
      <c r="CS14" s="45"/>
      <c r="CT14" s="45"/>
      <c r="CU14" s="45"/>
      <c r="CV14" s="45"/>
      <c r="CW14" s="45"/>
      <c r="CX14" s="45"/>
      <c r="CY14" s="45"/>
      <c r="CZ14" s="45"/>
      <c r="DA14" s="45"/>
      <c r="DB14" s="45"/>
      <c r="DC14" s="45"/>
      <c r="DD14" s="45"/>
      <c r="DE14" s="45"/>
      <c r="DF14" s="45"/>
      <c r="DG14" s="46"/>
      <c r="DH14" s="45"/>
      <c r="DI14" s="45"/>
      <c r="DJ14" s="45"/>
      <c r="DK14" s="45"/>
      <c r="DL14" s="45"/>
      <c r="DM14" s="45"/>
      <c r="DN14" s="45"/>
    </row>
    <row r="15" spans="1:121" ht="25.5" customHeight="1">
      <c r="A15" s="341">
        <v>3808</v>
      </c>
      <c r="B15" s="342" t="s">
        <v>11</v>
      </c>
      <c r="C15" s="342" t="s">
        <v>44</v>
      </c>
      <c r="D15" s="342" t="s">
        <v>76</v>
      </c>
      <c r="E15" s="343" t="s">
        <v>53</v>
      </c>
      <c r="F15" s="342"/>
      <c r="G15" s="343" t="s">
        <v>184</v>
      </c>
      <c r="H15" s="344" t="s">
        <v>54</v>
      </c>
      <c r="I15" s="345"/>
      <c r="J15" s="343"/>
      <c r="K15" s="346"/>
      <c r="L15" s="347" t="s">
        <v>78</v>
      </c>
      <c r="M15" s="342" t="s">
        <v>77</v>
      </c>
      <c r="N15" s="342"/>
      <c r="O15" s="342" t="s">
        <v>77</v>
      </c>
      <c r="P15" s="348" t="s">
        <v>77</v>
      </c>
      <c r="Q15" s="347"/>
      <c r="R15" s="342"/>
      <c r="S15" s="342"/>
      <c r="T15" s="342"/>
      <c r="U15" s="349" t="s">
        <v>80</v>
      </c>
      <c r="V15" s="341"/>
      <c r="W15" s="343"/>
      <c r="X15" s="343"/>
      <c r="Y15" s="343"/>
      <c r="Z15" s="346"/>
      <c r="AA15" s="350"/>
      <c r="AB15" s="343"/>
      <c r="AC15" s="343"/>
      <c r="AD15" s="343"/>
      <c r="AE15" s="344"/>
      <c r="AF15" s="345"/>
      <c r="AG15" s="343"/>
      <c r="AH15" s="343"/>
      <c r="AI15" s="343"/>
      <c r="AJ15" s="346"/>
      <c r="AK15" s="350"/>
      <c r="AL15" s="343"/>
      <c r="AM15" s="343"/>
      <c r="AN15" s="343"/>
      <c r="AO15" s="344"/>
      <c r="AP15" s="345"/>
      <c r="AQ15" s="343"/>
      <c r="AR15" s="343"/>
      <c r="AS15" s="343"/>
      <c r="AT15" s="346"/>
      <c r="AU15" s="350"/>
      <c r="AV15" s="343"/>
      <c r="AW15" s="343"/>
      <c r="AX15" s="343"/>
      <c r="AY15" s="344"/>
      <c r="AZ15" s="345"/>
      <c r="BA15" s="343"/>
      <c r="BB15" s="343"/>
      <c r="BC15" s="343"/>
      <c r="BD15" s="346"/>
      <c r="BE15" s="350"/>
      <c r="BF15" s="343"/>
      <c r="BG15" s="343"/>
      <c r="BH15" s="343"/>
      <c r="BI15" s="344"/>
      <c r="BJ15" s="345"/>
      <c r="BK15" s="343"/>
      <c r="BL15" s="343"/>
      <c r="BM15" s="343"/>
      <c r="BN15" s="346"/>
      <c r="BO15" s="350"/>
      <c r="BP15" s="343"/>
      <c r="BQ15" s="343"/>
      <c r="BR15" s="343"/>
      <c r="BS15" s="344"/>
      <c r="BT15" s="345"/>
      <c r="BU15" s="343"/>
      <c r="BV15" s="343"/>
      <c r="BW15" s="343"/>
      <c r="BX15" s="346"/>
      <c r="BY15" s="350"/>
      <c r="BZ15" s="343"/>
      <c r="CA15" s="343"/>
      <c r="CB15" s="343"/>
      <c r="CC15" s="344"/>
      <c r="CD15" s="345"/>
      <c r="CE15" s="343"/>
      <c r="CF15" s="343"/>
      <c r="CG15" s="343"/>
      <c r="CH15" s="344"/>
      <c r="CI15" s="345"/>
      <c r="CJ15" s="343"/>
      <c r="CK15" s="343"/>
      <c r="CL15" s="343"/>
      <c r="CM15" s="346"/>
      <c r="CN15" s="45"/>
      <c r="CO15" s="45"/>
      <c r="CP15" s="46"/>
      <c r="CQ15" s="45"/>
      <c r="CR15" s="45"/>
      <c r="CS15" s="45"/>
      <c r="CT15" s="45"/>
      <c r="CU15" s="45"/>
      <c r="CV15" s="45"/>
      <c r="CW15" s="45"/>
      <c r="CX15" s="46"/>
      <c r="CY15" s="45"/>
      <c r="CZ15" s="45"/>
      <c r="DA15" s="46"/>
      <c r="DB15" s="45"/>
      <c r="DC15" s="46"/>
      <c r="DD15" s="46"/>
      <c r="DE15" s="45"/>
      <c r="DF15" s="46"/>
      <c r="DG15" s="46"/>
      <c r="DH15" s="45"/>
      <c r="DI15" s="46"/>
      <c r="DJ15" s="46"/>
      <c r="DK15" s="45"/>
      <c r="DL15" s="46"/>
      <c r="DM15" s="45"/>
      <c r="DN15" s="45"/>
    </row>
    <row r="16" spans="1:121" ht="25.5" customHeight="1">
      <c r="A16" s="321">
        <v>3809</v>
      </c>
      <c r="B16" s="322" t="s">
        <v>11</v>
      </c>
      <c r="C16" s="322" t="s">
        <v>44</v>
      </c>
      <c r="D16" s="322" t="s">
        <v>76</v>
      </c>
      <c r="E16" s="323" t="s">
        <v>53</v>
      </c>
      <c r="F16" s="322"/>
      <c r="G16" s="323" t="s">
        <v>186</v>
      </c>
      <c r="H16" s="324" t="s">
        <v>54</v>
      </c>
      <c r="I16" s="325"/>
      <c r="J16" s="323"/>
      <c r="K16" s="326"/>
      <c r="L16" s="327" t="s">
        <v>78</v>
      </c>
      <c r="M16" s="322" t="s">
        <v>77</v>
      </c>
      <c r="N16" s="322"/>
      <c r="O16" s="322" t="s">
        <v>77</v>
      </c>
      <c r="P16" s="328" t="s">
        <v>77</v>
      </c>
      <c r="Q16" s="327"/>
      <c r="R16" s="322"/>
      <c r="S16" s="322"/>
      <c r="T16" s="322"/>
      <c r="U16" s="329" t="s">
        <v>80</v>
      </c>
      <c r="V16" s="321"/>
      <c r="W16" s="323"/>
      <c r="X16" s="323"/>
      <c r="Y16" s="323"/>
      <c r="Z16" s="326"/>
      <c r="AA16" s="330"/>
      <c r="AB16" s="323"/>
      <c r="AC16" s="323"/>
      <c r="AD16" s="323"/>
      <c r="AE16" s="324"/>
      <c r="AF16" s="325"/>
      <c r="AG16" s="323"/>
      <c r="AH16" s="323"/>
      <c r="AI16" s="323"/>
      <c r="AJ16" s="326"/>
      <c r="AK16" s="330"/>
      <c r="AL16" s="323"/>
      <c r="AM16" s="323"/>
      <c r="AN16" s="323"/>
      <c r="AO16" s="324"/>
      <c r="AP16" s="325"/>
      <c r="AQ16" s="323"/>
      <c r="AR16" s="323"/>
      <c r="AS16" s="323"/>
      <c r="AT16" s="326"/>
      <c r="AU16" s="330"/>
      <c r="AV16" s="323"/>
      <c r="AW16" s="323"/>
      <c r="AX16" s="323"/>
      <c r="AY16" s="324"/>
      <c r="AZ16" s="325"/>
      <c r="BA16" s="323"/>
      <c r="BB16" s="323"/>
      <c r="BC16" s="323"/>
      <c r="BD16" s="326"/>
      <c r="BE16" s="330"/>
      <c r="BF16" s="323"/>
      <c r="BG16" s="323"/>
      <c r="BH16" s="323"/>
      <c r="BI16" s="324"/>
      <c r="BJ16" s="325"/>
      <c r="BK16" s="323"/>
      <c r="BL16" s="323"/>
      <c r="BM16" s="323"/>
      <c r="BN16" s="326"/>
      <c r="BO16" s="330"/>
      <c r="BP16" s="323"/>
      <c r="BQ16" s="323"/>
      <c r="BR16" s="323"/>
      <c r="BS16" s="324"/>
      <c r="BT16" s="325"/>
      <c r="BU16" s="323"/>
      <c r="BV16" s="323"/>
      <c r="BW16" s="323"/>
      <c r="BX16" s="326"/>
      <c r="BY16" s="330"/>
      <c r="BZ16" s="323"/>
      <c r="CA16" s="323"/>
      <c r="CB16" s="323"/>
      <c r="CC16" s="324"/>
      <c r="CD16" s="325"/>
      <c r="CE16" s="323"/>
      <c r="CF16" s="323"/>
      <c r="CG16" s="323"/>
      <c r="CH16" s="324"/>
      <c r="CI16" s="325"/>
      <c r="CJ16" s="323"/>
      <c r="CK16" s="323"/>
      <c r="CL16" s="323"/>
      <c r="CM16" s="326"/>
      <c r="CN16" s="45"/>
      <c r="CO16" s="45"/>
      <c r="CP16" s="45"/>
      <c r="CQ16" s="45"/>
      <c r="CR16" s="45"/>
      <c r="CS16" s="45"/>
      <c r="CT16" s="45"/>
      <c r="CU16" s="45"/>
      <c r="CV16" s="45"/>
      <c r="CW16" s="45"/>
      <c r="CX16" s="45"/>
      <c r="CY16" s="45"/>
      <c r="CZ16" s="45"/>
      <c r="DA16" s="45"/>
      <c r="DB16" s="45"/>
      <c r="DC16" s="45"/>
      <c r="DD16" s="45"/>
      <c r="DE16" s="45"/>
      <c r="DF16" s="45"/>
      <c r="DG16" s="45"/>
      <c r="DH16" s="45"/>
      <c r="DI16" s="45"/>
      <c r="DJ16" s="45"/>
      <c r="DK16" s="45"/>
      <c r="DL16" s="45"/>
      <c r="DM16" s="45"/>
      <c r="DN16" s="45"/>
    </row>
    <row r="17" spans="1:118" ht="25.5" customHeight="1">
      <c r="A17" s="321">
        <v>3810</v>
      </c>
      <c r="B17" s="322" t="s">
        <v>11</v>
      </c>
      <c r="C17" s="322" t="s">
        <v>44</v>
      </c>
      <c r="D17" s="322" t="s">
        <v>76</v>
      </c>
      <c r="E17" s="323" t="s">
        <v>53</v>
      </c>
      <c r="F17" s="322"/>
      <c r="G17" s="323" t="s">
        <v>188</v>
      </c>
      <c r="H17" s="324" t="s">
        <v>54</v>
      </c>
      <c r="I17" s="325"/>
      <c r="J17" s="323"/>
      <c r="K17" s="326"/>
      <c r="L17" s="327" t="s">
        <v>78</v>
      </c>
      <c r="M17" s="322" t="s">
        <v>77</v>
      </c>
      <c r="N17" s="322"/>
      <c r="O17" s="322" t="s">
        <v>77</v>
      </c>
      <c r="P17" s="328" t="s">
        <v>77</v>
      </c>
      <c r="Q17" s="327"/>
      <c r="R17" s="322"/>
      <c r="S17" s="322"/>
      <c r="T17" s="322"/>
      <c r="U17" s="329" t="s">
        <v>80</v>
      </c>
      <c r="V17" s="321"/>
      <c r="W17" s="323"/>
      <c r="X17" s="323"/>
      <c r="Y17" s="323"/>
      <c r="Z17" s="326"/>
      <c r="AA17" s="330"/>
      <c r="AB17" s="323"/>
      <c r="AC17" s="323"/>
      <c r="AD17" s="323"/>
      <c r="AE17" s="324"/>
      <c r="AF17" s="325"/>
      <c r="AG17" s="323"/>
      <c r="AH17" s="323"/>
      <c r="AI17" s="323"/>
      <c r="AJ17" s="326"/>
      <c r="AK17" s="330"/>
      <c r="AL17" s="323"/>
      <c r="AM17" s="323"/>
      <c r="AN17" s="323"/>
      <c r="AO17" s="324"/>
      <c r="AP17" s="325"/>
      <c r="AQ17" s="323"/>
      <c r="AR17" s="323"/>
      <c r="AS17" s="323"/>
      <c r="AT17" s="326"/>
      <c r="AU17" s="330"/>
      <c r="AV17" s="323"/>
      <c r="AW17" s="323"/>
      <c r="AX17" s="323"/>
      <c r="AY17" s="324"/>
      <c r="AZ17" s="325"/>
      <c r="BA17" s="323"/>
      <c r="BB17" s="323"/>
      <c r="BC17" s="323"/>
      <c r="BD17" s="326"/>
      <c r="BE17" s="330"/>
      <c r="BF17" s="323"/>
      <c r="BG17" s="323"/>
      <c r="BH17" s="323"/>
      <c r="BI17" s="324"/>
      <c r="BJ17" s="325"/>
      <c r="BK17" s="323"/>
      <c r="BL17" s="323"/>
      <c r="BM17" s="323"/>
      <c r="BN17" s="326"/>
      <c r="BO17" s="330"/>
      <c r="BP17" s="323"/>
      <c r="BQ17" s="323"/>
      <c r="BR17" s="323"/>
      <c r="BS17" s="324"/>
      <c r="BT17" s="325"/>
      <c r="BU17" s="323"/>
      <c r="BV17" s="323"/>
      <c r="BW17" s="323"/>
      <c r="BX17" s="326"/>
      <c r="BY17" s="330"/>
      <c r="BZ17" s="323"/>
      <c r="CA17" s="323"/>
      <c r="CB17" s="323"/>
      <c r="CC17" s="324"/>
      <c r="CD17" s="325"/>
      <c r="CE17" s="323"/>
      <c r="CF17" s="323"/>
      <c r="CG17" s="323"/>
      <c r="CH17" s="324"/>
      <c r="CI17" s="325"/>
      <c r="CJ17" s="323"/>
      <c r="CK17" s="323"/>
      <c r="CL17" s="323"/>
      <c r="CM17" s="326"/>
      <c r="CN17" s="45"/>
      <c r="CO17" s="45"/>
      <c r="CP17" s="45"/>
      <c r="CQ17" s="45"/>
      <c r="CR17" s="45"/>
      <c r="CS17" s="45"/>
      <c r="CT17" s="45"/>
      <c r="CU17" s="45"/>
      <c r="CV17" s="45"/>
      <c r="CW17" s="45"/>
      <c r="CX17" s="45"/>
      <c r="CY17" s="45"/>
      <c r="CZ17" s="45"/>
      <c r="DA17" s="45"/>
      <c r="DB17" s="45"/>
      <c r="DC17" s="45"/>
      <c r="DD17" s="45"/>
      <c r="DE17" s="45"/>
      <c r="DF17" s="45"/>
      <c r="DG17" s="45"/>
      <c r="DH17" s="45"/>
      <c r="DI17" s="45"/>
      <c r="DJ17" s="45"/>
      <c r="DK17" s="45"/>
      <c r="DL17" s="45"/>
      <c r="DM17" s="45"/>
      <c r="DN17" s="45"/>
    </row>
    <row r="18" spans="1:118" ht="25.5" customHeight="1">
      <c r="A18" s="321">
        <v>3811</v>
      </c>
      <c r="B18" s="322" t="s">
        <v>11</v>
      </c>
      <c r="C18" s="322" t="s">
        <v>44</v>
      </c>
      <c r="D18" s="322" t="s">
        <v>76</v>
      </c>
      <c r="E18" s="323" t="s">
        <v>53</v>
      </c>
      <c r="F18" s="322"/>
      <c r="G18" s="323" t="s">
        <v>190</v>
      </c>
      <c r="H18" s="324" t="s">
        <v>54</v>
      </c>
      <c r="I18" s="325"/>
      <c r="J18" s="323"/>
      <c r="K18" s="326"/>
      <c r="L18" s="327" t="s">
        <v>78</v>
      </c>
      <c r="M18" s="322" t="s">
        <v>77</v>
      </c>
      <c r="N18" s="322"/>
      <c r="O18" s="322" t="s">
        <v>77</v>
      </c>
      <c r="P18" s="328" t="s">
        <v>77</v>
      </c>
      <c r="Q18" s="327"/>
      <c r="R18" s="322"/>
      <c r="S18" s="322"/>
      <c r="T18" s="322"/>
      <c r="U18" s="329" t="s">
        <v>80</v>
      </c>
      <c r="V18" s="321"/>
      <c r="W18" s="323"/>
      <c r="X18" s="323"/>
      <c r="Y18" s="323"/>
      <c r="Z18" s="326"/>
      <c r="AA18" s="330"/>
      <c r="AB18" s="323"/>
      <c r="AC18" s="323"/>
      <c r="AD18" s="323"/>
      <c r="AE18" s="324"/>
      <c r="AF18" s="325"/>
      <c r="AG18" s="323"/>
      <c r="AH18" s="323"/>
      <c r="AI18" s="323"/>
      <c r="AJ18" s="326"/>
      <c r="AK18" s="330"/>
      <c r="AL18" s="323"/>
      <c r="AM18" s="323"/>
      <c r="AN18" s="323"/>
      <c r="AO18" s="324"/>
      <c r="AP18" s="325"/>
      <c r="AQ18" s="323"/>
      <c r="AR18" s="323"/>
      <c r="AS18" s="323"/>
      <c r="AT18" s="326"/>
      <c r="AU18" s="330"/>
      <c r="AV18" s="323"/>
      <c r="AW18" s="323"/>
      <c r="AX18" s="323"/>
      <c r="AY18" s="324"/>
      <c r="AZ18" s="325"/>
      <c r="BA18" s="323"/>
      <c r="BB18" s="323"/>
      <c r="BC18" s="323"/>
      <c r="BD18" s="326"/>
      <c r="BE18" s="330"/>
      <c r="BF18" s="323"/>
      <c r="BG18" s="323"/>
      <c r="BH18" s="323"/>
      <c r="BI18" s="324"/>
      <c r="BJ18" s="325"/>
      <c r="BK18" s="323"/>
      <c r="BL18" s="323"/>
      <c r="BM18" s="323"/>
      <c r="BN18" s="326"/>
      <c r="BO18" s="330"/>
      <c r="BP18" s="323"/>
      <c r="BQ18" s="323"/>
      <c r="BR18" s="323"/>
      <c r="BS18" s="324"/>
      <c r="BT18" s="325"/>
      <c r="BU18" s="323"/>
      <c r="BV18" s="323"/>
      <c r="BW18" s="323"/>
      <c r="BX18" s="326"/>
      <c r="BY18" s="330"/>
      <c r="BZ18" s="323"/>
      <c r="CA18" s="323"/>
      <c r="CB18" s="323"/>
      <c r="CC18" s="324"/>
      <c r="CD18" s="325"/>
      <c r="CE18" s="323"/>
      <c r="CF18" s="323"/>
      <c r="CG18" s="323"/>
      <c r="CH18" s="324"/>
      <c r="CI18" s="325"/>
      <c r="CJ18" s="323"/>
      <c r="CK18" s="323"/>
      <c r="CL18" s="323"/>
      <c r="CM18" s="326"/>
      <c r="CN18" s="45"/>
      <c r="CO18" s="45"/>
      <c r="CP18" s="45"/>
      <c r="CQ18" s="45"/>
      <c r="CR18" s="45"/>
      <c r="CS18" s="45"/>
      <c r="CT18" s="45"/>
      <c r="CU18" s="45"/>
      <c r="CV18" s="45"/>
      <c r="CW18" s="45"/>
      <c r="CX18" s="45"/>
      <c r="CY18" s="45"/>
      <c r="CZ18" s="45"/>
      <c r="DA18" s="45"/>
      <c r="DB18" s="45"/>
      <c r="DC18" s="45"/>
      <c r="DD18" s="45"/>
      <c r="DE18" s="45"/>
      <c r="DF18" s="45"/>
      <c r="DG18" s="45"/>
      <c r="DH18" s="45"/>
      <c r="DI18" s="45"/>
      <c r="DJ18" s="45"/>
      <c r="DK18" s="45"/>
      <c r="DL18" s="45"/>
      <c r="DM18" s="45"/>
      <c r="DN18" s="45"/>
    </row>
    <row r="19" spans="1:118" ht="25.5" customHeight="1" thickBot="1">
      <c r="A19" s="351">
        <v>3812</v>
      </c>
      <c r="B19" s="352" t="s">
        <v>11</v>
      </c>
      <c r="C19" s="352" t="s">
        <v>44</v>
      </c>
      <c r="D19" s="352" t="s">
        <v>76</v>
      </c>
      <c r="E19" s="353" t="s">
        <v>53</v>
      </c>
      <c r="F19" s="352"/>
      <c r="G19" s="353" t="s">
        <v>192</v>
      </c>
      <c r="H19" s="354" t="s">
        <v>54</v>
      </c>
      <c r="I19" s="355"/>
      <c r="J19" s="353"/>
      <c r="K19" s="356"/>
      <c r="L19" s="357" t="s">
        <v>78</v>
      </c>
      <c r="M19" s="352" t="s">
        <v>77</v>
      </c>
      <c r="N19" s="352"/>
      <c r="O19" s="352" t="s">
        <v>77</v>
      </c>
      <c r="P19" s="358" t="s">
        <v>77</v>
      </c>
      <c r="Q19" s="357"/>
      <c r="R19" s="352"/>
      <c r="S19" s="352"/>
      <c r="T19" s="352"/>
      <c r="U19" s="359" t="s">
        <v>80</v>
      </c>
      <c r="V19" s="351"/>
      <c r="W19" s="353"/>
      <c r="X19" s="353"/>
      <c r="Y19" s="353"/>
      <c r="Z19" s="356"/>
      <c r="AA19" s="360"/>
      <c r="AB19" s="353"/>
      <c r="AC19" s="353"/>
      <c r="AD19" s="353"/>
      <c r="AE19" s="354"/>
      <c r="AF19" s="355"/>
      <c r="AG19" s="353"/>
      <c r="AH19" s="353"/>
      <c r="AI19" s="353"/>
      <c r="AJ19" s="356"/>
      <c r="AK19" s="360"/>
      <c r="AL19" s="353"/>
      <c r="AM19" s="353"/>
      <c r="AN19" s="353"/>
      <c r="AO19" s="354"/>
      <c r="AP19" s="355"/>
      <c r="AQ19" s="353"/>
      <c r="AR19" s="353"/>
      <c r="AS19" s="353"/>
      <c r="AT19" s="356"/>
      <c r="AU19" s="360"/>
      <c r="AV19" s="353"/>
      <c r="AW19" s="353"/>
      <c r="AX19" s="353"/>
      <c r="AY19" s="354"/>
      <c r="AZ19" s="355"/>
      <c r="BA19" s="353"/>
      <c r="BB19" s="353"/>
      <c r="BC19" s="353"/>
      <c r="BD19" s="356"/>
      <c r="BE19" s="360"/>
      <c r="BF19" s="353"/>
      <c r="BG19" s="353"/>
      <c r="BH19" s="353"/>
      <c r="BI19" s="354"/>
      <c r="BJ19" s="355"/>
      <c r="BK19" s="353"/>
      <c r="BL19" s="353"/>
      <c r="BM19" s="353"/>
      <c r="BN19" s="356"/>
      <c r="BO19" s="360"/>
      <c r="BP19" s="353"/>
      <c r="BQ19" s="353"/>
      <c r="BR19" s="353"/>
      <c r="BS19" s="354"/>
      <c r="BT19" s="355"/>
      <c r="BU19" s="353"/>
      <c r="BV19" s="353"/>
      <c r="BW19" s="353"/>
      <c r="BX19" s="356"/>
      <c r="BY19" s="360"/>
      <c r="BZ19" s="353"/>
      <c r="CA19" s="353"/>
      <c r="CB19" s="353"/>
      <c r="CC19" s="354"/>
      <c r="CD19" s="355"/>
      <c r="CE19" s="353"/>
      <c r="CF19" s="353"/>
      <c r="CG19" s="353"/>
      <c r="CH19" s="354"/>
      <c r="CI19" s="355"/>
      <c r="CJ19" s="353"/>
      <c r="CK19" s="353"/>
      <c r="CL19" s="353"/>
      <c r="CM19" s="356"/>
      <c r="CN19" s="45"/>
      <c r="CO19" s="45"/>
      <c r="CP19" s="45"/>
      <c r="CQ19" s="45"/>
      <c r="CR19" s="45"/>
      <c r="CS19" s="45"/>
      <c r="CT19" s="45"/>
      <c r="CU19" s="45"/>
      <c r="CV19" s="45"/>
      <c r="CW19" s="45"/>
      <c r="CX19" s="45"/>
      <c r="CY19" s="45"/>
      <c r="CZ19" s="45"/>
      <c r="DA19" s="45"/>
      <c r="DB19" s="45"/>
      <c r="DC19" s="45"/>
      <c r="DD19" s="45"/>
      <c r="DE19" s="45"/>
      <c r="DF19" s="45"/>
      <c r="DG19" s="45"/>
      <c r="DH19" s="45"/>
      <c r="DI19" s="45"/>
      <c r="DJ19" s="45"/>
      <c r="DK19" s="45"/>
      <c r="DL19" s="45"/>
      <c r="DM19" s="45"/>
      <c r="DN19" s="45"/>
    </row>
    <row r="20" spans="1:118" ht="25.5" customHeight="1">
      <c r="A20" s="361">
        <v>3813</v>
      </c>
      <c r="B20" s="362" t="s">
        <v>11</v>
      </c>
      <c r="C20" s="362" t="s">
        <v>44</v>
      </c>
      <c r="D20" s="362" t="s">
        <v>76</v>
      </c>
      <c r="E20" s="363" t="s">
        <v>53</v>
      </c>
      <c r="F20" s="362"/>
      <c r="G20" s="363" t="s">
        <v>194</v>
      </c>
      <c r="H20" s="364" t="s">
        <v>54</v>
      </c>
      <c r="I20" s="365"/>
      <c r="J20" s="363"/>
      <c r="K20" s="366"/>
      <c r="L20" s="367" t="s">
        <v>78</v>
      </c>
      <c r="M20" s="362" t="s">
        <v>77</v>
      </c>
      <c r="N20" s="362"/>
      <c r="O20" s="362" t="s">
        <v>77</v>
      </c>
      <c r="P20" s="368" t="s">
        <v>77</v>
      </c>
      <c r="Q20" s="367"/>
      <c r="R20" s="362"/>
      <c r="S20" s="362"/>
      <c r="T20" s="362"/>
      <c r="U20" s="369" t="s">
        <v>80</v>
      </c>
      <c r="V20" s="361"/>
      <c r="W20" s="363"/>
      <c r="X20" s="363"/>
      <c r="Y20" s="363"/>
      <c r="Z20" s="366"/>
      <c r="AA20" s="370"/>
      <c r="AB20" s="363"/>
      <c r="AC20" s="363"/>
      <c r="AD20" s="363"/>
      <c r="AE20" s="364"/>
      <c r="AF20" s="365"/>
      <c r="AG20" s="363"/>
      <c r="AH20" s="363"/>
      <c r="AI20" s="363"/>
      <c r="AJ20" s="366"/>
      <c r="AK20" s="370"/>
      <c r="AL20" s="363"/>
      <c r="AM20" s="363"/>
      <c r="AN20" s="363"/>
      <c r="AO20" s="364"/>
      <c r="AP20" s="365"/>
      <c r="AQ20" s="363"/>
      <c r="AR20" s="363"/>
      <c r="AS20" s="363"/>
      <c r="AT20" s="366"/>
      <c r="AU20" s="370"/>
      <c r="AV20" s="363"/>
      <c r="AW20" s="363"/>
      <c r="AX20" s="363"/>
      <c r="AY20" s="364"/>
      <c r="AZ20" s="365"/>
      <c r="BA20" s="363"/>
      <c r="BB20" s="363"/>
      <c r="BC20" s="363"/>
      <c r="BD20" s="366"/>
      <c r="BE20" s="370"/>
      <c r="BF20" s="363"/>
      <c r="BG20" s="363"/>
      <c r="BH20" s="363"/>
      <c r="BI20" s="364"/>
      <c r="BJ20" s="365"/>
      <c r="BK20" s="363"/>
      <c r="BL20" s="363"/>
      <c r="BM20" s="363"/>
      <c r="BN20" s="366"/>
      <c r="BO20" s="370"/>
      <c r="BP20" s="363"/>
      <c r="BQ20" s="363"/>
      <c r="BR20" s="363"/>
      <c r="BS20" s="364"/>
      <c r="BT20" s="365"/>
      <c r="BU20" s="363"/>
      <c r="BV20" s="363"/>
      <c r="BW20" s="363"/>
      <c r="BX20" s="366"/>
      <c r="BY20" s="370"/>
      <c r="BZ20" s="363"/>
      <c r="CA20" s="363"/>
      <c r="CB20" s="363"/>
      <c r="CC20" s="364"/>
      <c r="CD20" s="365"/>
      <c r="CE20" s="363"/>
      <c r="CF20" s="363"/>
      <c r="CG20" s="363"/>
      <c r="CH20" s="364"/>
      <c r="CI20" s="365"/>
      <c r="CJ20" s="363"/>
      <c r="CK20" s="363"/>
      <c r="CL20" s="363"/>
      <c r="CM20" s="366"/>
      <c r="CN20" s="45"/>
      <c r="CO20" s="45"/>
      <c r="CP20" s="45"/>
      <c r="CQ20" s="45"/>
      <c r="CR20" s="45"/>
      <c r="CS20" s="45"/>
      <c r="CT20" s="45"/>
      <c r="CU20" s="45"/>
      <c r="CV20" s="45"/>
      <c r="CW20" s="45"/>
      <c r="CX20" s="46"/>
      <c r="CY20" s="45"/>
      <c r="CZ20" s="45"/>
      <c r="DA20" s="46"/>
      <c r="DB20" s="45"/>
      <c r="DC20" s="45"/>
      <c r="DD20" s="45"/>
      <c r="DE20" s="45"/>
      <c r="DF20" s="46"/>
      <c r="DG20" s="45"/>
      <c r="DH20" s="45"/>
      <c r="DI20" s="45"/>
      <c r="DJ20" s="45"/>
      <c r="DK20" s="45"/>
      <c r="DL20" s="45"/>
      <c r="DM20" s="45"/>
      <c r="DN20" s="45"/>
    </row>
    <row r="21" spans="1:118" ht="25.5" customHeight="1">
      <c r="A21" s="321">
        <v>3814</v>
      </c>
      <c r="B21" s="322" t="s">
        <v>11</v>
      </c>
      <c r="C21" s="322" t="s">
        <v>44</v>
      </c>
      <c r="D21" s="322" t="s">
        <v>76</v>
      </c>
      <c r="E21" s="323" t="s">
        <v>53</v>
      </c>
      <c r="F21" s="322"/>
      <c r="G21" s="323" t="s">
        <v>196</v>
      </c>
      <c r="H21" s="324" t="s">
        <v>54</v>
      </c>
      <c r="I21" s="325"/>
      <c r="J21" s="323"/>
      <c r="K21" s="326"/>
      <c r="L21" s="327" t="s">
        <v>78</v>
      </c>
      <c r="M21" s="322" t="s">
        <v>77</v>
      </c>
      <c r="N21" s="322"/>
      <c r="O21" s="322" t="s">
        <v>77</v>
      </c>
      <c r="P21" s="328" t="s">
        <v>77</v>
      </c>
      <c r="Q21" s="327"/>
      <c r="R21" s="322"/>
      <c r="S21" s="322"/>
      <c r="T21" s="322"/>
      <c r="U21" s="329" t="s">
        <v>80</v>
      </c>
      <c r="V21" s="321"/>
      <c r="W21" s="323"/>
      <c r="X21" s="323"/>
      <c r="Y21" s="323"/>
      <c r="Z21" s="326"/>
      <c r="AA21" s="330"/>
      <c r="AB21" s="323"/>
      <c r="AC21" s="323"/>
      <c r="AD21" s="323"/>
      <c r="AE21" s="324"/>
      <c r="AF21" s="325"/>
      <c r="AG21" s="323"/>
      <c r="AH21" s="323"/>
      <c r="AI21" s="323"/>
      <c r="AJ21" s="326"/>
      <c r="AK21" s="330"/>
      <c r="AL21" s="323"/>
      <c r="AM21" s="323"/>
      <c r="AN21" s="323"/>
      <c r="AO21" s="324"/>
      <c r="AP21" s="325"/>
      <c r="AQ21" s="323"/>
      <c r="AR21" s="323"/>
      <c r="AS21" s="323"/>
      <c r="AT21" s="326"/>
      <c r="AU21" s="330"/>
      <c r="AV21" s="323"/>
      <c r="AW21" s="323"/>
      <c r="AX21" s="323"/>
      <c r="AY21" s="324"/>
      <c r="AZ21" s="325"/>
      <c r="BA21" s="323"/>
      <c r="BB21" s="323"/>
      <c r="BC21" s="323"/>
      <c r="BD21" s="326"/>
      <c r="BE21" s="330"/>
      <c r="BF21" s="323"/>
      <c r="BG21" s="323"/>
      <c r="BH21" s="323"/>
      <c r="BI21" s="324"/>
      <c r="BJ21" s="325"/>
      <c r="BK21" s="323"/>
      <c r="BL21" s="323"/>
      <c r="BM21" s="323"/>
      <c r="BN21" s="326"/>
      <c r="BO21" s="330"/>
      <c r="BP21" s="323"/>
      <c r="BQ21" s="323"/>
      <c r="BR21" s="323"/>
      <c r="BS21" s="324"/>
      <c r="BT21" s="325"/>
      <c r="BU21" s="323"/>
      <c r="BV21" s="323"/>
      <c r="BW21" s="323"/>
      <c r="BX21" s="326"/>
      <c r="BY21" s="330"/>
      <c r="BZ21" s="323"/>
      <c r="CA21" s="323"/>
      <c r="CB21" s="323"/>
      <c r="CC21" s="324"/>
      <c r="CD21" s="325"/>
      <c r="CE21" s="323"/>
      <c r="CF21" s="323"/>
      <c r="CG21" s="323"/>
      <c r="CH21" s="324"/>
      <c r="CI21" s="325"/>
      <c r="CJ21" s="323"/>
      <c r="CK21" s="323"/>
      <c r="CL21" s="323"/>
      <c r="CM21" s="326"/>
    </row>
    <row r="22" spans="1:118" ht="25.5" customHeight="1">
      <c r="A22" s="321">
        <v>3815</v>
      </c>
      <c r="B22" s="322" t="s">
        <v>11</v>
      </c>
      <c r="C22" s="322" t="s">
        <v>44</v>
      </c>
      <c r="D22" s="322" t="s">
        <v>76</v>
      </c>
      <c r="E22" s="323" t="s">
        <v>53</v>
      </c>
      <c r="F22" s="322"/>
      <c r="G22" s="323" t="s">
        <v>198</v>
      </c>
      <c r="H22" s="371" t="s">
        <v>54</v>
      </c>
      <c r="I22" s="325"/>
      <c r="J22" s="323"/>
      <c r="K22" s="326"/>
      <c r="L22" s="327" t="s">
        <v>78</v>
      </c>
      <c r="M22" s="322" t="s">
        <v>77</v>
      </c>
      <c r="N22" s="322"/>
      <c r="O22" s="322" t="s">
        <v>77</v>
      </c>
      <c r="P22" s="328" t="s">
        <v>77</v>
      </c>
      <c r="Q22" s="327"/>
      <c r="R22" s="322"/>
      <c r="S22" s="322"/>
      <c r="T22" s="322"/>
      <c r="U22" s="329" t="s">
        <v>80</v>
      </c>
      <c r="V22" s="321"/>
      <c r="W22" s="372"/>
      <c r="X22" s="372"/>
      <c r="Y22" s="372"/>
      <c r="Z22" s="373"/>
      <c r="AA22" s="374"/>
      <c r="AB22" s="372"/>
      <c r="AC22" s="372"/>
      <c r="AD22" s="372"/>
      <c r="AE22" s="371"/>
      <c r="AF22" s="375"/>
      <c r="AG22" s="372"/>
      <c r="AH22" s="372"/>
      <c r="AI22" s="372"/>
      <c r="AJ22" s="373"/>
      <c r="AK22" s="374"/>
      <c r="AL22" s="372"/>
      <c r="AM22" s="372"/>
      <c r="AN22" s="372"/>
      <c r="AO22" s="371"/>
      <c r="AP22" s="375"/>
      <c r="AQ22" s="372"/>
      <c r="AR22" s="372"/>
      <c r="AS22" s="372"/>
      <c r="AT22" s="373"/>
      <c r="AU22" s="374"/>
      <c r="AV22" s="372"/>
      <c r="AW22" s="372"/>
      <c r="AX22" s="372"/>
      <c r="AY22" s="371"/>
      <c r="AZ22" s="375"/>
      <c r="BA22" s="372"/>
      <c r="BB22" s="372"/>
      <c r="BC22" s="372"/>
      <c r="BD22" s="373"/>
      <c r="BE22" s="374"/>
      <c r="BF22" s="372"/>
      <c r="BG22" s="372"/>
      <c r="BH22" s="372"/>
      <c r="BI22" s="371"/>
      <c r="BJ22" s="375"/>
      <c r="BK22" s="372"/>
      <c r="BL22" s="372"/>
      <c r="BM22" s="372"/>
      <c r="BN22" s="373"/>
      <c r="BO22" s="374"/>
      <c r="BP22" s="372"/>
      <c r="BQ22" s="372"/>
      <c r="BR22" s="372"/>
      <c r="BS22" s="371"/>
      <c r="BT22" s="375"/>
      <c r="BU22" s="372"/>
      <c r="BV22" s="372"/>
      <c r="BW22" s="372"/>
      <c r="BX22" s="373"/>
      <c r="BY22" s="374"/>
      <c r="BZ22" s="372"/>
      <c r="CA22" s="372"/>
      <c r="CB22" s="372"/>
      <c r="CC22" s="371"/>
      <c r="CD22" s="375"/>
      <c r="CE22" s="372"/>
      <c r="CF22" s="372"/>
      <c r="CG22" s="372"/>
      <c r="CH22" s="371"/>
      <c r="CI22" s="375"/>
      <c r="CJ22" s="372"/>
      <c r="CK22" s="372"/>
      <c r="CL22" s="372"/>
      <c r="CM22" s="373"/>
    </row>
    <row r="23" spans="1:118" ht="25.5" customHeight="1">
      <c r="A23" s="321">
        <v>3816</v>
      </c>
      <c r="B23" s="322" t="s">
        <v>11</v>
      </c>
      <c r="C23" s="322" t="s">
        <v>44</v>
      </c>
      <c r="D23" s="322" t="s">
        <v>76</v>
      </c>
      <c r="E23" s="323" t="s">
        <v>53</v>
      </c>
      <c r="F23" s="322"/>
      <c r="G23" s="323" t="s">
        <v>200</v>
      </c>
      <c r="H23" s="371" t="s">
        <v>54</v>
      </c>
      <c r="I23" s="325"/>
      <c r="J23" s="323"/>
      <c r="K23" s="326"/>
      <c r="L23" s="327" t="s">
        <v>78</v>
      </c>
      <c r="M23" s="322" t="s">
        <v>77</v>
      </c>
      <c r="N23" s="322"/>
      <c r="O23" s="322" t="s">
        <v>77</v>
      </c>
      <c r="P23" s="328" t="s">
        <v>77</v>
      </c>
      <c r="Q23" s="327"/>
      <c r="R23" s="322"/>
      <c r="S23" s="322"/>
      <c r="T23" s="322"/>
      <c r="U23" s="329" t="s">
        <v>80</v>
      </c>
      <c r="V23" s="321"/>
      <c r="W23" s="372"/>
      <c r="X23" s="372"/>
      <c r="Y23" s="372"/>
      <c r="Z23" s="373"/>
      <c r="AA23" s="374"/>
      <c r="AB23" s="372"/>
      <c r="AC23" s="372"/>
      <c r="AD23" s="372"/>
      <c r="AE23" s="371"/>
      <c r="AF23" s="375"/>
      <c r="AG23" s="372"/>
      <c r="AH23" s="372"/>
      <c r="AI23" s="372"/>
      <c r="AJ23" s="373"/>
      <c r="AK23" s="374"/>
      <c r="AL23" s="372"/>
      <c r="AM23" s="372"/>
      <c r="AN23" s="372"/>
      <c r="AO23" s="371"/>
      <c r="AP23" s="375"/>
      <c r="AQ23" s="372"/>
      <c r="AR23" s="372"/>
      <c r="AS23" s="372"/>
      <c r="AT23" s="373"/>
      <c r="AU23" s="374"/>
      <c r="AV23" s="372"/>
      <c r="AW23" s="372"/>
      <c r="AX23" s="372"/>
      <c r="AY23" s="371"/>
      <c r="AZ23" s="375"/>
      <c r="BA23" s="372"/>
      <c r="BB23" s="372"/>
      <c r="BC23" s="372"/>
      <c r="BD23" s="373"/>
      <c r="BE23" s="374"/>
      <c r="BF23" s="372"/>
      <c r="BG23" s="372"/>
      <c r="BH23" s="372"/>
      <c r="BI23" s="371"/>
      <c r="BJ23" s="375"/>
      <c r="BK23" s="372"/>
      <c r="BL23" s="372"/>
      <c r="BM23" s="372"/>
      <c r="BN23" s="373"/>
      <c r="BO23" s="374"/>
      <c r="BP23" s="372"/>
      <c r="BQ23" s="372"/>
      <c r="BR23" s="372"/>
      <c r="BS23" s="371"/>
      <c r="BT23" s="375"/>
      <c r="BU23" s="372"/>
      <c r="BV23" s="372"/>
      <c r="BW23" s="372"/>
      <c r="BX23" s="373"/>
      <c r="BY23" s="374"/>
      <c r="BZ23" s="372"/>
      <c r="CA23" s="372"/>
      <c r="CB23" s="372"/>
      <c r="CC23" s="371"/>
      <c r="CD23" s="375"/>
      <c r="CE23" s="372"/>
      <c r="CF23" s="372"/>
      <c r="CG23" s="372"/>
      <c r="CH23" s="371"/>
      <c r="CI23" s="375"/>
      <c r="CJ23" s="372"/>
      <c r="CK23" s="372"/>
      <c r="CL23" s="372"/>
      <c r="CM23" s="373"/>
    </row>
    <row r="24" spans="1:118" ht="25.5" customHeight="1" thickBot="1">
      <c r="A24" s="331">
        <v>3817</v>
      </c>
      <c r="B24" s="332" t="s">
        <v>11</v>
      </c>
      <c r="C24" s="332" t="s">
        <v>44</v>
      </c>
      <c r="D24" s="332" t="s">
        <v>76</v>
      </c>
      <c r="E24" s="333" t="s">
        <v>53</v>
      </c>
      <c r="F24" s="332"/>
      <c r="G24" s="333" t="s">
        <v>202</v>
      </c>
      <c r="H24" s="376" t="s">
        <v>54</v>
      </c>
      <c r="I24" s="335"/>
      <c r="J24" s="333"/>
      <c r="K24" s="336"/>
      <c r="L24" s="337" t="s">
        <v>78</v>
      </c>
      <c r="M24" s="332" t="s">
        <v>77</v>
      </c>
      <c r="N24" s="332"/>
      <c r="O24" s="332" t="s">
        <v>77</v>
      </c>
      <c r="P24" s="338" t="s">
        <v>77</v>
      </c>
      <c r="Q24" s="337"/>
      <c r="R24" s="332"/>
      <c r="S24" s="332"/>
      <c r="T24" s="332"/>
      <c r="U24" s="339" t="s">
        <v>80</v>
      </c>
      <c r="V24" s="331"/>
      <c r="W24" s="377"/>
      <c r="X24" s="377"/>
      <c r="Y24" s="377"/>
      <c r="Z24" s="378"/>
      <c r="AA24" s="379"/>
      <c r="AB24" s="377"/>
      <c r="AC24" s="377"/>
      <c r="AD24" s="377"/>
      <c r="AE24" s="376"/>
      <c r="AF24" s="380"/>
      <c r="AG24" s="377"/>
      <c r="AH24" s="377"/>
      <c r="AI24" s="377"/>
      <c r="AJ24" s="378"/>
      <c r="AK24" s="379"/>
      <c r="AL24" s="377"/>
      <c r="AM24" s="377"/>
      <c r="AN24" s="377"/>
      <c r="AO24" s="376"/>
      <c r="AP24" s="380"/>
      <c r="AQ24" s="377"/>
      <c r="AR24" s="377"/>
      <c r="AS24" s="377"/>
      <c r="AT24" s="378"/>
      <c r="AU24" s="379"/>
      <c r="AV24" s="377"/>
      <c r="AW24" s="377"/>
      <c r="AX24" s="377"/>
      <c r="AY24" s="376"/>
      <c r="AZ24" s="380"/>
      <c r="BA24" s="377"/>
      <c r="BB24" s="377"/>
      <c r="BC24" s="377"/>
      <c r="BD24" s="378"/>
      <c r="BE24" s="379"/>
      <c r="BF24" s="377"/>
      <c r="BG24" s="377"/>
      <c r="BH24" s="377"/>
      <c r="BI24" s="376"/>
      <c r="BJ24" s="380"/>
      <c r="BK24" s="377"/>
      <c r="BL24" s="377"/>
      <c r="BM24" s="377"/>
      <c r="BN24" s="378"/>
      <c r="BO24" s="379"/>
      <c r="BP24" s="377"/>
      <c r="BQ24" s="377"/>
      <c r="BR24" s="377"/>
      <c r="BS24" s="376"/>
      <c r="BT24" s="380"/>
      <c r="BU24" s="377"/>
      <c r="BV24" s="377"/>
      <c r="BW24" s="377"/>
      <c r="BX24" s="378"/>
      <c r="BY24" s="379"/>
      <c r="BZ24" s="377"/>
      <c r="CA24" s="377"/>
      <c r="CB24" s="377"/>
      <c r="CC24" s="376"/>
      <c r="CD24" s="380"/>
      <c r="CE24" s="377"/>
      <c r="CF24" s="377"/>
      <c r="CG24" s="377"/>
      <c r="CH24" s="376"/>
      <c r="CI24" s="380"/>
      <c r="CJ24" s="377"/>
      <c r="CK24" s="377"/>
      <c r="CL24" s="377"/>
      <c r="CM24" s="378"/>
    </row>
    <row r="25" spans="1:118" ht="25.5" customHeight="1">
      <c r="A25" s="341">
        <v>3818</v>
      </c>
      <c r="B25" s="342" t="s">
        <v>11</v>
      </c>
      <c r="C25" s="342" t="s">
        <v>44</v>
      </c>
      <c r="D25" s="342" t="s">
        <v>76</v>
      </c>
      <c r="E25" s="343" t="s">
        <v>53</v>
      </c>
      <c r="F25" s="342"/>
      <c r="G25" s="343" t="s">
        <v>204</v>
      </c>
      <c r="H25" s="344" t="s">
        <v>54</v>
      </c>
      <c r="I25" s="345"/>
      <c r="J25" s="343"/>
      <c r="K25" s="346"/>
      <c r="L25" s="347" t="s">
        <v>78</v>
      </c>
      <c r="M25" s="342" t="s">
        <v>77</v>
      </c>
      <c r="N25" s="342"/>
      <c r="O25" s="342" t="s">
        <v>77</v>
      </c>
      <c r="P25" s="348" t="s">
        <v>77</v>
      </c>
      <c r="Q25" s="347"/>
      <c r="R25" s="342"/>
      <c r="S25" s="342"/>
      <c r="T25" s="342"/>
      <c r="U25" s="349" t="s">
        <v>80</v>
      </c>
      <c r="V25" s="341"/>
      <c r="W25" s="381"/>
      <c r="X25" s="381"/>
      <c r="Y25" s="381"/>
      <c r="Z25" s="382"/>
      <c r="AA25" s="383"/>
      <c r="AB25" s="381"/>
      <c r="AC25" s="381"/>
      <c r="AD25" s="381"/>
      <c r="AE25" s="384"/>
      <c r="AF25" s="385"/>
      <c r="AG25" s="381"/>
      <c r="AH25" s="381"/>
      <c r="AI25" s="381"/>
      <c r="AJ25" s="382"/>
      <c r="AK25" s="383"/>
      <c r="AL25" s="381"/>
      <c r="AM25" s="381"/>
      <c r="AN25" s="381"/>
      <c r="AO25" s="384"/>
      <c r="AP25" s="385"/>
      <c r="AQ25" s="381"/>
      <c r="AR25" s="381"/>
      <c r="AS25" s="381"/>
      <c r="AT25" s="382"/>
      <c r="AU25" s="383"/>
      <c r="AV25" s="381"/>
      <c r="AW25" s="381"/>
      <c r="AX25" s="381"/>
      <c r="AY25" s="384"/>
      <c r="AZ25" s="385"/>
      <c r="BA25" s="381"/>
      <c r="BB25" s="381"/>
      <c r="BC25" s="381"/>
      <c r="BD25" s="382"/>
      <c r="BE25" s="383"/>
      <c r="BF25" s="381"/>
      <c r="BG25" s="381"/>
      <c r="BH25" s="381"/>
      <c r="BI25" s="384"/>
      <c r="BJ25" s="385"/>
      <c r="BK25" s="381"/>
      <c r="BL25" s="381"/>
      <c r="BM25" s="381"/>
      <c r="BN25" s="382"/>
      <c r="BO25" s="383"/>
      <c r="BP25" s="381"/>
      <c r="BQ25" s="381"/>
      <c r="BR25" s="381"/>
      <c r="BS25" s="384"/>
      <c r="BT25" s="385"/>
      <c r="BU25" s="381"/>
      <c r="BV25" s="381"/>
      <c r="BW25" s="381"/>
      <c r="BX25" s="382"/>
      <c r="BY25" s="383"/>
      <c r="BZ25" s="381"/>
      <c r="CA25" s="381"/>
      <c r="CB25" s="381"/>
      <c r="CC25" s="384"/>
      <c r="CD25" s="385"/>
      <c r="CE25" s="381"/>
      <c r="CF25" s="381"/>
      <c r="CG25" s="381"/>
      <c r="CH25" s="384"/>
      <c r="CI25" s="385"/>
      <c r="CJ25" s="381"/>
      <c r="CK25" s="381"/>
      <c r="CL25" s="381"/>
      <c r="CM25" s="382"/>
    </row>
    <row r="26" spans="1:118" ht="25.5" customHeight="1">
      <c r="A26" s="386">
        <v>3819</v>
      </c>
      <c r="B26" s="387" t="s">
        <v>11</v>
      </c>
      <c r="C26" s="387" t="s">
        <v>44</v>
      </c>
      <c r="D26" s="387" t="s">
        <v>76</v>
      </c>
      <c r="E26" s="372" t="s">
        <v>53</v>
      </c>
      <c r="F26" s="387"/>
      <c r="G26" s="372" t="s">
        <v>206</v>
      </c>
      <c r="H26" s="371" t="s">
        <v>54</v>
      </c>
      <c r="I26" s="375"/>
      <c r="J26" s="372"/>
      <c r="K26" s="373"/>
      <c r="L26" s="388" t="s">
        <v>78</v>
      </c>
      <c r="M26" s="387" t="s">
        <v>77</v>
      </c>
      <c r="N26" s="387"/>
      <c r="O26" s="387" t="s">
        <v>77</v>
      </c>
      <c r="P26" s="389" t="s">
        <v>77</v>
      </c>
      <c r="Q26" s="388"/>
      <c r="R26" s="387"/>
      <c r="S26" s="387"/>
      <c r="T26" s="387"/>
      <c r="U26" s="390" t="s">
        <v>80</v>
      </c>
      <c r="V26" s="386"/>
      <c r="W26" s="372"/>
      <c r="X26" s="372"/>
      <c r="Y26" s="372"/>
      <c r="Z26" s="373"/>
      <c r="AA26" s="374"/>
      <c r="AB26" s="372"/>
      <c r="AC26" s="372"/>
      <c r="AD26" s="372"/>
      <c r="AE26" s="371"/>
      <c r="AF26" s="375"/>
      <c r="AG26" s="372"/>
      <c r="AH26" s="372"/>
      <c r="AI26" s="372"/>
      <c r="AJ26" s="373"/>
      <c r="AK26" s="374"/>
      <c r="AL26" s="372"/>
      <c r="AM26" s="372"/>
      <c r="AN26" s="372"/>
      <c r="AO26" s="371"/>
      <c r="AP26" s="375"/>
      <c r="AQ26" s="372"/>
      <c r="AR26" s="372"/>
      <c r="AS26" s="372"/>
      <c r="AT26" s="373"/>
      <c r="AU26" s="374"/>
      <c r="AV26" s="372"/>
      <c r="AW26" s="372"/>
      <c r="AX26" s="372"/>
      <c r="AY26" s="371"/>
      <c r="AZ26" s="375"/>
      <c r="BA26" s="372"/>
      <c r="BB26" s="372"/>
      <c r="BC26" s="372"/>
      <c r="BD26" s="373"/>
      <c r="BE26" s="374"/>
      <c r="BF26" s="372"/>
      <c r="BG26" s="372"/>
      <c r="BH26" s="372"/>
      <c r="BI26" s="371"/>
      <c r="BJ26" s="375"/>
      <c r="BK26" s="372"/>
      <c r="BL26" s="372"/>
      <c r="BM26" s="372"/>
      <c r="BN26" s="373"/>
      <c r="BO26" s="374"/>
      <c r="BP26" s="372"/>
      <c r="BQ26" s="372"/>
      <c r="BR26" s="372"/>
      <c r="BS26" s="371"/>
      <c r="BT26" s="375"/>
      <c r="BU26" s="372"/>
      <c r="BV26" s="372"/>
      <c r="BW26" s="372"/>
      <c r="BX26" s="373"/>
      <c r="BY26" s="374"/>
      <c r="BZ26" s="372"/>
      <c r="CA26" s="372"/>
      <c r="CB26" s="372"/>
      <c r="CC26" s="371"/>
      <c r="CD26" s="375"/>
      <c r="CE26" s="372"/>
      <c r="CF26" s="372"/>
      <c r="CG26" s="372"/>
      <c r="CH26" s="371"/>
      <c r="CI26" s="375"/>
      <c r="CJ26" s="372"/>
      <c r="CK26" s="372"/>
      <c r="CL26" s="372"/>
      <c r="CM26" s="373"/>
    </row>
    <row r="27" spans="1:118" ht="25.5" customHeight="1">
      <c r="A27" s="386">
        <v>3820</v>
      </c>
      <c r="B27" s="387" t="s">
        <v>11</v>
      </c>
      <c r="C27" s="387" t="s">
        <v>44</v>
      </c>
      <c r="D27" s="387" t="s">
        <v>76</v>
      </c>
      <c r="E27" s="372" t="s">
        <v>53</v>
      </c>
      <c r="F27" s="387"/>
      <c r="G27" s="372" t="s">
        <v>208</v>
      </c>
      <c r="H27" s="371" t="s">
        <v>54</v>
      </c>
      <c r="I27" s="375"/>
      <c r="J27" s="372"/>
      <c r="K27" s="373"/>
      <c r="L27" s="388" t="s">
        <v>78</v>
      </c>
      <c r="M27" s="387" t="s">
        <v>77</v>
      </c>
      <c r="N27" s="387"/>
      <c r="O27" s="387" t="s">
        <v>77</v>
      </c>
      <c r="P27" s="389" t="s">
        <v>77</v>
      </c>
      <c r="Q27" s="388"/>
      <c r="R27" s="387"/>
      <c r="S27" s="387"/>
      <c r="T27" s="387"/>
      <c r="U27" s="390" t="s">
        <v>80</v>
      </c>
      <c r="V27" s="386"/>
      <c r="W27" s="372"/>
      <c r="X27" s="372"/>
      <c r="Y27" s="372"/>
      <c r="Z27" s="373"/>
      <c r="AA27" s="374"/>
      <c r="AB27" s="372"/>
      <c r="AC27" s="372"/>
      <c r="AD27" s="372"/>
      <c r="AE27" s="371"/>
      <c r="AF27" s="375"/>
      <c r="AG27" s="372"/>
      <c r="AH27" s="372"/>
      <c r="AI27" s="372"/>
      <c r="AJ27" s="373"/>
      <c r="AK27" s="374"/>
      <c r="AL27" s="372"/>
      <c r="AM27" s="372"/>
      <c r="AN27" s="372"/>
      <c r="AO27" s="371"/>
      <c r="AP27" s="375"/>
      <c r="AQ27" s="372"/>
      <c r="AR27" s="372"/>
      <c r="AS27" s="372"/>
      <c r="AT27" s="373"/>
      <c r="AU27" s="374"/>
      <c r="AV27" s="372"/>
      <c r="AW27" s="372"/>
      <c r="AX27" s="372"/>
      <c r="AY27" s="371"/>
      <c r="AZ27" s="375"/>
      <c r="BA27" s="372"/>
      <c r="BB27" s="372"/>
      <c r="BC27" s="372"/>
      <c r="BD27" s="373"/>
      <c r="BE27" s="374"/>
      <c r="BF27" s="372"/>
      <c r="BG27" s="372"/>
      <c r="BH27" s="372"/>
      <c r="BI27" s="371"/>
      <c r="BJ27" s="375"/>
      <c r="BK27" s="372"/>
      <c r="BL27" s="372"/>
      <c r="BM27" s="372"/>
      <c r="BN27" s="373"/>
      <c r="BO27" s="374"/>
      <c r="BP27" s="372"/>
      <c r="BQ27" s="372"/>
      <c r="BR27" s="372"/>
      <c r="BS27" s="371"/>
      <c r="BT27" s="375"/>
      <c r="BU27" s="372"/>
      <c r="BV27" s="372"/>
      <c r="BW27" s="372"/>
      <c r="BX27" s="373"/>
      <c r="BY27" s="374"/>
      <c r="BZ27" s="372"/>
      <c r="CA27" s="372"/>
      <c r="CB27" s="372"/>
      <c r="CC27" s="371"/>
      <c r="CD27" s="375"/>
      <c r="CE27" s="372"/>
      <c r="CF27" s="372"/>
      <c r="CG27" s="372"/>
      <c r="CH27" s="371"/>
      <c r="CI27" s="375"/>
      <c r="CJ27" s="372"/>
      <c r="CK27" s="372"/>
      <c r="CL27" s="372"/>
      <c r="CM27" s="373"/>
    </row>
    <row r="28" spans="1:118" ht="25.5" customHeight="1">
      <c r="A28" s="386">
        <v>3821</v>
      </c>
      <c r="B28" s="387" t="s">
        <v>11</v>
      </c>
      <c r="C28" s="387" t="s">
        <v>44</v>
      </c>
      <c r="D28" s="387" t="s">
        <v>76</v>
      </c>
      <c r="E28" s="372" t="s">
        <v>53</v>
      </c>
      <c r="F28" s="387"/>
      <c r="G28" s="372" t="s">
        <v>210</v>
      </c>
      <c r="H28" s="371" t="s">
        <v>54</v>
      </c>
      <c r="I28" s="375"/>
      <c r="J28" s="372"/>
      <c r="K28" s="373"/>
      <c r="L28" s="388" t="s">
        <v>78</v>
      </c>
      <c r="M28" s="387" t="s">
        <v>77</v>
      </c>
      <c r="N28" s="387"/>
      <c r="O28" s="387" t="s">
        <v>77</v>
      </c>
      <c r="P28" s="389" t="s">
        <v>77</v>
      </c>
      <c r="Q28" s="388"/>
      <c r="R28" s="387"/>
      <c r="S28" s="387"/>
      <c r="T28" s="387"/>
      <c r="U28" s="390" t="s">
        <v>80</v>
      </c>
      <c r="V28" s="386"/>
      <c r="W28" s="372"/>
      <c r="X28" s="372"/>
      <c r="Y28" s="372"/>
      <c r="Z28" s="373"/>
      <c r="AA28" s="374"/>
      <c r="AB28" s="372"/>
      <c r="AC28" s="372"/>
      <c r="AD28" s="372"/>
      <c r="AE28" s="371"/>
      <c r="AF28" s="375"/>
      <c r="AG28" s="372"/>
      <c r="AH28" s="372"/>
      <c r="AI28" s="372"/>
      <c r="AJ28" s="373"/>
      <c r="AK28" s="374"/>
      <c r="AL28" s="372"/>
      <c r="AM28" s="372"/>
      <c r="AN28" s="372"/>
      <c r="AO28" s="371"/>
      <c r="AP28" s="375"/>
      <c r="AQ28" s="372"/>
      <c r="AR28" s="372"/>
      <c r="AS28" s="372"/>
      <c r="AT28" s="373"/>
      <c r="AU28" s="374"/>
      <c r="AV28" s="372"/>
      <c r="AW28" s="372"/>
      <c r="AX28" s="372"/>
      <c r="AY28" s="371"/>
      <c r="AZ28" s="375"/>
      <c r="BA28" s="372"/>
      <c r="BB28" s="372"/>
      <c r="BC28" s="372"/>
      <c r="BD28" s="373"/>
      <c r="BE28" s="374"/>
      <c r="BF28" s="372"/>
      <c r="BG28" s="372"/>
      <c r="BH28" s="372"/>
      <c r="BI28" s="371"/>
      <c r="BJ28" s="375"/>
      <c r="BK28" s="372"/>
      <c r="BL28" s="372"/>
      <c r="BM28" s="372"/>
      <c r="BN28" s="373"/>
      <c r="BO28" s="374"/>
      <c r="BP28" s="372"/>
      <c r="BQ28" s="372"/>
      <c r="BR28" s="372"/>
      <c r="BS28" s="371"/>
      <c r="BT28" s="375"/>
      <c r="BU28" s="372"/>
      <c r="BV28" s="372"/>
      <c r="BW28" s="372"/>
      <c r="BX28" s="373"/>
      <c r="BY28" s="374"/>
      <c r="BZ28" s="372"/>
      <c r="CA28" s="372"/>
      <c r="CB28" s="372"/>
      <c r="CC28" s="371"/>
      <c r="CD28" s="375"/>
      <c r="CE28" s="372"/>
      <c r="CF28" s="372"/>
      <c r="CG28" s="372"/>
      <c r="CH28" s="371"/>
      <c r="CI28" s="375"/>
      <c r="CJ28" s="372"/>
      <c r="CK28" s="372"/>
      <c r="CL28" s="372"/>
      <c r="CM28" s="373"/>
    </row>
    <row r="29" spans="1:118" ht="25.5" customHeight="1" thickBot="1">
      <c r="A29" s="391">
        <v>3822</v>
      </c>
      <c r="B29" s="392" t="s">
        <v>11</v>
      </c>
      <c r="C29" s="392" t="s">
        <v>44</v>
      </c>
      <c r="D29" s="392" t="s">
        <v>76</v>
      </c>
      <c r="E29" s="393" t="s">
        <v>53</v>
      </c>
      <c r="F29" s="392"/>
      <c r="G29" s="393" t="s">
        <v>212</v>
      </c>
      <c r="H29" s="394" t="s">
        <v>54</v>
      </c>
      <c r="I29" s="395"/>
      <c r="J29" s="393"/>
      <c r="K29" s="396"/>
      <c r="L29" s="397" t="s">
        <v>78</v>
      </c>
      <c r="M29" s="392" t="s">
        <v>77</v>
      </c>
      <c r="N29" s="392"/>
      <c r="O29" s="392" t="s">
        <v>77</v>
      </c>
      <c r="P29" s="398" t="s">
        <v>77</v>
      </c>
      <c r="Q29" s="397"/>
      <c r="R29" s="392"/>
      <c r="S29" s="392"/>
      <c r="T29" s="392"/>
      <c r="U29" s="399" t="s">
        <v>80</v>
      </c>
      <c r="V29" s="391"/>
      <c r="W29" s="393"/>
      <c r="X29" s="393"/>
      <c r="Y29" s="393"/>
      <c r="Z29" s="396"/>
      <c r="AA29" s="400"/>
      <c r="AB29" s="393"/>
      <c r="AC29" s="393"/>
      <c r="AD29" s="393"/>
      <c r="AE29" s="394"/>
      <c r="AF29" s="395"/>
      <c r="AG29" s="393"/>
      <c r="AH29" s="393"/>
      <c r="AI29" s="393"/>
      <c r="AJ29" s="396"/>
      <c r="AK29" s="400"/>
      <c r="AL29" s="393"/>
      <c r="AM29" s="393"/>
      <c r="AN29" s="393"/>
      <c r="AO29" s="394"/>
      <c r="AP29" s="395"/>
      <c r="AQ29" s="393"/>
      <c r="AR29" s="393"/>
      <c r="AS29" s="393"/>
      <c r="AT29" s="396"/>
      <c r="AU29" s="400"/>
      <c r="AV29" s="393"/>
      <c r="AW29" s="393"/>
      <c r="AX29" s="393"/>
      <c r="AY29" s="394"/>
      <c r="AZ29" s="395"/>
      <c r="BA29" s="393"/>
      <c r="BB29" s="393"/>
      <c r="BC29" s="393"/>
      <c r="BD29" s="396"/>
      <c r="BE29" s="400"/>
      <c r="BF29" s="393"/>
      <c r="BG29" s="393"/>
      <c r="BH29" s="393"/>
      <c r="BI29" s="394"/>
      <c r="BJ29" s="395"/>
      <c r="BK29" s="393"/>
      <c r="BL29" s="393"/>
      <c r="BM29" s="393"/>
      <c r="BN29" s="396"/>
      <c r="BO29" s="400"/>
      <c r="BP29" s="393"/>
      <c r="BQ29" s="393"/>
      <c r="BR29" s="393"/>
      <c r="BS29" s="394"/>
      <c r="BT29" s="395"/>
      <c r="BU29" s="393"/>
      <c r="BV29" s="393"/>
      <c r="BW29" s="393"/>
      <c r="BX29" s="396"/>
      <c r="BY29" s="400"/>
      <c r="BZ29" s="393"/>
      <c r="CA29" s="393"/>
      <c r="CB29" s="393"/>
      <c r="CC29" s="394"/>
      <c r="CD29" s="395"/>
      <c r="CE29" s="393"/>
      <c r="CF29" s="393"/>
      <c r="CG29" s="393"/>
      <c r="CH29" s="394"/>
      <c r="CI29" s="395"/>
      <c r="CJ29" s="393"/>
      <c r="CK29" s="393"/>
      <c r="CL29" s="393"/>
      <c r="CM29" s="396"/>
    </row>
    <row r="30" spans="1:118" ht="25.5" customHeight="1">
      <c r="A30" s="401">
        <v>3823</v>
      </c>
      <c r="B30" s="402" t="s">
        <v>11</v>
      </c>
      <c r="C30" s="402" t="s">
        <v>44</v>
      </c>
      <c r="D30" s="402" t="s">
        <v>76</v>
      </c>
      <c r="E30" s="403" t="s">
        <v>53</v>
      </c>
      <c r="F30" s="402"/>
      <c r="G30" s="403" t="s">
        <v>214</v>
      </c>
      <c r="H30" s="404" t="s">
        <v>54</v>
      </c>
      <c r="I30" s="405"/>
      <c r="J30" s="403"/>
      <c r="K30" s="406"/>
      <c r="L30" s="407" t="s">
        <v>78</v>
      </c>
      <c r="M30" s="402" t="s">
        <v>77</v>
      </c>
      <c r="N30" s="402"/>
      <c r="O30" s="402" t="s">
        <v>77</v>
      </c>
      <c r="P30" s="408" t="s">
        <v>77</v>
      </c>
      <c r="Q30" s="407"/>
      <c r="R30" s="402"/>
      <c r="S30" s="402"/>
      <c r="T30" s="402"/>
      <c r="U30" s="409" t="s">
        <v>80</v>
      </c>
      <c r="V30" s="401"/>
      <c r="W30" s="403"/>
      <c r="X30" s="403"/>
      <c r="Y30" s="403"/>
      <c r="Z30" s="406"/>
      <c r="AA30" s="410"/>
      <c r="AB30" s="403"/>
      <c r="AC30" s="403"/>
      <c r="AD30" s="403"/>
      <c r="AE30" s="404"/>
      <c r="AF30" s="405"/>
      <c r="AG30" s="403"/>
      <c r="AH30" s="403"/>
      <c r="AI30" s="403"/>
      <c r="AJ30" s="406"/>
      <c r="AK30" s="410"/>
      <c r="AL30" s="403"/>
      <c r="AM30" s="403"/>
      <c r="AN30" s="403"/>
      <c r="AO30" s="404"/>
      <c r="AP30" s="405"/>
      <c r="AQ30" s="403"/>
      <c r="AR30" s="403"/>
      <c r="AS30" s="403"/>
      <c r="AT30" s="406"/>
      <c r="AU30" s="410"/>
      <c r="AV30" s="403"/>
      <c r="AW30" s="403"/>
      <c r="AX30" s="403"/>
      <c r="AY30" s="404"/>
      <c r="AZ30" s="405"/>
      <c r="BA30" s="403"/>
      <c r="BB30" s="403"/>
      <c r="BC30" s="403"/>
      <c r="BD30" s="406"/>
      <c r="BE30" s="410"/>
      <c r="BF30" s="403"/>
      <c r="BG30" s="403"/>
      <c r="BH30" s="403"/>
      <c r="BI30" s="404"/>
      <c r="BJ30" s="405"/>
      <c r="BK30" s="403"/>
      <c r="BL30" s="403"/>
      <c r="BM30" s="403"/>
      <c r="BN30" s="406"/>
      <c r="BO30" s="410"/>
      <c r="BP30" s="403"/>
      <c r="BQ30" s="403"/>
      <c r="BR30" s="403"/>
      <c r="BS30" s="404"/>
      <c r="BT30" s="405"/>
      <c r="BU30" s="403"/>
      <c r="BV30" s="403"/>
      <c r="BW30" s="403"/>
      <c r="BX30" s="406"/>
      <c r="BY30" s="410"/>
      <c r="BZ30" s="403"/>
      <c r="CA30" s="403"/>
      <c r="CB30" s="403"/>
      <c r="CC30" s="404"/>
      <c r="CD30" s="405"/>
      <c r="CE30" s="403"/>
      <c r="CF30" s="403"/>
      <c r="CG30" s="403"/>
      <c r="CH30" s="404"/>
      <c r="CI30" s="405"/>
      <c r="CJ30" s="403"/>
      <c r="CK30" s="403"/>
      <c r="CL30" s="403"/>
      <c r="CM30" s="406"/>
    </row>
    <row r="31" spans="1:118" ht="25.5" customHeight="1">
      <c r="A31" s="386">
        <v>3824</v>
      </c>
      <c r="B31" s="387" t="s">
        <v>11</v>
      </c>
      <c r="C31" s="387" t="s">
        <v>44</v>
      </c>
      <c r="D31" s="387" t="s">
        <v>76</v>
      </c>
      <c r="E31" s="372" t="s">
        <v>53</v>
      </c>
      <c r="F31" s="387"/>
      <c r="G31" s="372" t="s">
        <v>216</v>
      </c>
      <c r="H31" s="371" t="s">
        <v>54</v>
      </c>
      <c r="I31" s="375"/>
      <c r="J31" s="372"/>
      <c r="K31" s="373"/>
      <c r="L31" s="388" t="s">
        <v>78</v>
      </c>
      <c r="M31" s="387" t="s">
        <v>77</v>
      </c>
      <c r="N31" s="387"/>
      <c r="O31" s="387" t="s">
        <v>77</v>
      </c>
      <c r="P31" s="389" t="s">
        <v>77</v>
      </c>
      <c r="Q31" s="388"/>
      <c r="R31" s="387"/>
      <c r="S31" s="387"/>
      <c r="T31" s="387"/>
      <c r="U31" s="390" t="s">
        <v>80</v>
      </c>
      <c r="V31" s="386"/>
      <c r="W31" s="372"/>
      <c r="X31" s="372"/>
      <c r="Y31" s="372"/>
      <c r="Z31" s="373"/>
      <c r="AA31" s="374"/>
      <c r="AB31" s="372"/>
      <c r="AC31" s="372"/>
      <c r="AD31" s="372"/>
      <c r="AE31" s="371"/>
      <c r="AF31" s="375"/>
      <c r="AG31" s="372"/>
      <c r="AH31" s="372"/>
      <c r="AI31" s="372"/>
      <c r="AJ31" s="373"/>
      <c r="AK31" s="374"/>
      <c r="AL31" s="372"/>
      <c r="AM31" s="372"/>
      <c r="AN31" s="372"/>
      <c r="AO31" s="371"/>
      <c r="AP31" s="375"/>
      <c r="AQ31" s="372"/>
      <c r="AR31" s="372"/>
      <c r="AS31" s="372"/>
      <c r="AT31" s="373"/>
      <c r="AU31" s="374"/>
      <c r="AV31" s="372"/>
      <c r="AW31" s="372"/>
      <c r="AX31" s="372"/>
      <c r="AY31" s="371"/>
      <c r="AZ31" s="375"/>
      <c r="BA31" s="372"/>
      <c r="BB31" s="372"/>
      <c r="BC31" s="372"/>
      <c r="BD31" s="373"/>
      <c r="BE31" s="374"/>
      <c r="BF31" s="372"/>
      <c r="BG31" s="372"/>
      <c r="BH31" s="372"/>
      <c r="BI31" s="371"/>
      <c r="BJ31" s="375"/>
      <c r="BK31" s="372"/>
      <c r="BL31" s="372"/>
      <c r="BM31" s="372"/>
      <c r="BN31" s="373"/>
      <c r="BO31" s="374"/>
      <c r="BP31" s="372"/>
      <c r="BQ31" s="372"/>
      <c r="BR31" s="372"/>
      <c r="BS31" s="371"/>
      <c r="BT31" s="375"/>
      <c r="BU31" s="372"/>
      <c r="BV31" s="372"/>
      <c r="BW31" s="372"/>
      <c r="BX31" s="373"/>
      <c r="BY31" s="374"/>
      <c r="BZ31" s="372"/>
      <c r="CA31" s="372"/>
      <c r="CB31" s="372"/>
      <c r="CC31" s="371"/>
      <c r="CD31" s="375"/>
      <c r="CE31" s="372"/>
      <c r="CF31" s="372"/>
      <c r="CG31" s="372"/>
      <c r="CH31" s="371"/>
      <c r="CI31" s="375"/>
      <c r="CJ31" s="372"/>
      <c r="CK31" s="372"/>
      <c r="CL31" s="372"/>
      <c r="CM31" s="373"/>
    </row>
    <row r="32" spans="1:118" ht="25.5" customHeight="1">
      <c r="A32" s="386">
        <v>3825</v>
      </c>
      <c r="B32" s="387" t="s">
        <v>11</v>
      </c>
      <c r="C32" s="387" t="s">
        <v>44</v>
      </c>
      <c r="D32" s="387" t="s">
        <v>76</v>
      </c>
      <c r="E32" s="372" t="s">
        <v>53</v>
      </c>
      <c r="F32" s="387"/>
      <c r="G32" s="372" t="s">
        <v>218</v>
      </c>
      <c r="H32" s="371" t="s">
        <v>54</v>
      </c>
      <c r="I32" s="375"/>
      <c r="J32" s="372"/>
      <c r="K32" s="373"/>
      <c r="L32" s="388" t="s">
        <v>78</v>
      </c>
      <c r="M32" s="387" t="s">
        <v>77</v>
      </c>
      <c r="N32" s="387"/>
      <c r="O32" s="387" t="s">
        <v>77</v>
      </c>
      <c r="P32" s="389" t="s">
        <v>77</v>
      </c>
      <c r="Q32" s="388"/>
      <c r="R32" s="387"/>
      <c r="S32" s="387"/>
      <c r="T32" s="387"/>
      <c r="U32" s="390" t="s">
        <v>80</v>
      </c>
      <c r="V32" s="386"/>
      <c r="W32" s="372"/>
      <c r="X32" s="372"/>
      <c r="Y32" s="372"/>
      <c r="Z32" s="373"/>
      <c r="AA32" s="374"/>
      <c r="AB32" s="372"/>
      <c r="AC32" s="372"/>
      <c r="AD32" s="372"/>
      <c r="AE32" s="371"/>
      <c r="AF32" s="375"/>
      <c r="AG32" s="372"/>
      <c r="AH32" s="372"/>
      <c r="AI32" s="372"/>
      <c r="AJ32" s="373"/>
      <c r="AK32" s="374"/>
      <c r="AL32" s="372"/>
      <c r="AM32" s="372"/>
      <c r="AN32" s="372"/>
      <c r="AO32" s="371"/>
      <c r="AP32" s="375"/>
      <c r="AQ32" s="372"/>
      <c r="AR32" s="372"/>
      <c r="AS32" s="372"/>
      <c r="AT32" s="373"/>
      <c r="AU32" s="374"/>
      <c r="AV32" s="372"/>
      <c r="AW32" s="372"/>
      <c r="AX32" s="372"/>
      <c r="AY32" s="371"/>
      <c r="AZ32" s="375"/>
      <c r="BA32" s="372"/>
      <c r="BB32" s="372"/>
      <c r="BC32" s="372"/>
      <c r="BD32" s="373"/>
      <c r="BE32" s="374"/>
      <c r="BF32" s="372"/>
      <c r="BG32" s="372"/>
      <c r="BH32" s="372"/>
      <c r="BI32" s="371"/>
      <c r="BJ32" s="375"/>
      <c r="BK32" s="372"/>
      <c r="BL32" s="372"/>
      <c r="BM32" s="372"/>
      <c r="BN32" s="373"/>
      <c r="BO32" s="374"/>
      <c r="BP32" s="372"/>
      <c r="BQ32" s="372"/>
      <c r="BR32" s="372"/>
      <c r="BS32" s="371"/>
      <c r="BT32" s="375"/>
      <c r="BU32" s="372"/>
      <c r="BV32" s="372"/>
      <c r="BW32" s="372"/>
      <c r="BX32" s="373"/>
      <c r="BY32" s="374"/>
      <c r="BZ32" s="372"/>
      <c r="CA32" s="372"/>
      <c r="CB32" s="372"/>
      <c r="CC32" s="371"/>
      <c r="CD32" s="375"/>
      <c r="CE32" s="372"/>
      <c r="CF32" s="372"/>
      <c r="CG32" s="372"/>
      <c r="CH32" s="371"/>
      <c r="CI32" s="375"/>
      <c r="CJ32" s="372"/>
      <c r="CK32" s="372"/>
      <c r="CL32" s="372"/>
      <c r="CM32" s="373"/>
    </row>
    <row r="33" spans="1:91" ht="25.5" customHeight="1">
      <c r="A33" s="386">
        <v>3826</v>
      </c>
      <c r="B33" s="387" t="s">
        <v>11</v>
      </c>
      <c r="C33" s="387" t="s">
        <v>44</v>
      </c>
      <c r="D33" s="387" t="s">
        <v>76</v>
      </c>
      <c r="E33" s="372" t="s">
        <v>53</v>
      </c>
      <c r="F33" s="387"/>
      <c r="G33" s="372" t="s">
        <v>220</v>
      </c>
      <c r="H33" s="371" t="s">
        <v>54</v>
      </c>
      <c r="I33" s="375"/>
      <c r="J33" s="372"/>
      <c r="K33" s="373"/>
      <c r="L33" s="388" t="s">
        <v>78</v>
      </c>
      <c r="M33" s="387" t="s">
        <v>77</v>
      </c>
      <c r="N33" s="387"/>
      <c r="O33" s="387" t="s">
        <v>77</v>
      </c>
      <c r="P33" s="389" t="s">
        <v>77</v>
      </c>
      <c r="Q33" s="388"/>
      <c r="R33" s="387"/>
      <c r="S33" s="387"/>
      <c r="T33" s="387"/>
      <c r="U33" s="390" t="s">
        <v>80</v>
      </c>
      <c r="V33" s="386"/>
      <c r="W33" s="372"/>
      <c r="X33" s="372"/>
      <c r="Y33" s="372"/>
      <c r="Z33" s="373"/>
      <c r="AA33" s="374"/>
      <c r="AB33" s="372"/>
      <c r="AC33" s="372"/>
      <c r="AD33" s="372"/>
      <c r="AE33" s="371"/>
      <c r="AF33" s="375"/>
      <c r="AG33" s="372"/>
      <c r="AH33" s="372"/>
      <c r="AI33" s="372"/>
      <c r="AJ33" s="373"/>
      <c r="AK33" s="374"/>
      <c r="AL33" s="372"/>
      <c r="AM33" s="372"/>
      <c r="AN33" s="372"/>
      <c r="AO33" s="371"/>
      <c r="AP33" s="375"/>
      <c r="AQ33" s="372"/>
      <c r="AR33" s="372"/>
      <c r="AS33" s="372"/>
      <c r="AT33" s="373"/>
      <c r="AU33" s="374"/>
      <c r="AV33" s="372"/>
      <c r="AW33" s="372"/>
      <c r="AX33" s="372"/>
      <c r="AY33" s="371"/>
      <c r="AZ33" s="375"/>
      <c r="BA33" s="372"/>
      <c r="BB33" s="372"/>
      <c r="BC33" s="372"/>
      <c r="BD33" s="373"/>
      <c r="BE33" s="374"/>
      <c r="BF33" s="372"/>
      <c r="BG33" s="372"/>
      <c r="BH33" s="372"/>
      <c r="BI33" s="371"/>
      <c r="BJ33" s="375"/>
      <c r="BK33" s="372"/>
      <c r="BL33" s="372"/>
      <c r="BM33" s="372"/>
      <c r="BN33" s="373"/>
      <c r="BO33" s="374"/>
      <c r="BP33" s="372"/>
      <c r="BQ33" s="372"/>
      <c r="BR33" s="372"/>
      <c r="BS33" s="371"/>
      <c r="BT33" s="375"/>
      <c r="BU33" s="372"/>
      <c r="BV33" s="372"/>
      <c r="BW33" s="372"/>
      <c r="BX33" s="373"/>
      <c r="BY33" s="374"/>
      <c r="BZ33" s="372"/>
      <c r="CA33" s="372"/>
      <c r="CB33" s="372"/>
      <c r="CC33" s="371"/>
      <c r="CD33" s="375"/>
      <c r="CE33" s="372"/>
      <c r="CF33" s="372"/>
      <c r="CG33" s="372"/>
      <c r="CH33" s="371"/>
      <c r="CI33" s="375"/>
      <c r="CJ33" s="372"/>
      <c r="CK33" s="372"/>
      <c r="CL33" s="372"/>
      <c r="CM33" s="373"/>
    </row>
    <row r="34" spans="1:91" ht="25.5" customHeight="1" thickBot="1">
      <c r="A34" s="411">
        <v>3827</v>
      </c>
      <c r="B34" s="412" t="s">
        <v>11</v>
      </c>
      <c r="C34" s="412" t="s">
        <v>44</v>
      </c>
      <c r="D34" s="412" t="s">
        <v>76</v>
      </c>
      <c r="E34" s="377" t="s">
        <v>53</v>
      </c>
      <c r="F34" s="412"/>
      <c r="G34" s="377" t="s">
        <v>222</v>
      </c>
      <c r="H34" s="376" t="s">
        <v>54</v>
      </c>
      <c r="I34" s="380"/>
      <c r="J34" s="377"/>
      <c r="K34" s="378"/>
      <c r="L34" s="413" t="s">
        <v>78</v>
      </c>
      <c r="M34" s="412" t="s">
        <v>77</v>
      </c>
      <c r="N34" s="412"/>
      <c r="O34" s="412" t="s">
        <v>77</v>
      </c>
      <c r="P34" s="414" t="s">
        <v>77</v>
      </c>
      <c r="Q34" s="413"/>
      <c r="R34" s="412"/>
      <c r="S34" s="412"/>
      <c r="T34" s="412"/>
      <c r="U34" s="415" t="s">
        <v>80</v>
      </c>
      <c r="V34" s="411"/>
      <c r="W34" s="377"/>
      <c r="X34" s="377"/>
      <c r="Y34" s="377"/>
      <c r="Z34" s="378"/>
      <c r="AA34" s="379"/>
      <c r="AB34" s="377"/>
      <c r="AC34" s="377"/>
      <c r="AD34" s="377"/>
      <c r="AE34" s="376"/>
      <c r="AF34" s="380"/>
      <c r="AG34" s="377"/>
      <c r="AH34" s="377"/>
      <c r="AI34" s="377"/>
      <c r="AJ34" s="378"/>
      <c r="AK34" s="379"/>
      <c r="AL34" s="377"/>
      <c r="AM34" s="377"/>
      <c r="AN34" s="377"/>
      <c r="AO34" s="376"/>
      <c r="AP34" s="380"/>
      <c r="AQ34" s="377"/>
      <c r="AR34" s="377"/>
      <c r="AS34" s="377"/>
      <c r="AT34" s="378"/>
      <c r="AU34" s="379"/>
      <c r="AV34" s="377"/>
      <c r="AW34" s="377"/>
      <c r="AX34" s="377"/>
      <c r="AY34" s="376"/>
      <c r="AZ34" s="380"/>
      <c r="BA34" s="377"/>
      <c r="BB34" s="377"/>
      <c r="BC34" s="377"/>
      <c r="BD34" s="378"/>
      <c r="BE34" s="379"/>
      <c r="BF34" s="377"/>
      <c r="BG34" s="377"/>
      <c r="BH34" s="377"/>
      <c r="BI34" s="376"/>
      <c r="BJ34" s="380"/>
      <c r="BK34" s="377"/>
      <c r="BL34" s="377"/>
      <c r="BM34" s="377"/>
      <c r="BN34" s="378"/>
      <c r="BO34" s="379"/>
      <c r="BP34" s="377"/>
      <c r="BQ34" s="377"/>
      <c r="BR34" s="377"/>
      <c r="BS34" s="376"/>
      <c r="BT34" s="380"/>
      <c r="BU34" s="377"/>
      <c r="BV34" s="377"/>
      <c r="BW34" s="377"/>
      <c r="BX34" s="378"/>
      <c r="BY34" s="379"/>
      <c r="BZ34" s="377"/>
      <c r="CA34" s="377"/>
      <c r="CB34" s="377"/>
      <c r="CC34" s="376"/>
      <c r="CD34" s="380"/>
      <c r="CE34" s="377"/>
      <c r="CF34" s="377"/>
      <c r="CG34" s="377"/>
      <c r="CH34" s="376"/>
      <c r="CI34" s="380"/>
      <c r="CJ34" s="377"/>
      <c r="CK34" s="377"/>
      <c r="CL34" s="377"/>
      <c r="CM34" s="378"/>
    </row>
    <row r="35" spans="1:91" ht="25.5" customHeight="1">
      <c r="A35" s="416">
        <v>3828</v>
      </c>
      <c r="B35" s="417" t="s">
        <v>11</v>
      </c>
      <c r="C35" s="417" t="s">
        <v>44</v>
      </c>
      <c r="D35" s="417" t="s">
        <v>76</v>
      </c>
      <c r="E35" s="381" t="s">
        <v>53</v>
      </c>
      <c r="F35" s="417"/>
      <c r="G35" s="381" t="s">
        <v>224</v>
      </c>
      <c r="H35" s="384" t="s">
        <v>54</v>
      </c>
      <c r="I35" s="385"/>
      <c r="J35" s="381"/>
      <c r="K35" s="382"/>
      <c r="L35" s="418" t="s">
        <v>78</v>
      </c>
      <c r="M35" s="417" t="s">
        <v>77</v>
      </c>
      <c r="N35" s="417"/>
      <c r="O35" s="417" t="s">
        <v>77</v>
      </c>
      <c r="P35" s="419" t="s">
        <v>77</v>
      </c>
      <c r="Q35" s="418"/>
      <c r="R35" s="417"/>
      <c r="S35" s="417"/>
      <c r="T35" s="417"/>
      <c r="U35" s="420" t="s">
        <v>80</v>
      </c>
      <c r="V35" s="416"/>
      <c r="W35" s="381"/>
      <c r="X35" s="381"/>
      <c r="Y35" s="381"/>
      <c r="Z35" s="382"/>
      <c r="AA35" s="383"/>
      <c r="AB35" s="381"/>
      <c r="AC35" s="381"/>
      <c r="AD35" s="381"/>
      <c r="AE35" s="384"/>
      <c r="AF35" s="385"/>
      <c r="AG35" s="381"/>
      <c r="AH35" s="381"/>
      <c r="AI35" s="381"/>
      <c r="AJ35" s="382"/>
      <c r="AK35" s="383"/>
      <c r="AL35" s="381"/>
      <c r="AM35" s="381"/>
      <c r="AN35" s="381"/>
      <c r="AO35" s="384"/>
      <c r="AP35" s="385"/>
      <c r="AQ35" s="381"/>
      <c r="AR35" s="381"/>
      <c r="AS35" s="381"/>
      <c r="AT35" s="382"/>
      <c r="AU35" s="383"/>
      <c r="AV35" s="381"/>
      <c r="AW35" s="381"/>
      <c r="AX35" s="381"/>
      <c r="AY35" s="384"/>
      <c r="AZ35" s="385"/>
      <c r="BA35" s="381"/>
      <c r="BB35" s="381"/>
      <c r="BC35" s="381"/>
      <c r="BD35" s="382"/>
      <c r="BE35" s="383"/>
      <c r="BF35" s="381"/>
      <c r="BG35" s="381"/>
      <c r="BH35" s="381"/>
      <c r="BI35" s="384"/>
      <c r="BJ35" s="385"/>
      <c r="BK35" s="381"/>
      <c r="BL35" s="381"/>
      <c r="BM35" s="381"/>
      <c r="BN35" s="382"/>
      <c r="BO35" s="383"/>
      <c r="BP35" s="381"/>
      <c r="BQ35" s="381"/>
      <c r="BR35" s="381"/>
      <c r="BS35" s="384"/>
      <c r="BT35" s="385"/>
      <c r="BU35" s="381"/>
      <c r="BV35" s="381"/>
      <c r="BW35" s="381"/>
      <c r="BX35" s="382"/>
      <c r="BY35" s="383"/>
      <c r="BZ35" s="381"/>
      <c r="CA35" s="381"/>
      <c r="CB35" s="381"/>
      <c r="CC35" s="384"/>
      <c r="CD35" s="385"/>
      <c r="CE35" s="381"/>
      <c r="CF35" s="381"/>
      <c r="CG35" s="381"/>
      <c r="CH35" s="384"/>
      <c r="CI35" s="385"/>
      <c r="CJ35" s="381"/>
      <c r="CK35" s="381"/>
      <c r="CL35" s="381"/>
      <c r="CM35" s="382"/>
    </row>
    <row r="36" spans="1:91" ht="25.5" customHeight="1">
      <c r="A36" s="386">
        <v>3829</v>
      </c>
      <c r="B36" s="387" t="s">
        <v>11</v>
      </c>
      <c r="C36" s="387" t="s">
        <v>44</v>
      </c>
      <c r="D36" s="387" t="s">
        <v>76</v>
      </c>
      <c r="E36" s="372" t="s">
        <v>53</v>
      </c>
      <c r="F36" s="387"/>
      <c r="G36" s="372" t="s">
        <v>226</v>
      </c>
      <c r="H36" s="371" t="s">
        <v>54</v>
      </c>
      <c r="I36" s="375"/>
      <c r="J36" s="372"/>
      <c r="K36" s="373"/>
      <c r="L36" s="388" t="s">
        <v>78</v>
      </c>
      <c r="M36" s="387" t="s">
        <v>77</v>
      </c>
      <c r="N36" s="387"/>
      <c r="O36" s="387" t="s">
        <v>77</v>
      </c>
      <c r="P36" s="389" t="s">
        <v>77</v>
      </c>
      <c r="Q36" s="388"/>
      <c r="R36" s="387"/>
      <c r="S36" s="387"/>
      <c r="T36" s="387"/>
      <c r="U36" s="390" t="s">
        <v>80</v>
      </c>
      <c r="V36" s="386"/>
      <c r="W36" s="372"/>
      <c r="X36" s="372"/>
      <c r="Y36" s="372"/>
      <c r="Z36" s="373"/>
      <c r="AA36" s="374"/>
      <c r="AB36" s="372"/>
      <c r="AC36" s="372"/>
      <c r="AD36" s="372"/>
      <c r="AE36" s="371"/>
      <c r="AF36" s="375"/>
      <c r="AG36" s="372"/>
      <c r="AH36" s="372"/>
      <c r="AI36" s="372"/>
      <c r="AJ36" s="373"/>
      <c r="AK36" s="374"/>
      <c r="AL36" s="372"/>
      <c r="AM36" s="372"/>
      <c r="AN36" s="372"/>
      <c r="AO36" s="371"/>
      <c r="AP36" s="375"/>
      <c r="AQ36" s="372"/>
      <c r="AR36" s="372"/>
      <c r="AS36" s="372"/>
      <c r="AT36" s="373"/>
      <c r="AU36" s="374"/>
      <c r="AV36" s="372"/>
      <c r="AW36" s="372"/>
      <c r="AX36" s="372"/>
      <c r="AY36" s="371"/>
      <c r="AZ36" s="375"/>
      <c r="BA36" s="372"/>
      <c r="BB36" s="372"/>
      <c r="BC36" s="372"/>
      <c r="BD36" s="373"/>
      <c r="BE36" s="374"/>
      <c r="BF36" s="372"/>
      <c r="BG36" s="372"/>
      <c r="BH36" s="372"/>
      <c r="BI36" s="371"/>
      <c r="BJ36" s="375"/>
      <c r="BK36" s="372"/>
      <c r="BL36" s="372"/>
      <c r="BM36" s="372"/>
      <c r="BN36" s="373"/>
      <c r="BO36" s="374"/>
      <c r="BP36" s="372"/>
      <c r="BQ36" s="372"/>
      <c r="BR36" s="372"/>
      <c r="BS36" s="371"/>
      <c r="BT36" s="375"/>
      <c r="BU36" s="372"/>
      <c r="BV36" s="372"/>
      <c r="BW36" s="372"/>
      <c r="BX36" s="373"/>
      <c r="BY36" s="374"/>
      <c r="BZ36" s="372"/>
      <c r="CA36" s="372"/>
      <c r="CB36" s="372"/>
      <c r="CC36" s="371"/>
      <c r="CD36" s="375"/>
      <c r="CE36" s="372"/>
      <c r="CF36" s="372"/>
      <c r="CG36" s="372"/>
      <c r="CH36" s="371"/>
      <c r="CI36" s="375"/>
      <c r="CJ36" s="372"/>
      <c r="CK36" s="372"/>
      <c r="CL36" s="372"/>
      <c r="CM36" s="373"/>
    </row>
    <row r="37" spans="1:91" ht="25.5" customHeight="1">
      <c r="A37" s="386">
        <v>3830</v>
      </c>
      <c r="B37" s="387" t="s">
        <v>11</v>
      </c>
      <c r="C37" s="387" t="s">
        <v>44</v>
      </c>
      <c r="D37" s="387" t="s">
        <v>76</v>
      </c>
      <c r="E37" s="372" t="s">
        <v>53</v>
      </c>
      <c r="F37" s="387"/>
      <c r="G37" s="372" t="s">
        <v>228</v>
      </c>
      <c r="H37" s="371" t="s">
        <v>54</v>
      </c>
      <c r="I37" s="375"/>
      <c r="J37" s="372"/>
      <c r="K37" s="373"/>
      <c r="L37" s="388" t="s">
        <v>78</v>
      </c>
      <c r="M37" s="387" t="s">
        <v>77</v>
      </c>
      <c r="N37" s="387"/>
      <c r="O37" s="387" t="s">
        <v>77</v>
      </c>
      <c r="P37" s="389" t="s">
        <v>77</v>
      </c>
      <c r="Q37" s="388"/>
      <c r="R37" s="387"/>
      <c r="S37" s="387"/>
      <c r="T37" s="387"/>
      <c r="U37" s="390" t="s">
        <v>80</v>
      </c>
      <c r="V37" s="386"/>
      <c r="W37" s="372"/>
      <c r="X37" s="372"/>
      <c r="Y37" s="372"/>
      <c r="Z37" s="373"/>
      <c r="AA37" s="374"/>
      <c r="AB37" s="372"/>
      <c r="AC37" s="372"/>
      <c r="AD37" s="372"/>
      <c r="AE37" s="371"/>
      <c r="AF37" s="375"/>
      <c r="AG37" s="372"/>
      <c r="AH37" s="372"/>
      <c r="AI37" s="372"/>
      <c r="AJ37" s="373"/>
      <c r="AK37" s="374"/>
      <c r="AL37" s="372"/>
      <c r="AM37" s="372"/>
      <c r="AN37" s="372"/>
      <c r="AO37" s="371"/>
      <c r="AP37" s="375"/>
      <c r="AQ37" s="372"/>
      <c r="AR37" s="372"/>
      <c r="AS37" s="372"/>
      <c r="AT37" s="373"/>
      <c r="AU37" s="374"/>
      <c r="AV37" s="372"/>
      <c r="AW37" s="372"/>
      <c r="AX37" s="372"/>
      <c r="AY37" s="371"/>
      <c r="AZ37" s="375"/>
      <c r="BA37" s="372"/>
      <c r="BB37" s="372"/>
      <c r="BC37" s="372"/>
      <c r="BD37" s="373"/>
      <c r="BE37" s="374"/>
      <c r="BF37" s="372"/>
      <c r="BG37" s="372"/>
      <c r="BH37" s="372"/>
      <c r="BI37" s="371"/>
      <c r="BJ37" s="375"/>
      <c r="BK37" s="372"/>
      <c r="BL37" s="372"/>
      <c r="BM37" s="372"/>
      <c r="BN37" s="373"/>
      <c r="BO37" s="374"/>
      <c r="BP37" s="372"/>
      <c r="BQ37" s="372"/>
      <c r="BR37" s="372"/>
      <c r="BS37" s="371"/>
      <c r="BT37" s="375"/>
      <c r="BU37" s="372"/>
      <c r="BV37" s="372"/>
      <c r="BW37" s="372"/>
      <c r="BX37" s="373"/>
      <c r="BY37" s="374"/>
      <c r="BZ37" s="372"/>
      <c r="CA37" s="372"/>
      <c r="CB37" s="372"/>
      <c r="CC37" s="371"/>
      <c r="CD37" s="375"/>
      <c r="CE37" s="372"/>
      <c r="CF37" s="372"/>
      <c r="CG37" s="372"/>
      <c r="CH37" s="371"/>
      <c r="CI37" s="375"/>
      <c r="CJ37" s="372"/>
      <c r="CK37" s="372"/>
      <c r="CL37" s="372"/>
      <c r="CM37" s="373"/>
    </row>
    <row r="38" spans="1:91" ht="25.5" customHeight="1">
      <c r="A38" s="386">
        <v>3831</v>
      </c>
      <c r="B38" s="387" t="s">
        <v>11</v>
      </c>
      <c r="C38" s="387" t="s">
        <v>44</v>
      </c>
      <c r="D38" s="387" t="s">
        <v>76</v>
      </c>
      <c r="E38" s="372" t="s">
        <v>53</v>
      </c>
      <c r="F38" s="387"/>
      <c r="G38" s="372" t="s">
        <v>230</v>
      </c>
      <c r="H38" s="371" t="s">
        <v>54</v>
      </c>
      <c r="I38" s="375"/>
      <c r="J38" s="372"/>
      <c r="K38" s="373"/>
      <c r="L38" s="388" t="s">
        <v>78</v>
      </c>
      <c r="M38" s="387" t="s">
        <v>77</v>
      </c>
      <c r="N38" s="387"/>
      <c r="O38" s="387" t="s">
        <v>77</v>
      </c>
      <c r="P38" s="389" t="s">
        <v>77</v>
      </c>
      <c r="Q38" s="388"/>
      <c r="R38" s="387"/>
      <c r="S38" s="387"/>
      <c r="T38" s="387"/>
      <c r="U38" s="390" t="s">
        <v>80</v>
      </c>
      <c r="V38" s="386"/>
      <c r="W38" s="372"/>
      <c r="X38" s="372"/>
      <c r="Y38" s="372"/>
      <c r="Z38" s="373"/>
      <c r="AA38" s="374"/>
      <c r="AB38" s="372"/>
      <c r="AC38" s="372"/>
      <c r="AD38" s="372"/>
      <c r="AE38" s="371"/>
      <c r="AF38" s="375"/>
      <c r="AG38" s="372"/>
      <c r="AH38" s="372"/>
      <c r="AI38" s="372"/>
      <c r="AJ38" s="373"/>
      <c r="AK38" s="374"/>
      <c r="AL38" s="372"/>
      <c r="AM38" s="372"/>
      <c r="AN38" s="372"/>
      <c r="AO38" s="371"/>
      <c r="AP38" s="375"/>
      <c r="AQ38" s="372"/>
      <c r="AR38" s="372"/>
      <c r="AS38" s="372"/>
      <c r="AT38" s="373"/>
      <c r="AU38" s="374"/>
      <c r="AV38" s="372"/>
      <c r="AW38" s="372"/>
      <c r="AX38" s="372"/>
      <c r="AY38" s="371"/>
      <c r="AZ38" s="375"/>
      <c r="BA38" s="372"/>
      <c r="BB38" s="372"/>
      <c r="BC38" s="372"/>
      <c r="BD38" s="373"/>
      <c r="BE38" s="374"/>
      <c r="BF38" s="372"/>
      <c r="BG38" s="372"/>
      <c r="BH38" s="372"/>
      <c r="BI38" s="371"/>
      <c r="BJ38" s="375"/>
      <c r="BK38" s="372"/>
      <c r="BL38" s="372"/>
      <c r="BM38" s="372"/>
      <c r="BN38" s="373"/>
      <c r="BO38" s="374"/>
      <c r="BP38" s="372"/>
      <c r="BQ38" s="372"/>
      <c r="BR38" s="372"/>
      <c r="BS38" s="371"/>
      <c r="BT38" s="375"/>
      <c r="BU38" s="372"/>
      <c r="BV38" s="372"/>
      <c r="BW38" s="372"/>
      <c r="BX38" s="373"/>
      <c r="BY38" s="374"/>
      <c r="BZ38" s="372"/>
      <c r="CA38" s="372"/>
      <c r="CB38" s="372"/>
      <c r="CC38" s="371"/>
      <c r="CD38" s="375"/>
      <c r="CE38" s="372"/>
      <c r="CF38" s="372"/>
      <c r="CG38" s="372"/>
      <c r="CH38" s="371"/>
      <c r="CI38" s="375"/>
      <c r="CJ38" s="372"/>
      <c r="CK38" s="372"/>
      <c r="CL38" s="372"/>
      <c r="CM38" s="373"/>
    </row>
    <row r="39" spans="1:91" ht="25.5" customHeight="1" thickBot="1">
      <c r="A39" s="391">
        <v>3832</v>
      </c>
      <c r="B39" s="392" t="s">
        <v>11</v>
      </c>
      <c r="C39" s="392" t="s">
        <v>44</v>
      </c>
      <c r="D39" s="392" t="s">
        <v>76</v>
      </c>
      <c r="E39" s="393" t="s">
        <v>53</v>
      </c>
      <c r="F39" s="392"/>
      <c r="G39" s="393" t="s">
        <v>232</v>
      </c>
      <c r="H39" s="394" t="s">
        <v>54</v>
      </c>
      <c r="I39" s="395"/>
      <c r="J39" s="393"/>
      <c r="K39" s="396"/>
      <c r="L39" s="397" t="s">
        <v>78</v>
      </c>
      <c r="M39" s="392" t="s">
        <v>77</v>
      </c>
      <c r="N39" s="392"/>
      <c r="O39" s="392" t="s">
        <v>77</v>
      </c>
      <c r="P39" s="398" t="s">
        <v>77</v>
      </c>
      <c r="Q39" s="397"/>
      <c r="R39" s="392"/>
      <c r="S39" s="392"/>
      <c r="T39" s="392"/>
      <c r="U39" s="399" t="s">
        <v>80</v>
      </c>
      <c r="V39" s="391"/>
      <c r="W39" s="393"/>
      <c r="X39" s="393"/>
      <c r="Y39" s="393"/>
      <c r="Z39" s="396"/>
      <c r="AA39" s="400"/>
      <c r="AB39" s="393"/>
      <c r="AC39" s="393"/>
      <c r="AD39" s="393"/>
      <c r="AE39" s="394"/>
      <c r="AF39" s="395"/>
      <c r="AG39" s="393"/>
      <c r="AH39" s="393"/>
      <c r="AI39" s="393"/>
      <c r="AJ39" s="396"/>
      <c r="AK39" s="400"/>
      <c r="AL39" s="393"/>
      <c r="AM39" s="393"/>
      <c r="AN39" s="393"/>
      <c r="AO39" s="394"/>
      <c r="AP39" s="395"/>
      <c r="AQ39" s="393"/>
      <c r="AR39" s="393"/>
      <c r="AS39" s="393"/>
      <c r="AT39" s="396"/>
      <c r="AU39" s="400"/>
      <c r="AV39" s="393"/>
      <c r="AW39" s="393"/>
      <c r="AX39" s="393"/>
      <c r="AY39" s="394"/>
      <c r="AZ39" s="395"/>
      <c r="BA39" s="393"/>
      <c r="BB39" s="393"/>
      <c r="BC39" s="393"/>
      <c r="BD39" s="396"/>
      <c r="BE39" s="400"/>
      <c r="BF39" s="393"/>
      <c r="BG39" s="393"/>
      <c r="BH39" s="393"/>
      <c r="BI39" s="394"/>
      <c r="BJ39" s="395"/>
      <c r="BK39" s="393"/>
      <c r="BL39" s="393"/>
      <c r="BM39" s="393"/>
      <c r="BN39" s="396"/>
      <c r="BO39" s="400"/>
      <c r="BP39" s="393"/>
      <c r="BQ39" s="393"/>
      <c r="BR39" s="393"/>
      <c r="BS39" s="394"/>
      <c r="BT39" s="395"/>
      <c r="BU39" s="393"/>
      <c r="BV39" s="393"/>
      <c r="BW39" s="393"/>
      <c r="BX39" s="396"/>
      <c r="BY39" s="400"/>
      <c r="BZ39" s="393"/>
      <c r="CA39" s="393"/>
      <c r="CB39" s="393"/>
      <c r="CC39" s="394"/>
      <c r="CD39" s="395"/>
      <c r="CE39" s="393"/>
      <c r="CF39" s="393"/>
      <c r="CG39" s="393"/>
      <c r="CH39" s="394"/>
      <c r="CI39" s="395"/>
      <c r="CJ39" s="393"/>
      <c r="CK39" s="393"/>
      <c r="CL39" s="393"/>
      <c r="CM39" s="396"/>
    </row>
    <row r="40" spans="1:91" ht="25.5" customHeight="1">
      <c r="A40" s="401">
        <v>3833</v>
      </c>
      <c r="B40" s="402" t="s">
        <v>11</v>
      </c>
      <c r="C40" s="402" t="s">
        <v>44</v>
      </c>
      <c r="D40" s="402" t="s">
        <v>76</v>
      </c>
      <c r="E40" s="403" t="s">
        <v>53</v>
      </c>
      <c r="F40" s="402"/>
      <c r="G40" s="403" t="s">
        <v>234</v>
      </c>
      <c r="H40" s="404" t="s">
        <v>54</v>
      </c>
      <c r="I40" s="405"/>
      <c r="J40" s="403"/>
      <c r="K40" s="406"/>
      <c r="L40" s="407" t="s">
        <v>78</v>
      </c>
      <c r="M40" s="402" t="s">
        <v>77</v>
      </c>
      <c r="N40" s="402"/>
      <c r="O40" s="402" t="s">
        <v>77</v>
      </c>
      <c r="P40" s="408" t="s">
        <v>77</v>
      </c>
      <c r="Q40" s="407"/>
      <c r="R40" s="402"/>
      <c r="S40" s="402"/>
      <c r="T40" s="402"/>
      <c r="U40" s="409" t="s">
        <v>80</v>
      </c>
      <c r="V40" s="401"/>
      <c r="W40" s="403"/>
      <c r="X40" s="403"/>
      <c r="Y40" s="403"/>
      <c r="Z40" s="406"/>
      <c r="AA40" s="410"/>
      <c r="AB40" s="403"/>
      <c r="AC40" s="403"/>
      <c r="AD40" s="403"/>
      <c r="AE40" s="404"/>
      <c r="AF40" s="405"/>
      <c r="AG40" s="403"/>
      <c r="AH40" s="403"/>
      <c r="AI40" s="403"/>
      <c r="AJ40" s="406"/>
      <c r="AK40" s="410"/>
      <c r="AL40" s="403"/>
      <c r="AM40" s="403"/>
      <c r="AN40" s="403"/>
      <c r="AO40" s="404"/>
      <c r="AP40" s="405"/>
      <c r="AQ40" s="403"/>
      <c r="AR40" s="403"/>
      <c r="AS40" s="403"/>
      <c r="AT40" s="406"/>
      <c r="AU40" s="410"/>
      <c r="AV40" s="403"/>
      <c r="AW40" s="403"/>
      <c r="AX40" s="403"/>
      <c r="AY40" s="404"/>
      <c r="AZ40" s="405"/>
      <c r="BA40" s="403"/>
      <c r="BB40" s="403"/>
      <c r="BC40" s="403"/>
      <c r="BD40" s="406"/>
      <c r="BE40" s="410"/>
      <c r="BF40" s="403"/>
      <c r="BG40" s="403"/>
      <c r="BH40" s="403"/>
      <c r="BI40" s="404"/>
      <c r="BJ40" s="405"/>
      <c r="BK40" s="403"/>
      <c r="BL40" s="403"/>
      <c r="BM40" s="403"/>
      <c r="BN40" s="406"/>
      <c r="BO40" s="410"/>
      <c r="BP40" s="403"/>
      <c r="BQ40" s="403"/>
      <c r="BR40" s="403"/>
      <c r="BS40" s="404"/>
      <c r="BT40" s="405"/>
      <c r="BU40" s="403"/>
      <c r="BV40" s="403"/>
      <c r="BW40" s="403"/>
      <c r="BX40" s="406"/>
      <c r="BY40" s="410"/>
      <c r="BZ40" s="403"/>
      <c r="CA40" s="403"/>
      <c r="CB40" s="403"/>
      <c r="CC40" s="404"/>
      <c r="CD40" s="405"/>
      <c r="CE40" s="403"/>
      <c r="CF40" s="403"/>
      <c r="CG40" s="403"/>
      <c r="CH40" s="404"/>
      <c r="CI40" s="405"/>
      <c r="CJ40" s="403"/>
      <c r="CK40" s="403"/>
      <c r="CL40" s="403"/>
      <c r="CM40" s="406"/>
    </row>
    <row r="41" spans="1:91" ht="25.5" customHeight="1">
      <c r="A41" s="386">
        <v>3834</v>
      </c>
      <c r="B41" s="387" t="s">
        <v>11</v>
      </c>
      <c r="C41" s="387" t="s">
        <v>44</v>
      </c>
      <c r="D41" s="387" t="s">
        <v>76</v>
      </c>
      <c r="E41" s="372" t="s">
        <v>53</v>
      </c>
      <c r="F41" s="387"/>
      <c r="G41" s="372" t="s">
        <v>236</v>
      </c>
      <c r="H41" s="371" t="s">
        <v>54</v>
      </c>
      <c r="I41" s="375"/>
      <c r="J41" s="372"/>
      <c r="K41" s="373"/>
      <c r="L41" s="388" t="s">
        <v>78</v>
      </c>
      <c r="M41" s="387" t="s">
        <v>77</v>
      </c>
      <c r="N41" s="387"/>
      <c r="O41" s="387" t="s">
        <v>77</v>
      </c>
      <c r="P41" s="389" t="s">
        <v>77</v>
      </c>
      <c r="Q41" s="388"/>
      <c r="R41" s="387"/>
      <c r="S41" s="387"/>
      <c r="T41" s="387"/>
      <c r="U41" s="390" t="s">
        <v>80</v>
      </c>
      <c r="V41" s="386"/>
      <c r="W41" s="372"/>
      <c r="X41" s="372"/>
      <c r="Y41" s="372"/>
      <c r="Z41" s="373"/>
      <c r="AA41" s="374"/>
      <c r="AB41" s="372"/>
      <c r="AC41" s="372"/>
      <c r="AD41" s="372"/>
      <c r="AE41" s="371"/>
      <c r="AF41" s="375"/>
      <c r="AG41" s="372"/>
      <c r="AH41" s="372"/>
      <c r="AI41" s="372"/>
      <c r="AJ41" s="373"/>
      <c r="AK41" s="374"/>
      <c r="AL41" s="372"/>
      <c r="AM41" s="372"/>
      <c r="AN41" s="372"/>
      <c r="AO41" s="371"/>
      <c r="AP41" s="375"/>
      <c r="AQ41" s="372"/>
      <c r="AR41" s="372"/>
      <c r="AS41" s="372"/>
      <c r="AT41" s="373"/>
      <c r="AU41" s="374"/>
      <c r="AV41" s="372"/>
      <c r="AW41" s="372"/>
      <c r="AX41" s="372"/>
      <c r="AY41" s="371"/>
      <c r="AZ41" s="375"/>
      <c r="BA41" s="372"/>
      <c r="BB41" s="372"/>
      <c r="BC41" s="372"/>
      <c r="BD41" s="373"/>
      <c r="BE41" s="374"/>
      <c r="BF41" s="372"/>
      <c r="BG41" s="372"/>
      <c r="BH41" s="372"/>
      <c r="BI41" s="371"/>
      <c r="BJ41" s="375"/>
      <c r="BK41" s="372"/>
      <c r="BL41" s="372"/>
      <c r="BM41" s="372"/>
      <c r="BN41" s="373"/>
      <c r="BO41" s="374"/>
      <c r="BP41" s="372"/>
      <c r="BQ41" s="372"/>
      <c r="BR41" s="372"/>
      <c r="BS41" s="371"/>
      <c r="BT41" s="375"/>
      <c r="BU41" s="372"/>
      <c r="BV41" s="372"/>
      <c r="BW41" s="372"/>
      <c r="BX41" s="373"/>
      <c r="BY41" s="374"/>
      <c r="BZ41" s="372"/>
      <c r="CA41" s="372"/>
      <c r="CB41" s="372"/>
      <c r="CC41" s="371"/>
      <c r="CD41" s="375"/>
      <c r="CE41" s="372"/>
      <c r="CF41" s="372"/>
      <c r="CG41" s="372"/>
      <c r="CH41" s="371"/>
      <c r="CI41" s="375"/>
      <c r="CJ41" s="372"/>
      <c r="CK41" s="372"/>
      <c r="CL41" s="372"/>
      <c r="CM41" s="373"/>
    </row>
    <row r="42" spans="1:91" ht="25.5" customHeight="1">
      <c r="A42" s="386">
        <v>3835</v>
      </c>
      <c r="B42" s="387" t="s">
        <v>11</v>
      </c>
      <c r="C42" s="387" t="s">
        <v>44</v>
      </c>
      <c r="D42" s="387" t="s">
        <v>76</v>
      </c>
      <c r="E42" s="372" t="s">
        <v>53</v>
      </c>
      <c r="F42" s="387"/>
      <c r="G42" s="372" t="s">
        <v>238</v>
      </c>
      <c r="H42" s="371" t="s">
        <v>54</v>
      </c>
      <c r="I42" s="375"/>
      <c r="J42" s="372"/>
      <c r="K42" s="373"/>
      <c r="L42" s="388" t="s">
        <v>78</v>
      </c>
      <c r="M42" s="387" t="s">
        <v>77</v>
      </c>
      <c r="N42" s="387"/>
      <c r="O42" s="387" t="s">
        <v>77</v>
      </c>
      <c r="P42" s="389" t="s">
        <v>77</v>
      </c>
      <c r="Q42" s="388"/>
      <c r="R42" s="387"/>
      <c r="S42" s="387"/>
      <c r="T42" s="387"/>
      <c r="U42" s="390" t="s">
        <v>80</v>
      </c>
      <c r="V42" s="386"/>
      <c r="W42" s="372"/>
      <c r="X42" s="372"/>
      <c r="Y42" s="372"/>
      <c r="Z42" s="373"/>
      <c r="AA42" s="374"/>
      <c r="AB42" s="372"/>
      <c r="AC42" s="372"/>
      <c r="AD42" s="372"/>
      <c r="AE42" s="371"/>
      <c r="AF42" s="375"/>
      <c r="AG42" s="372"/>
      <c r="AH42" s="372"/>
      <c r="AI42" s="372"/>
      <c r="AJ42" s="373"/>
      <c r="AK42" s="374"/>
      <c r="AL42" s="372"/>
      <c r="AM42" s="372"/>
      <c r="AN42" s="372"/>
      <c r="AO42" s="371"/>
      <c r="AP42" s="375"/>
      <c r="AQ42" s="372"/>
      <c r="AR42" s="372"/>
      <c r="AS42" s="372"/>
      <c r="AT42" s="373"/>
      <c r="AU42" s="374"/>
      <c r="AV42" s="372"/>
      <c r="AW42" s="372"/>
      <c r="AX42" s="372"/>
      <c r="AY42" s="371"/>
      <c r="AZ42" s="375"/>
      <c r="BA42" s="372"/>
      <c r="BB42" s="372"/>
      <c r="BC42" s="372"/>
      <c r="BD42" s="373"/>
      <c r="BE42" s="374"/>
      <c r="BF42" s="372"/>
      <c r="BG42" s="372"/>
      <c r="BH42" s="372"/>
      <c r="BI42" s="371"/>
      <c r="BJ42" s="375"/>
      <c r="BK42" s="372"/>
      <c r="BL42" s="372"/>
      <c r="BM42" s="372"/>
      <c r="BN42" s="373"/>
      <c r="BO42" s="374"/>
      <c r="BP42" s="372"/>
      <c r="BQ42" s="372"/>
      <c r="BR42" s="372"/>
      <c r="BS42" s="371"/>
      <c r="BT42" s="375"/>
      <c r="BU42" s="372"/>
      <c r="BV42" s="372"/>
      <c r="BW42" s="372"/>
      <c r="BX42" s="373"/>
      <c r="BY42" s="374"/>
      <c r="BZ42" s="372"/>
      <c r="CA42" s="372"/>
      <c r="CB42" s="372"/>
      <c r="CC42" s="371"/>
      <c r="CD42" s="375"/>
      <c r="CE42" s="372"/>
      <c r="CF42" s="372"/>
      <c r="CG42" s="372"/>
      <c r="CH42" s="371"/>
      <c r="CI42" s="375"/>
      <c r="CJ42" s="372"/>
      <c r="CK42" s="372"/>
      <c r="CL42" s="372"/>
      <c r="CM42" s="373"/>
    </row>
    <row r="43" spans="1:91" ht="25.5" customHeight="1">
      <c r="A43" s="386">
        <v>3836</v>
      </c>
      <c r="B43" s="387" t="s">
        <v>11</v>
      </c>
      <c r="C43" s="387" t="s">
        <v>44</v>
      </c>
      <c r="D43" s="387" t="s">
        <v>76</v>
      </c>
      <c r="E43" s="372" t="s">
        <v>53</v>
      </c>
      <c r="F43" s="387"/>
      <c r="G43" s="372" t="s">
        <v>240</v>
      </c>
      <c r="H43" s="371" t="s">
        <v>54</v>
      </c>
      <c r="I43" s="375"/>
      <c r="J43" s="372"/>
      <c r="K43" s="373"/>
      <c r="L43" s="388" t="s">
        <v>78</v>
      </c>
      <c r="M43" s="387" t="s">
        <v>77</v>
      </c>
      <c r="N43" s="387"/>
      <c r="O43" s="387" t="s">
        <v>77</v>
      </c>
      <c r="P43" s="389" t="s">
        <v>77</v>
      </c>
      <c r="Q43" s="388"/>
      <c r="R43" s="387"/>
      <c r="S43" s="387"/>
      <c r="T43" s="387"/>
      <c r="U43" s="390" t="s">
        <v>80</v>
      </c>
      <c r="V43" s="386"/>
      <c r="W43" s="372"/>
      <c r="X43" s="372"/>
      <c r="Y43" s="372"/>
      <c r="Z43" s="373"/>
      <c r="AA43" s="374"/>
      <c r="AB43" s="372"/>
      <c r="AC43" s="372"/>
      <c r="AD43" s="372"/>
      <c r="AE43" s="371"/>
      <c r="AF43" s="375"/>
      <c r="AG43" s="372"/>
      <c r="AH43" s="372"/>
      <c r="AI43" s="372"/>
      <c r="AJ43" s="373"/>
      <c r="AK43" s="374"/>
      <c r="AL43" s="372"/>
      <c r="AM43" s="372"/>
      <c r="AN43" s="372"/>
      <c r="AO43" s="371"/>
      <c r="AP43" s="375"/>
      <c r="AQ43" s="372"/>
      <c r="AR43" s="372"/>
      <c r="AS43" s="372"/>
      <c r="AT43" s="373"/>
      <c r="AU43" s="374"/>
      <c r="AV43" s="372"/>
      <c r="AW43" s="372"/>
      <c r="AX43" s="372"/>
      <c r="AY43" s="371"/>
      <c r="AZ43" s="375"/>
      <c r="BA43" s="372"/>
      <c r="BB43" s="372"/>
      <c r="BC43" s="372"/>
      <c r="BD43" s="373"/>
      <c r="BE43" s="374"/>
      <c r="BF43" s="372"/>
      <c r="BG43" s="372"/>
      <c r="BH43" s="372"/>
      <c r="BI43" s="371"/>
      <c r="BJ43" s="375"/>
      <c r="BK43" s="372"/>
      <c r="BL43" s="372"/>
      <c r="BM43" s="372"/>
      <c r="BN43" s="373"/>
      <c r="BO43" s="374"/>
      <c r="BP43" s="372"/>
      <c r="BQ43" s="372"/>
      <c r="BR43" s="372"/>
      <c r="BS43" s="371"/>
      <c r="BT43" s="375"/>
      <c r="BU43" s="372"/>
      <c r="BV43" s="372"/>
      <c r="BW43" s="372"/>
      <c r="BX43" s="373"/>
      <c r="BY43" s="374"/>
      <c r="BZ43" s="372"/>
      <c r="CA43" s="372"/>
      <c r="CB43" s="372"/>
      <c r="CC43" s="371"/>
      <c r="CD43" s="375"/>
      <c r="CE43" s="372"/>
      <c r="CF43" s="372"/>
      <c r="CG43" s="372"/>
      <c r="CH43" s="371"/>
      <c r="CI43" s="375"/>
      <c r="CJ43" s="372"/>
      <c r="CK43" s="372"/>
      <c r="CL43" s="372"/>
      <c r="CM43" s="373"/>
    </row>
    <row r="44" spans="1:91" ht="25.5" customHeight="1" thickBot="1">
      <c r="A44" s="411">
        <v>3837</v>
      </c>
      <c r="B44" s="412" t="s">
        <v>11</v>
      </c>
      <c r="C44" s="412" t="s">
        <v>44</v>
      </c>
      <c r="D44" s="412" t="s">
        <v>76</v>
      </c>
      <c r="E44" s="377" t="s">
        <v>53</v>
      </c>
      <c r="F44" s="412"/>
      <c r="G44" s="377" t="s">
        <v>242</v>
      </c>
      <c r="H44" s="376" t="s">
        <v>54</v>
      </c>
      <c r="I44" s="380"/>
      <c r="J44" s="377"/>
      <c r="K44" s="378"/>
      <c r="L44" s="413" t="s">
        <v>78</v>
      </c>
      <c r="M44" s="412" t="s">
        <v>77</v>
      </c>
      <c r="N44" s="412"/>
      <c r="O44" s="412" t="s">
        <v>77</v>
      </c>
      <c r="P44" s="414" t="s">
        <v>77</v>
      </c>
      <c r="Q44" s="413"/>
      <c r="R44" s="412"/>
      <c r="S44" s="412"/>
      <c r="T44" s="412"/>
      <c r="U44" s="415" t="s">
        <v>80</v>
      </c>
      <c r="V44" s="411"/>
      <c r="W44" s="377"/>
      <c r="X44" s="377"/>
      <c r="Y44" s="377"/>
      <c r="Z44" s="378"/>
      <c r="AA44" s="379"/>
      <c r="AB44" s="377"/>
      <c r="AC44" s="377"/>
      <c r="AD44" s="377"/>
      <c r="AE44" s="376"/>
      <c r="AF44" s="380"/>
      <c r="AG44" s="377"/>
      <c r="AH44" s="377"/>
      <c r="AI44" s="377"/>
      <c r="AJ44" s="378"/>
      <c r="AK44" s="379"/>
      <c r="AL44" s="377"/>
      <c r="AM44" s="377"/>
      <c r="AN44" s="377"/>
      <c r="AO44" s="376"/>
      <c r="AP44" s="380"/>
      <c r="AQ44" s="377"/>
      <c r="AR44" s="377"/>
      <c r="AS44" s="377"/>
      <c r="AT44" s="378"/>
      <c r="AU44" s="379"/>
      <c r="AV44" s="377"/>
      <c r="AW44" s="377"/>
      <c r="AX44" s="377"/>
      <c r="AY44" s="376"/>
      <c r="AZ44" s="380"/>
      <c r="BA44" s="377"/>
      <c r="BB44" s="377"/>
      <c r="BC44" s="377"/>
      <c r="BD44" s="378"/>
      <c r="BE44" s="379"/>
      <c r="BF44" s="377"/>
      <c r="BG44" s="377"/>
      <c r="BH44" s="377"/>
      <c r="BI44" s="376"/>
      <c r="BJ44" s="380"/>
      <c r="BK44" s="377"/>
      <c r="BL44" s="377"/>
      <c r="BM44" s="377"/>
      <c r="BN44" s="378"/>
      <c r="BO44" s="379"/>
      <c r="BP44" s="377"/>
      <c r="BQ44" s="377"/>
      <c r="BR44" s="377"/>
      <c r="BS44" s="376"/>
      <c r="BT44" s="380"/>
      <c r="BU44" s="377"/>
      <c r="BV44" s="377"/>
      <c r="BW44" s="377"/>
      <c r="BX44" s="378"/>
      <c r="BY44" s="379"/>
      <c r="BZ44" s="377"/>
      <c r="CA44" s="377"/>
      <c r="CB44" s="377"/>
      <c r="CC44" s="376"/>
      <c r="CD44" s="380"/>
      <c r="CE44" s="377"/>
      <c r="CF44" s="377"/>
      <c r="CG44" s="377"/>
      <c r="CH44" s="376"/>
      <c r="CI44" s="380"/>
      <c r="CJ44" s="377"/>
      <c r="CK44" s="377"/>
      <c r="CL44" s="377"/>
      <c r="CM44" s="378"/>
    </row>
    <row r="45" spans="1:91" ht="25.5" customHeight="1">
      <c r="A45" s="416">
        <v>3838</v>
      </c>
      <c r="B45" s="417" t="s">
        <v>11</v>
      </c>
      <c r="C45" s="417" t="s">
        <v>44</v>
      </c>
      <c r="D45" s="417" t="s">
        <v>76</v>
      </c>
      <c r="E45" s="381" t="s">
        <v>53</v>
      </c>
      <c r="F45" s="417"/>
      <c r="G45" s="381" t="s">
        <v>244</v>
      </c>
      <c r="H45" s="384" t="s">
        <v>54</v>
      </c>
      <c r="I45" s="385"/>
      <c r="J45" s="381"/>
      <c r="K45" s="382"/>
      <c r="L45" s="418" t="s">
        <v>78</v>
      </c>
      <c r="M45" s="417" t="s">
        <v>77</v>
      </c>
      <c r="N45" s="417"/>
      <c r="O45" s="417" t="s">
        <v>77</v>
      </c>
      <c r="P45" s="419" t="s">
        <v>77</v>
      </c>
      <c r="Q45" s="418"/>
      <c r="R45" s="417"/>
      <c r="S45" s="417"/>
      <c r="T45" s="417"/>
      <c r="U45" s="420" t="s">
        <v>80</v>
      </c>
      <c r="V45" s="416"/>
      <c r="W45" s="381"/>
      <c r="X45" s="381"/>
      <c r="Y45" s="381"/>
      <c r="Z45" s="382"/>
      <c r="AA45" s="383"/>
      <c r="AB45" s="381"/>
      <c r="AC45" s="381"/>
      <c r="AD45" s="381"/>
      <c r="AE45" s="384"/>
      <c r="AF45" s="385"/>
      <c r="AG45" s="381"/>
      <c r="AH45" s="381"/>
      <c r="AI45" s="381"/>
      <c r="AJ45" s="382"/>
      <c r="AK45" s="383"/>
      <c r="AL45" s="381"/>
      <c r="AM45" s="381"/>
      <c r="AN45" s="381"/>
      <c r="AO45" s="384"/>
      <c r="AP45" s="385"/>
      <c r="AQ45" s="381"/>
      <c r="AR45" s="381"/>
      <c r="AS45" s="381"/>
      <c r="AT45" s="382"/>
      <c r="AU45" s="383"/>
      <c r="AV45" s="381"/>
      <c r="AW45" s="381"/>
      <c r="AX45" s="381"/>
      <c r="AY45" s="384"/>
      <c r="AZ45" s="385"/>
      <c r="BA45" s="381"/>
      <c r="BB45" s="381"/>
      <c r="BC45" s="381"/>
      <c r="BD45" s="382"/>
      <c r="BE45" s="383"/>
      <c r="BF45" s="381"/>
      <c r="BG45" s="381"/>
      <c r="BH45" s="381"/>
      <c r="BI45" s="384"/>
      <c r="BJ45" s="385"/>
      <c r="BK45" s="381"/>
      <c r="BL45" s="381"/>
      <c r="BM45" s="381"/>
      <c r="BN45" s="382"/>
      <c r="BO45" s="383"/>
      <c r="BP45" s="381"/>
      <c r="BQ45" s="381"/>
      <c r="BR45" s="381"/>
      <c r="BS45" s="384"/>
      <c r="BT45" s="385"/>
      <c r="BU45" s="381"/>
      <c r="BV45" s="381"/>
      <c r="BW45" s="381"/>
      <c r="BX45" s="382"/>
      <c r="BY45" s="383"/>
      <c r="BZ45" s="381"/>
      <c r="CA45" s="381"/>
      <c r="CB45" s="381"/>
      <c r="CC45" s="384"/>
      <c r="CD45" s="385"/>
      <c r="CE45" s="381"/>
      <c r="CF45" s="381"/>
      <c r="CG45" s="381"/>
      <c r="CH45" s="384"/>
      <c r="CI45" s="385"/>
      <c r="CJ45" s="381"/>
      <c r="CK45" s="381"/>
      <c r="CL45" s="381"/>
      <c r="CM45" s="382"/>
    </row>
    <row r="46" spans="1:91" ht="25.5" customHeight="1">
      <c r="A46" s="386">
        <v>3839</v>
      </c>
      <c r="B46" s="387" t="s">
        <v>11</v>
      </c>
      <c r="C46" s="387" t="s">
        <v>44</v>
      </c>
      <c r="D46" s="387" t="s">
        <v>76</v>
      </c>
      <c r="E46" s="372" t="s">
        <v>53</v>
      </c>
      <c r="F46" s="387"/>
      <c r="G46" s="372" t="s">
        <v>246</v>
      </c>
      <c r="H46" s="371" t="s">
        <v>54</v>
      </c>
      <c r="I46" s="375"/>
      <c r="J46" s="372"/>
      <c r="K46" s="373"/>
      <c r="L46" s="388" t="s">
        <v>78</v>
      </c>
      <c r="M46" s="387" t="s">
        <v>77</v>
      </c>
      <c r="N46" s="387"/>
      <c r="O46" s="387" t="s">
        <v>77</v>
      </c>
      <c r="P46" s="389" t="s">
        <v>77</v>
      </c>
      <c r="Q46" s="388"/>
      <c r="R46" s="387"/>
      <c r="S46" s="387"/>
      <c r="T46" s="387"/>
      <c r="U46" s="390" t="s">
        <v>80</v>
      </c>
      <c r="V46" s="386"/>
      <c r="W46" s="372"/>
      <c r="X46" s="372"/>
      <c r="Y46" s="372"/>
      <c r="Z46" s="373"/>
      <c r="AA46" s="374"/>
      <c r="AB46" s="372"/>
      <c r="AC46" s="372"/>
      <c r="AD46" s="372"/>
      <c r="AE46" s="371"/>
      <c r="AF46" s="375"/>
      <c r="AG46" s="372"/>
      <c r="AH46" s="372"/>
      <c r="AI46" s="372"/>
      <c r="AJ46" s="373"/>
      <c r="AK46" s="374"/>
      <c r="AL46" s="372"/>
      <c r="AM46" s="372"/>
      <c r="AN46" s="372"/>
      <c r="AO46" s="371"/>
      <c r="AP46" s="375"/>
      <c r="AQ46" s="372"/>
      <c r="AR46" s="372"/>
      <c r="AS46" s="372"/>
      <c r="AT46" s="373"/>
      <c r="AU46" s="374"/>
      <c r="AV46" s="372"/>
      <c r="AW46" s="372"/>
      <c r="AX46" s="372"/>
      <c r="AY46" s="371"/>
      <c r="AZ46" s="375"/>
      <c r="BA46" s="372"/>
      <c r="BB46" s="372"/>
      <c r="BC46" s="372"/>
      <c r="BD46" s="373"/>
      <c r="BE46" s="374"/>
      <c r="BF46" s="372"/>
      <c r="BG46" s="372"/>
      <c r="BH46" s="372"/>
      <c r="BI46" s="371"/>
      <c r="BJ46" s="375"/>
      <c r="BK46" s="372"/>
      <c r="BL46" s="372"/>
      <c r="BM46" s="372"/>
      <c r="BN46" s="373"/>
      <c r="BO46" s="374"/>
      <c r="BP46" s="372"/>
      <c r="BQ46" s="372"/>
      <c r="BR46" s="372"/>
      <c r="BS46" s="371"/>
      <c r="BT46" s="375"/>
      <c r="BU46" s="372"/>
      <c r="BV46" s="372"/>
      <c r="BW46" s="372"/>
      <c r="BX46" s="373"/>
      <c r="BY46" s="374"/>
      <c r="BZ46" s="372"/>
      <c r="CA46" s="372"/>
      <c r="CB46" s="372"/>
      <c r="CC46" s="371"/>
      <c r="CD46" s="375"/>
      <c r="CE46" s="372"/>
      <c r="CF46" s="372"/>
      <c r="CG46" s="372"/>
      <c r="CH46" s="371"/>
      <c r="CI46" s="375"/>
      <c r="CJ46" s="372"/>
      <c r="CK46" s="372"/>
      <c r="CL46" s="372"/>
      <c r="CM46" s="373"/>
    </row>
    <row r="47" spans="1:91" ht="25.5" customHeight="1">
      <c r="A47" s="386">
        <v>3840</v>
      </c>
      <c r="B47" s="387" t="s">
        <v>11</v>
      </c>
      <c r="C47" s="387" t="s">
        <v>44</v>
      </c>
      <c r="D47" s="387" t="s">
        <v>76</v>
      </c>
      <c r="E47" s="372" t="s">
        <v>53</v>
      </c>
      <c r="F47" s="387"/>
      <c r="G47" s="372" t="s">
        <v>248</v>
      </c>
      <c r="H47" s="371" t="s">
        <v>54</v>
      </c>
      <c r="I47" s="375"/>
      <c r="J47" s="372"/>
      <c r="K47" s="373"/>
      <c r="L47" s="388" t="s">
        <v>78</v>
      </c>
      <c r="M47" s="387" t="s">
        <v>77</v>
      </c>
      <c r="N47" s="387"/>
      <c r="O47" s="387" t="s">
        <v>77</v>
      </c>
      <c r="P47" s="389" t="s">
        <v>77</v>
      </c>
      <c r="Q47" s="388"/>
      <c r="R47" s="387"/>
      <c r="S47" s="387"/>
      <c r="T47" s="387"/>
      <c r="U47" s="390" t="s">
        <v>80</v>
      </c>
      <c r="V47" s="386"/>
      <c r="W47" s="372"/>
      <c r="X47" s="372"/>
      <c r="Y47" s="372"/>
      <c r="Z47" s="373"/>
      <c r="AA47" s="374"/>
      <c r="AB47" s="372"/>
      <c r="AC47" s="372"/>
      <c r="AD47" s="372"/>
      <c r="AE47" s="371"/>
      <c r="AF47" s="375"/>
      <c r="AG47" s="372"/>
      <c r="AH47" s="372"/>
      <c r="AI47" s="372"/>
      <c r="AJ47" s="373"/>
      <c r="AK47" s="374"/>
      <c r="AL47" s="372"/>
      <c r="AM47" s="372"/>
      <c r="AN47" s="372"/>
      <c r="AO47" s="371"/>
      <c r="AP47" s="375"/>
      <c r="AQ47" s="372"/>
      <c r="AR47" s="372"/>
      <c r="AS47" s="372"/>
      <c r="AT47" s="373"/>
      <c r="AU47" s="374"/>
      <c r="AV47" s="372"/>
      <c r="AW47" s="372"/>
      <c r="AX47" s="372"/>
      <c r="AY47" s="371"/>
      <c r="AZ47" s="375"/>
      <c r="BA47" s="372"/>
      <c r="BB47" s="372"/>
      <c r="BC47" s="372"/>
      <c r="BD47" s="373"/>
      <c r="BE47" s="374"/>
      <c r="BF47" s="372"/>
      <c r="BG47" s="372"/>
      <c r="BH47" s="372"/>
      <c r="BI47" s="371"/>
      <c r="BJ47" s="375"/>
      <c r="BK47" s="372"/>
      <c r="BL47" s="372"/>
      <c r="BM47" s="372"/>
      <c r="BN47" s="373"/>
      <c r="BO47" s="374"/>
      <c r="BP47" s="372"/>
      <c r="BQ47" s="372"/>
      <c r="BR47" s="372"/>
      <c r="BS47" s="371"/>
      <c r="BT47" s="375"/>
      <c r="BU47" s="372"/>
      <c r="BV47" s="372"/>
      <c r="BW47" s="372"/>
      <c r="BX47" s="373"/>
      <c r="BY47" s="374"/>
      <c r="BZ47" s="372"/>
      <c r="CA47" s="372"/>
      <c r="CB47" s="372"/>
      <c r="CC47" s="371"/>
      <c r="CD47" s="375"/>
      <c r="CE47" s="372"/>
      <c r="CF47" s="372"/>
      <c r="CG47" s="372"/>
      <c r="CH47" s="371"/>
      <c r="CI47" s="375"/>
      <c r="CJ47" s="372"/>
      <c r="CK47" s="372"/>
      <c r="CL47" s="372"/>
      <c r="CM47" s="373"/>
    </row>
    <row r="48" spans="1:91" ht="25.5" customHeight="1">
      <c r="A48" s="386">
        <v>3841</v>
      </c>
      <c r="B48" s="387" t="s">
        <v>11</v>
      </c>
      <c r="C48" s="387" t="s">
        <v>44</v>
      </c>
      <c r="D48" s="387" t="s">
        <v>76</v>
      </c>
      <c r="E48" s="372" t="s">
        <v>53</v>
      </c>
      <c r="F48" s="387"/>
      <c r="G48" s="372" t="s">
        <v>250</v>
      </c>
      <c r="H48" s="371" t="s">
        <v>54</v>
      </c>
      <c r="I48" s="375"/>
      <c r="J48" s="372"/>
      <c r="K48" s="373"/>
      <c r="L48" s="388" t="s">
        <v>78</v>
      </c>
      <c r="M48" s="387" t="s">
        <v>77</v>
      </c>
      <c r="N48" s="387"/>
      <c r="O48" s="387" t="s">
        <v>77</v>
      </c>
      <c r="P48" s="389" t="s">
        <v>77</v>
      </c>
      <c r="Q48" s="388"/>
      <c r="R48" s="387"/>
      <c r="S48" s="387"/>
      <c r="T48" s="387"/>
      <c r="U48" s="390" t="s">
        <v>80</v>
      </c>
      <c r="V48" s="386"/>
      <c r="W48" s="372"/>
      <c r="X48" s="372"/>
      <c r="Y48" s="372"/>
      <c r="Z48" s="373"/>
      <c r="AA48" s="374"/>
      <c r="AB48" s="372"/>
      <c r="AC48" s="372"/>
      <c r="AD48" s="372"/>
      <c r="AE48" s="371"/>
      <c r="AF48" s="375"/>
      <c r="AG48" s="372"/>
      <c r="AH48" s="372"/>
      <c r="AI48" s="372"/>
      <c r="AJ48" s="373"/>
      <c r="AK48" s="374"/>
      <c r="AL48" s="372"/>
      <c r="AM48" s="372"/>
      <c r="AN48" s="372"/>
      <c r="AO48" s="371"/>
      <c r="AP48" s="375"/>
      <c r="AQ48" s="372"/>
      <c r="AR48" s="372"/>
      <c r="AS48" s="372"/>
      <c r="AT48" s="373"/>
      <c r="AU48" s="374"/>
      <c r="AV48" s="372"/>
      <c r="AW48" s="372"/>
      <c r="AX48" s="372"/>
      <c r="AY48" s="371"/>
      <c r="AZ48" s="375"/>
      <c r="BA48" s="372"/>
      <c r="BB48" s="372"/>
      <c r="BC48" s="372"/>
      <c r="BD48" s="373"/>
      <c r="BE48" s="374"/>
      <c r="BF48" s="372"/>
      <c r="BG48" s="372"/>
      <c r="BH48" s="372"/>
      <c r="BI48" s="371"/>
      <c r="BJ48" s="375"/>
      <c r="BK48" s="372"/>
      <c r="BL48" s="372"/>
      <c r="BM48" s="372"/>
      <c r="BN48" s="373"/>
      <c r="BO48" s="374"/>
      <c r="BP48" s="372"/>
      <c r="BQ48" s="372"/>
      <c r="BR48" s="372"/>
      <c r="BS48" s="371"/>
      <c r="BT48" s="375"/>
      <c r="BU48" s="372"/>
      <c r="BV48" s="372"/>
      <c r="BW48" s="372"/>
      <c r="BX48" s="373"/>
      <c r="BY48" s="374"/>
      <c r="BZ48" s="372"/>
      <c r="CA48" s="372"/>
      <c r="CB48" s="372"/>
      <c r="CC48" s="371"/>
      <c r="CD48" s="375"/>
      <c r="CE48" s="372"/>
      <c r="CF48" s="372"/>
      <c r="CG48" s="372"/>
      <c r="CH48" s="371"/>
      <c r="CI48" s="375"/>
      <c r="CJ48" s="372"/>
      <c r="CK48" s="372"/>
      <c r="CL48" s="372"/>
      <c r="CM48" s="373"/>
    </row>
    <row r="49" spans="1:91" ht="25.5" customHeight="1" thickBot="1">
      <c r="A49" s="391">
        <v>3842</v>
      </c>
      <c r="B49" s="392" t="s">
        <v>11</v>
      </c>
      <c r="C49" s="392" t="s">
        <v>44</v>
      </c>
      <c r="D49" s="392" t="s">
        <v>76</v>
      </c>
      <c r="E49" s="393" t="s">
        <v>53</v>
      </c>
      <c r="F49" s="392"/>
      <c r="G49" s="393" t="s">
        <v>252</v>
      </c>
      <c r="H49" s="394" t="s">
        <v>54</v>
      </c>
      <c r="I49" s="395"/>
      <c r="J49" s="393"/>
      <c r="K49" s="396"/>
      <c r="L49" s="397" t="s">
        <v>78</v>
      </c>
      <c r="M49" s="392" t="s">
        <v>77</v>
      </c>
      <c r="N49" s="392"/>
      <c r="O49" s="392" t="s">
        <v>77</v>
      </c>
      <c r="P49" s="398" t="s">
        <v>77</v>
      </c>
      <c r="Q49" s="397"/>
      <c r="R49" s="392"/>
      <c r="S49" s="392"/>
      <c r="T49" s="392"/>
      <c r="U49" s="399" t="s">
        <v>80</v>
      </c>
      <c r="V49" s="391"/>
      <c r="W49" s="393"/>
      <c r="X49" s="393"/>
      <c r="Y49" s="393"/>
      <c r="Z49" s="396"/>
      <c r="AA49" s="400"/>
      <c r="AB49" s="393"/>
      <c r="AC49" s="393"/>
      <c r="AD49" s="393"/>
      <c r="AE49" s="394"/>
      <c r="AF49" s="395"/>
      <c r="AG49" s="393"/>
      <c r="AH49" s="393"/>
      <c r="AI49" s="393"/>
      <c r="AJ49" s="396"/>
      <c r="AK49" s="400"/>
      <c r="AL49" s="393"/>
      <c r="AM49" s="393"/>
      <c r="AN49" s="393"/>
      <c r="AO49" s="394"/>
      <c r="AP49" s="395"/>
      <c r="AQ49" s="393"/>
      <c r="AR49" s="393"/>
      <c r="AS49" s="393"/>
      <c r="AT49" s="396"/>
      <c r="AU49" s="400"/>
      <c r="AV49" s="393"/>
      <c r="AW49" s="393"/>
      <c r="AX49" s="393"/>
      <c r="AY49" s="394"/>
      <c r="AZ49" s="395"/>
      <c r="BA49" s="393"/>
      <c r="BB49" s="393"/>
      <c r="BC49" s="393"/>
      <c r="BD49" s="396"/>
      <c r="BE49" s="400"/>
      <c r="BF49" s="393"/>
      <c r="BG49" s="393"/>
      <c r="BH49" s="393"/>
      <c r="BI49" s="394"/>
      <c r="BJ49" s="395"/>
      <c r="BK49" s="393"/>
      <c r="BL49" s="393"/>
      <c r="BM49" s="393"/>
      <c r="BN49" s="396"/>
      <c r="BO49" s="400"/>
      <c r="BP49" s="393"/>
      <c r="BQ49" s="393"/>
      <c r="BR49" s="393"/>
      <c r="BS49" s="394"/>
      <c r="BT49" s="395"/>
      <c r="BU49" s="393"/>
      <c r="BV49" s="393"/>
      <c r="BW49" s="393"/>
      <c r="BX49" s="396"/>
      <c r="BY49" s="400"/>
      <c r="BZ49" s="393"/>
      <c r="CA49" s="393"/>
      <c r="CB49" s="393"/>
      <c r="CC49" s="394"/>
      <c r="CD49" s="395"/>
      <c r="CE49" s="393"/>
      <c r="CF49" s="393"/>
      <c r="CG49" s="393"/>
      <c r="CH49" s="394"/>
      <c r="CI49" s="395"/>
      <c r="CJ49" s="393"/>
      <c r="CK49" s="393"/>
      <c r="CL49" s="393"/>
      <c r="CM49" s="396"/>
    </row>
    <row r="50" spans="1:91" ht="25.5" customHeight="1">
      <c r="A50" s="401">
        <v>3843</v>
      </c>
      <c r="B50" s="402" t="s">
        <v>11</v>
      </c>
      <c r="C50" s="402" t="s">
        <v>44</v>
      </c>
      <c r="D50" s="402" t="s">
        <v>76</v>
      </c>
      <c r="E50" s="403" t="s">
        <v>53</v>
      </c>
      <c r="F50" s="402"/>
      <c r="G50" s="403" t="s">
        <v>254</v>
      </c>
      <c r="H50" s="404" t="s">
        <v>54</v>
      </c>
      <c r="I50" s="405"/>
      <c r="J50" s="403"/>
      <c r="K50" s="406"/>
      <c r="L50" s="407" t="s">
        <v>78</v>
      </c>
      <c r="M50" s="402" t="s">
        <v>77</v>
      </c>
      <c r="N50" s="402"/>
      <c r="O50" s="402" t="s">
        <v>77</v>
      </c>
      <c r="P50" s="408" t="s">
        <v>77</v>
      </c>
      <c r="Q50" s="407"/>
      <c r="R50" s="402"/>
      <c r="S50" s="402"/>
      <c r="T50" s="402"/>
      <c r="U50" s="409" t="s">
        <v>80</v>
      </c>
      <c r="V50" s="401"/>
      <c r="W50" s="403"/>
      <c r="X50" s="403"/>
      <c r="Y50" s="403"/>
      <c r="Z50" s="406"/>
      <c r="AA50" s="410"/>
      <c r="AB50" s="403"/>
      <c r="AC50" s="403"/>
      <c r="AD50" s="403"/>
      <c r="AE50" s="404"/>
      <c r="AF50" s="405"/>
      <c r="AG50" s="403"/>
      <c r="AH50" s="403"/>
      <c r="AI50" s="403"/>
      <c r="AJ50" s="406"/>
      <c r="AK50" s="410"/>
      <c r="AL50" s="403"/>
      <c r="AM50" s="403"/>
      <c r="AN50" s="403"/>
      <c r="AO50" s="404"/>
      <c r="AP50" s="405"/>
      <c r="AQ50" s="403"/>
      <c r="AR50" s="403"/>
      <c r="AS50" s="403"/>
      <c r="AT50" s="406"/>
      <c r="AU50" s="410"/>
      <c r="AV50" s="403"/>
      <c r="AW50" s="403"/>
      <c r="AX50" s="403"/>
      <c r="AY50" s="404"/>
      <c r="AZ50" s="405"/>
      <c r="BA50" s="403"/>
      <c r="BB50" s="403"/>
      <c r="BC50" s="403"/>
      <c r="BD50" s="406"/>
      <c r="BE50" s="410"/>
      <c r="BF50" s="403"/>
      <c r="BG50" s="403"/>
      <c r="BH50" s="403"/>
      <c r="BI50" s="404"/>
      <c r="BJ50" s="405"/>
      <c r="BK50" s="403"/>
      <c r="BL50" s="403"/>
      <c r="BM50" s="403"/>
      <c r="BN50" s="406"/>
      <c r="BO50" s="410"/>
      <c r="BP50" s="403"/>
      <c r="BQ50" s="403"/>
      <c r="BR50" s="403"/>
      <c r="BS50" s="404"/>
      <c r="BT50" s="405"/>
      <c r="BU50" s="403"/>
      <c r="BV50" s="403"/>
      <c r="BW50" s="403"/>
      <c r="BX50" s="406"/>
      <c r="BY50" s="410"/>
      <c r="BZ50" s="403"/>
      <c r="CA50" s="403"/>
      <c r="CB50" s="403"/>
      <c r="CC50" s="404"/>
      <c r="CD50" s="405"/>
      <c r="CE50" s="403"/>
      <c r="CF50" s="403"/>
      <c r="CG50" s="403"/>
      <c r="CH50" s="404"/>
      <c r="CI50" s="405"/>
      <c r="CJ50" s="403"/>
      <c r="CK50" s="403"/>
      <c r="CL50" s="403"/>
      <c r="CM50" s="406"/>
    </row>
    <row r="51" spans="1:91" ht="25.5" customHeight="1">
      <c r="A51" s="386">
        <v>3844</v>
      </c>
      <c r="B51" s="387" t="s">
        <v>11</v>
      </c>
      <c r="C51" s="387" t="s">
        <v>44</v>
      </c>
      <c r="D51" s="387" t="s">
        <v>76</v>
      </c>
      <c r="E51" s="372" t="s">
        <v>53</v>
      </c>
      <c r="F51" s="387"/>
      <c r="G51" s="372" t="s">
        <v>256</v>
      </c>
      <c r="H51" s="371" t="s">
        <v>54</v>
      </c>
      <c r="I51" s="375"/>
      <c r="J51" s="372"/>
      <c r="K51" s="373"/>
      <c r="L51" s="388" t="s">
        <v>78</v>
      </c>
      <c r="M51" s="387" t="s">
        <v>77</v>
      </c>
      <c r="N51" s="387"/>
      <c r="O51" s="387" t="s">
        <v>77</v>
      </c>
      <c r="P51" s="389" t="s">
        <v>77</v>
      </c>
      <c r="Q51" s="388"/>
      <c r="R51" s="387"/>
      <c r="S51" s="387"/>
      <c r="T51" s="387"/>
      <c r="U51" s="390" t="s">
        <v>80</v>
      </c>
      <c r="V51" s="386"/>
      <c r="W51" s="372"/>
      <c r="X51" s="372"/>
      <c r="Y51" s="372"/>
      <c r="Z51" s="373"/>
      <c r="AA51" s="374"/>
      <c r="AB51" s="372"/>
      <c r="AC51" s="372"/>
      <c r="AD51" s="372"/>
      <c r="AE51" s="371"/>
      <c r="AF51" s="375"/>
      <c r="AG51" s="372"/>
      <c r="AH51" s="372"/>
      <c r="AI51" s="372"/>
      <c r="AJ51" s="373"/>
      <c r="AK51" s="374"/>
      <c r="AL51" s="372"/>
      <c r="AM51" s="372"/>
      <c r="AN51" s="372"/>
      <c r="AO51" s="371"/>
      <c r="AP51" s="375"/>
      <c r="AQ51" s="372"/>
      <c r="AR51" s="372"/>
      <c r="AS51" s="372"/>
      <c r="AT51" s="373"/>
      <c r="AU51" s="374"/>
      <c r="AV51" s="372"/>
      <c r="AW51" s="372"/>
      <c r="AX51" s="372"/>
      <c r="AY51" s="371"/>
      <c r="AZ51" s="375"/>
      <c r="BA51" s="372"/>
      <c r="BB51" s="372"/>
      <c r="BC51" s="372"/>
      <c r="BD51" s="373"/>
      <c r="BE51" s="374"/>
      <c r="BF51" s="372"/>
      <c r="BG51" s="372"/>
      <c r="BH51" s="372"/>
      <c r="BI51" s="371"/>
      <c r="BJ51" s="375"/>
      <c r="BK51" s="372"/>
      <c r="BL51" s="372"/>
      <c r="BM51" s="372"/>
      <c r="BN51" s="373"/>
      <c r="BO51" s="374"/>
      <c r="BP51" s="372"/>
      <c r="BQ51" s="372"/>
      <c r="BR51" s="372"/>
      <c r="BS51" s="371"/>
      <c r="BT51" s="375"/>
      <c r="BU51" s="372"/>
      <c r="BV51" s="372"/>
      <c r="BW51" s="372"/>
      <c r="BX51" s="373"/>
      <c r="BY51" s="374"/>
      <c r="BZ51" s="372"/>
      <c r="CA51" s="372"/>
      <c r="CB51" s="372"/>
      <c r="CC51" s="371"/>
      <c r="CD51" s="375"/>
      <c r="CE51" s="372"/>
      <c r="CF51" s="372"/>
      <c r="CG51" s="372"/>
      <c r="CH51" s="371"/>
      <c r="CI51" s="375"/>
      <c r="CJ51" s="372"/>
      <c r="CK51" s="372"/>
      <c r="CL51" s="372"/>
      <c r="CM51" s="373"/>
    </row>
    <row r="52" spans="1:91" ht="25.5" customHeight="1">
      <c r="A52" s="386">
        <v>3845</v>
      </c>
      <c r="B52" s="387" t="s">
        <v>11</v>
      </c>
      <c r="C52" s="387" t="s">
        <v>44</v>
      </c>
      <c r="D52" s="387" t="s">
        <v>76</v>
      </c>
      <c r="E52" s="372" t="s">
        <v>53</v>
      </c>
      <c r="F52" s="387"/>
      <c r="G52" s="372" t="s">
        <v>258</v>
      </c>
      <c r="H52" s="371" t="s">
        <v>54</v>
      </c>
      <c r="I52" s="375"/>
      <c r="J52" s="372"/>
      <c r="K52" s="373"/>
      <c r="L52" s="388" t="s">
        <v>78</v>
      </c>
      <c r="M52" s="387" t="s">
        <v>77</v>
      </c>
      <c r="N52" s="387"/>
      <c r="O52" s="387" t="s">
        <v>77</v>
      </c>
      <c r="P52" s="389" t="s">
        <v>77</v>
      </c>
      <c r="Q52" s="388"/>
      <c r="R52" s="387"/>
      <c r="S52" s="387"/>
      <c r="T52" s="387"/>
      <c r="U52" s="390" t="s">
        <v>80</v>
      </c>
      <c r="V52" s="386"/>
      <c r="W52" s="372"/>
      <c r="X52" s="372"/>
      <c r="Y52" s="372"/>
      <c r="Z52" s="373"/>
      <c r="AA52" s="374"/>
      <c r="AB52" s="372"/>
      <c r="AC52" s="372"/>
      <c r="AD52" s="372"/>
      <c r="AE52" s="371"/>
      <c r="AF52" s="375"/>
      <c r="AG52" s="372"/>
      <c r="AH52" s="372"/>
      <c r="AI52" s="372"/>
      <c r="AJ52" s="373"/>
      <c r="AK52" s="374"/>
      <c r="AL52" s="372"/>
      <c r="AM52" s="372"/>
      <c r="AN52" s="372"/>
      <c r="AO52" s="371"/>
      <c r="AP52" s="375"/>
      <c r="AQ52" s="372"/>
      <c r="AR52" s="372"/>
      <c r="AS52" s="372"/>
      <c r="AT52" s="373"/>
      <c r="AU52" s="374"/>
      <c r="AV52" s="372"/>
      <c r="AW52" s="372"/>
      <c r="AX52" s="372"/>
      <c r="AY52" s="371"/>
      <c r="AZ52" s="375"/>
      <c r="BA52" s="372"/>
      <c r="BB52" s="372"/>
      <c r="BC52" s="372"/>
      <c r="BD52" s="373"/>
      <c r="BE52" s="374"/>
      <c r="BF52" s="372"/>
      <c r="BG52" s="372"/>
      <c r="BH52" s="372"/>
      <c r="BI52" s="371"/>
      <c r="BJ52" s="375"/>
      <c r="BK52" s="372"/>
      <c r="BL52" s="372"/>
      <c r="BM52" s="372"/>
      <c r="BN52" s="373"/>
      <c r="BO52" s="374"/>
      <c r="BP52" s="372"/>
      <c r="BQ52" s="372"/>
      <c r="BR52" s="372"/>
      <c r="BS52" s="371"/>
      <c r="BT52" s="375"/>
      <c r="BU52" s="372"/>
      <c r="BV52" s="372"/>
      <c r="BW52" s="372"/>
      <c r="BX52" s="373"/>
      <c r="BY52" s="374"/>
      <c r="BZ52" s="372"/>
      <c r="CA52" s="372"/>
      <c r="CB52" s="372"/>
      <c r="CC52" s="371"/>
      <c r="CD52" s="375"/>
      <c r="CE52" s="372"/>
      <c r="CF52" s="372"/>
      <c r="CG52" s="372"/>
      <c r="CH52" s="371"/>
      <c r="CI52" s="375"/>
      <c r="CJ52" s="372"/>
      <c r="CK52" s="372"/>
      <c r="CL52" s="372"/>
      <c r="CM52" s="373"/>
    </row>
    <row r="53" spans="1:91" ht="25.5" customHeight="1">
      <c r="A53" s="386">
        <v>3846</v>
      </c>
      <c r="B53" s="387" t="s">
        <v>11</v>
      </c>
      <c r="C53" s="387" t="s">
        <v>44</v>
      </c>
      <c r="D53" s="387" t="s">
        <v>76</v>
      </c>
      <c r="E53" s="372" t="s">
        <v>53</v>
      </c>
      <c r="F53" s="387"/>
      <c r="G53" s="372" t="s">
        <v>260</v>
      </c>
      <c r="H53" s="371" t="s">
        <v>54</v>
      </c>
      <c r="I53" s="375"/>
      <c r="J53" s="372"/>
      <c r="K53" s="373"/>
      <c r="L53" s="388" t="s">
        <v>78</v>
      </c>
      <c r="M53" s="387" t="s">
        <v>77</v>
      </c>
      <c r="N53" s="387"/>
      <c r="O53" s="387" t="s">
        <v>77</v>
      </c>
      <c r="P53" s="389" t="s">
        <v>77</v>
      </c>
      <c r="Q53" s="388"/>
      <c r="R53" s="387"/>
      <c r="S53" s="387"/>
      <c r="T53" s="387"/>
      <c r="U53" s="390" t="s">
        <v>80</v>
      </c>
      <c r="V53" s="386"/>
      <c r="W53" s="372"/>
      <c r="X53" s="372"/>
      <c r="Y53" s="372"/>
      <c r="Z53" s="373"/>
      <c r="AA53" s="374"/>
      <c r="AB53" s="372"/>
      <c r="AC53" s="372"/>
      <c r="AD53" s="372"/>
      <c r="AE53" s="371"/>
      <c r="AF53" s="375"/>
      <c r="AG53" s="372"/>
      <c r="AH53" s="372"/>
      <c r="AI53" s="372"/>
      <c r="AJ53" s="373"/>
      <c r="AK53" s="374"/>
      <c r="AL53" s="372"/>
      <c r="AM53" s="372"/>
      <c r="AN53" s="372"/>
      <c r="AO53" s="371"/>
      <c r="AP53" s="375"/>
      <c r="AQ53" s="372"/>
      <c r="AR53" s="372"/>
      <c r="AS53" s="372"/>
      <c r="AT53" s="373"/>
      <c r="AU53" s="374"/>
      <c r="AV53" s="372"/>
      <c r="AW53" s="372"/>
      <c r="AX53" s="372"/>
      <c r="AY53" s="371"/>
      <c r="AZ53" s="375"/>
      <c r="BA53" s="372"/>
      <c r="BB53" s="372"/>
      <c r="BC53" s="372"/>
      <c r="BD53" s="373"/>
      <c r="BE53" s="374"/>
      <c r="BF53" s="372"/>
      <c r="BG53" s="372"/>
      <c r="BH53" s="372"/>
      <c r="BI53" s="371"/>
      <c r="BJ53" s="375"/>
      <c r="BK53" s="372"/>
      <c r="BL53" s="372"/>
      <c r="BM53" s="372"/>
      <c r="BN53" s="373"/>
      <c r="BO53" s="374"/>
      <c r="BP53" s="372"/>
      <c r="BQ53" s="372"/>
      <c r="BR53" s="372"/>
      <c r="BS53" s="371"/>
      <c r="BT53" s="375"/>
      <c r="BU53" s="372"/>
      <c r="BV53" s="372"/>
      <c r="BW53" s="372"/>
      <c r="BX53" s="373"/>
      <c r="BY53" s="374"/>
      <c r="BZ53" s="372"/>
      <c r="CA53" s="372"/>
      <c r="CB53" s="372"/>
      <c r="CC53" s="371"/>
      <c r="CD53" s="375"/>
      <c r="CE53" s="372"/>
      <c r="CF53" s="372"/>
      <c r="CG53" s="372"/>
      <c r="CH53" s="371"/>
      <c r="CI53" s="375"/>
      <c r="CJ53" s="372"/>
      <c r="CK53" s="372"/>
      <c r="CL53" s="372"/>
      <c r="CM53" s="373"/>
    </row>
    <row r="54" spans="1:91" ht="25.5" customHeight="1" thickBot="1">
      <c r="A54" s="411">
        <v>3847</v>
      </c>
      <c r="B54" s="412" t="s">
        <v>11</v>
      </c>
      <c r="C54" s="412" t="s">
        <v>44</v>
      </c>
      <c r="D54" s="412" t="s">
        <v>76</v>
      </c>
      <c r="E54" s="377" t="s">
        <v>53</v>
      </c>
      <c r="F54" s="412"/>
      <c r="G54" s="377" t="s">
        <v>262</v>
      </c>
      <c r="H54" s="376" t="s">
        <v>54</v>
      </c>
      <c r="I54" s="380"/>
      <c r="J54" s="377"/>
      <c r="K54" s="378"/>
      <c r="L54" s="413" t="s">
        <v>78</v>
      </c>
      <c r="M54" s="412" t="s">
        <v>77</v>
      </c>
      <c r="N54" s="412"/>
      <c r="O54" s="412" t="s">
        <v>77</v>
      </c>
      <c r="P54" s="414" t="s">
        <v>77</v>
      </c>
      <c r="Q54" s="413"/>
      <c r="R54" s="412"/>
      <c r="S54" s="412"/>
      <c r="T54" s="412"/>
      <c r="U54" s="415" t="s">
        <v>80</v>
      </c>
      <c r="V54" s="411"/>
      <c r="W54" s="377"/>
      <c r="X54" s="377"/>
      <c r="Y54" s="377"/>
      <c r="Z54" s="378"/>
      <c r="AA54" s="379"/>
      <c r="AB54" s="377"/>
      <c r="AC54" s="377"/>
      <c r="AD54" s="377"/>
      <c r="AE54" s="376"/>
      <c r="AF54" s="380"/>
      <c r="AG54" s="377"/>
      <c r="AH54" s="377"/>
      <c r="AI54" s="377"/>
      <c r="AJ54" s="378"/>
      <c r="AK54" s="379"/>
      <c r="AL54" s="377"/>
      <c r="AM54" s="377"/>
      <c r="AN54" s="377"/>
      <c r="AO54" s="376"/>
      <c r="AP54" s="380"/>
      <c r="AQ54" s="377"/>
      <c r="AR54" s="377"/>
      <c r="AS54" s="377"/>
      <c r="AT54" s="378"/>
      <c r="AU54" s="379"/>
      <c r="AV54" s="377"/>
      <c r="AW54" s="377"/>
      <c r="AX54" s="377"/>
      <c r="AY54" s="376"/>
      <c r="AZ54" s="380"/>
      <c r="BA54" s="377"/>
      <c r="BB54" s="377"/>
      <c r="BC54" s="377"/>
      <c r="BD54" s="378"/>
      <c r="BE54" s="379"/>
      <c r="BF54" s="377"/>
      <c r="BG54" s="377"/>
      <c r="BH54" s="377"/>
      <c r="BI54" s="376"/>
      <c r="BJ54" s="380"/>
      <c r="BK54" s="377"/>
      <c r="BL54" s="377"/>
      <c r="BM54" s="377"/>
      <c r="BN54" s="378"/>
      <c r="BO54" s="379"/>
      <c r="BP54" s="377"/>
      <c r="BQ54" s="377"/>
      <c r="BR54" s="377"/>
      <c r="BS54" s="376"/>
      <c r="BT54" s="380"/>
      <c r="BU54" s="377"/>
      <c r="BV54" s="377"/>
      <c r="BW54" s="377"/>
      <c r="BX54" s="378"/>
      <c r="BY54" s="379"/>
      <c r="BZ54" s="377"/>
      <c r="CA54" s="377"/>
      <c r="CB54" s="377"/>
      <c r="CC54" s="376"/>
      <c r="CD54" s="380"/>
      <c r="CE54" s="377"/>
      <c r="CF54" s="377"/>
      <c r="CG54" s="377"/>
      <c r="CH54" s="376"/>
      <c r="CI54" s="380"/>
      <c r="CJ54" s="377"/>
      <c r="CK54" s="377"/>
      <c r="CL54" s="377"/>
      <c r="CM54" s="378"/>
    </row>
    <row r="55" spans="1:91" ht="25.5" customHeight="1">
      <c r="A55" s="416">
        <v>3848</v>
      </c>
      <c r="B55" s="417" t="s">
        <v>11</v>
      </c>
      <c r="C55" s="417" t="s">
        <v>44</v>
      </c>
      <c r="D55" s="417" t="s">
        <v>76</v>
      </c>
      <c r="E55" s="381" t="s">
        <v>53</v>
      </c>
      <c r="F55" s="417"/>
      <c r="G55" s="381" t="s">
        <v>264</v>
      </c>
      <c r="H55" s="384" t="s">
        <v>54</v>
      </c>
      <c r="I55" s="385"/>
      <c r="J55" s="381"/>
      <c r="K55" s="382"/>
      <c r="L55" s="418" t="s">
        <v>78</v>
      </c>
      <c r="M55" s="417" t="s">
        <v>77</v>
      </c>
      <c r="N55" s="417"/>
      <c r="O55" s="417" t="s">
        <v>77</v>
      </c>
      <c r="P55" s="419" t="s">
        <v>77</v>
      </c>
      <c r="Q55" s="418"/>
      <c r="R55" s="417"/>
      <c r="S55" s="417"/>
      <c r="T55" s="417"/>
      <c r="U55" s="420" t="s">
        <v>80</v>
      </c>
      <c r="V55" s="416"/>
      <c r="W55" s="381"/>
      <c r="X55" s="381"/>
      <c r="Y55" s="381"/>
      <c r="Z55" s="382"/>
      <c r="AA55" s="383"/>
      <c r="AB55" s="381"/>
      <c r="AC55" s="381"/>
      <c r="AD55" s="381"/>
      <c r="AE55" s="384"/>
      <c r="AF55" s="385"/>
      <c r="AG55" s="381"/>
      <c r="AH55" s="381"/>
      <c r="AI55" s="381"/>
      <c r="AJ55" s="382"/>
      <c r="AK55" s="383"/>
      <c r="AL55" s="381"/>
      <c r="AM55" s="381"/>
      <c r="AN55" s="381"/>
      <c r="AO55" s="384"/>
      <c r="AP55" s="385"/>
      <c r="AQ55" s="381"/>
      <c r="AR55" s="381"/>
      <c r="AS55" s="381"/>
      <c r="AT55" s="382"/>
      <c r="AU55" s="383"/>
      <c r="AV55" s="381"/>
      <c r="AW55" s="381"/>
      <c r="AX55" s="381"/>
      <c r="AY55" s="384"/>
      <c r="AZ55" s="385"/>
      <c r="BA55" s="381"/>
      <c r="BB55" s="381"/>
      <c r="BC55" s="381"/>
      <c r="BD55" s="382"/>
      <c r="BE55" s="383"/>
      <c r="BF55" s="381"/>
      <c r="BG55" s="381"/>
      <c r="BH55" s="381"/>
      <c r="BI55" s="384"/>
      <c r="BJ55" s="385"/>
      <c r="BK55" s="381"/>
      <c r="BL55" s="381"/>
      <c r="BM55" s="381"/>
      <c r="BN55" s="382"/>
      <c r="BO55" s="383"/>
      <c r="BP55" s="381"/>
      <c r="BQ55" s="381"/>
      <c r="BR55" s="381"/>
      <c r="BS55" s="384"/>
      <c r="BT55" s="385"/>
      <c r="BU55" s="381"/>
      <c r="BV55" s="381"/>
      <c r="BW55" s="381"/>
      <c r="BX55" s="382"/>
      <c r="BY55" s="383"/>
      <c r="BZ55" s="381"/>
      <c r="CA55" s="381"/>
      <c r="CB55" s="381"/>
      <c r="CC55" s="384"/>
      <c r="CD55" s="385"/>
      <c r="CE55" s="381"/>
      <c r="CF55" s="381"/>
      <c r="CG55" s="381"/>
      <c r="CH55" s="384"/>
      <c r="CI55" s="385"/>
      <c r="CJ55" s="381"/>
      <c r="CK55" s="381"/>
      <c r="CL55" s="381"/>
      <c r="CM55" s="382"/>
    </row>
    <row r="56" spans="1:91" ht="25.5" customHeight="1">
      <c r="A56" s="386">
        <v>3849</v>
      </c>
      <c r="B56" s="387" t="s">
        <v>11</v>
      </c>
      <c r="C56" s="387" t="s">
        <v>44</v>
      </c>
      <c r="D56" s="387" t="s">
        <v>76</v>
      </c>
      <c r="E56" s="372" t="s">
        <v>53</v>
      </c>
      <c r="F56" s="387"/>
      <c r="G56" s="372" t="s">
        <v>266</v>
      </c>
      <c r="H56" s="371" t="s">
        <v>54</v>
      </c>
      <c r="I56" s="375"/>
      <c r="J56" s="372"/>
      <c r="K56" s="373"/>
      <c r="L56" s="388" t="s">
        <v>78</v>
      </c>
      <c r="M56" s="387" t="s">
        <v>77</v>
      </c>
      <c r="N56" s="387"/>
      <c r="O56" s="387" t="s">
        <v>77</v>
      </c>
      <c r="P56" s="389" t="s">
        <v>77</v>
      </c>
      <c r="Q56" s="388"/>
      <c r="R56" s="387"/>
      <c r="S56" s="387"/>
      <c r="T56" s="387"/>
      <c r="U56" s="390" t="s">
        <v>80</v>
      </c>
      <c r="V56" s="386"/>
      <c r="W56" s="372"/>
      <c r="X56" s="372"/>
      <c r="Y56" s="372"/>
      <c r="Z56" s="373"/>
      <c r="AA56" s="374"/>
      <c r="AB56" s="372"/>
      <c r="AC56" s="372"/>
      <c r="AD56" s="372"/>
      <c r="AE56" s="371"/>
      <c r="AF56" s="375"/>
      <c r="AG56" s="372"/>
      <c r="AH56" s="372"/>
      <c r="AI56" s="372"/>
      <c r="AJ56" s="373"/>
      <c r="AK56" s="374"/>
      <c r="AL56" s="372"/>
      <c r="AM56" s="372"/>
      <c r="AN56" s="372"/>
      <c r="AO56" s="371"/>
      <c r="AP56" s="375"/>
      <c r="AQ56" s="372"/>
      <c r="AR56" s="372"/>
      <c r="AS56" s="372"/>
      <c r="AT56" s="373"/>
      <c r="AU56" s="374"/>
      <c r="AV56" s="372"/>
      <c r="AW56" s="372"/>
      <c r="AX56" s="372"/>
      <c r="AY56" s="371"/>
      <c r="AZ56" s="375"/>
      <c r="BA56" s="372"/>
      <c r="BB56" s="372"/>
      <c r="BC56" s="372"/>
      <c r="BD56" s="373"/>
      <c r="BE56" s="374"/>
      <c r="BF56" s="372"/>
      <c r="BG56" s="372"/>
      <c r="BH56" s="372"/>
      <c r="BI56" s="371"/>
      <c r="BJ56" s="375"/>
      <c r="BK56" s="372"/>
      <c r="BL56" s="372"/>
      <c r="BM56" s="372"/>
      <c r="BN56" s="373"/>
      <c r="BO56" s="374"/>
      <c r="BP56" s="372"/>
      <c r="BQ56" s="372"/>
      <c r="BR56" s="372"/>
      <c r="BS56" s="371"/>
      <c r="BT56" s="375"/>
      <c r="BU56" s="372"/>
      <c r="BV56" s="372"/>
      <c r="BW56" s="372"/>
      <c r="BX56" s="373"/>
      <c r="BY56" s="374"/>
      <c r="BZ56" s="372"/>
      <c r="CA56" s="372"/>
      <c r="CB56" s="372"/>
      <c r="CC56" s="371"/>
      <c r="CD56" s="375"/>
      <c r="CE56" s="372"/>
      <c r="CF56" s="372"/>
      <c r="CG56" s="372"/>
      <c r="CH56" s="371"/>
      <c r="CI56" s="375"/>
      <c r="CJ56" s="372"/>
      <c r="CK56" s="372"/>
      <c r="CL56" s="372"/>
      <c r="CM56" s="373"/>
    </row>
    <row r="57" spans="1:91" ht="25.5" customHeight="1">
      <c r="A57" s="386">
        <v>3850</v>
      </c>
      <c r="B57" s="387" t="s">
        <v>11</v>
      </c>
      <c r="C57" s="387" t="s">
        <v>44</v>
      </c>
      <c r="D57" s="387" t="s">
        <v>76</v>
      </c>
      <c r="E57" s="372" t="s">
        <v>53</v>
      </c>
      <c r="F57" s="387"/>
      <c r="G57" s="372" t="s">
        <v>268</v>
      </c>
      <c r="H57" s="371" t="s">
        <v>54</v>
      </c>
      <c r="I57" s="375"/>
      <c r="J57" s="372"/>
      <c r="K57" s="373"/>
      <c r="L57" s="388" t="s">
        <v>78</v>
      </c>
      <c r="M57" s="387" t="s">
        <v>77</v>
      </c>
      <c r="N57" s="387"/>
      <c r="O57" s="387" t="s">
        <v>77</v>
      </c>
      <c r="P57" s="389" t="s">
        <v>77</v>
      </c>
      <c r="Q57" s="388"/>
      <c r="R57" s="387"/>
      <c r="S57" s="387"/>
      <c r="T57" s="387"/>
      <c r="U57" s="390" t="s">
        <v>80</v>
      </c>
      <c r="V57" s="386"/>
      <c r="W57" s="372"/>
      <c r="X57" s="372"/>
      <c r="Y57" s="372"/>
      <c r="Z57" s="373"/>
      <c r="AA57" s="374"/>
      <c r="AB57" s="372"/>
      <c r="AC57" s="372"/>
      <c r="AD57" s="372"/>
      <c r="AE57" s="371"/>
      <c r="AF57" s="375"/>
      <c r="AG57" s="372"/>
      <c r="AH57" s="372"/>
      <c r="AI57" s="372"/>
      <c r="AJ57" s="373"/>
      <c r="AK57" s="374"/>
      <c r="AL57" s="372"/>
      <c r="AM57" s="372"/>
      <c r="AN57" s="372"/>
      <c r="AO57" s="371"/>
      <c r="AP57" s="375"/>
      <c r="AQ57" s="372"/>
      <c r="AR57" s="372"/>
      <c r="AS57" s="372"/>
      <c r="AT57" s="373"/>
      <c r="AU57" s="374"/>
      <c r="AV57" s="372"/>
      <c r="AW57" s="372"/>
      <c r="AX57" s="372"/>
      <c r="AY57" s="371"/>
      <c r="AZ57" s="375"/>
      <c r="BA57" s="372"/>
      <c r="BB57" s="372"/>
      <c r="BC57" s="372"/>
      <c r="BD57" s="373"/>
      <c r="BE57" s="374"/>
      <c r="BF57" s="372"/>
      <c r="BG57" s="372"/>
      <c r="BH57" s="372"/>
      <c r="BI57" s="371"/>
      <c r="BJ57" s="375"/>
      <c r="BK57" s="372"/>
      <c r="BL57" s="372"/>
      <c r="BM57" s="372"/>
      <c r="BN57" s="373"/>
      <c r="BO57" s="374"/>
      <c r="BP57" s="372"/>
      <c r="BQ57" s="372"/>
      <c r="BR57" s="372"/>
      <c r="BS57" s="371"/>
      <c r="BT57" s="375"/>
      <c r="BU57" s="372"/>
      <c r="BV57" s="372"/>
      <c r="BW57" s="372"/>
      <c r="BX57" s="373"/>
      <c r="BY57" s="374"/>
      <c r="BZ57" s="372"/>
      <c r="CA57" s="372"/>
      <c r="CB57" s="372"/>
      <c r="CC57" s="371"/>
      <c r="CD57" s="375"/>
      <c r="CE57" s="372"/>
      <c r="CF57" s="372"/>
      <c r="CG57" s="372"/>
      <c r="CH57" s="371"/>
      <c r="CI57" s="375"/>
      <c r="CJ57" s="372"/>
      <c r="CK57" s="372"/>
      <c r="CL57" s="372"/>
      <c r="CM57" s="373"/>
    </row>
    <row r="58" spans="1:91" ht="25.5" customHeight="1">
      <c r="A58" s="386">
        <v>3851</v>
      </c>
      <c r="B58" s="387" t="s">
        <v>11</v>
      </c>
      <c r="C58" s="387" t="s">
        <v>44</v>
      </c>
      <c r="D58" s="387" t="s">
        <v>76</v>
      </c>
      <c r="E58" s="372" t="s">
        <v>53</v>
      </c>
      <c r="F58" s="387"/>
      <c r="G58" s="372" t="s">
        <v>270</v>
      </c>
      <c r="H58" s="371" t="s">
        <v>54</v>
      </c>
      <c r="I58" s="375"/>
      <c r="J58" s="372"/>
      <c r="K58" s="373"/>
      <c r="L58" s="388" t="s">
        <v>78</v>
      </c>
      <c r="M58" s="387" t="s">
        <v>77</v>
      </c>
      <c r="N58" s="387"/>
      <c r="O58" s="387" t="s">
        <v>77</v>
      </c>
      <c r="P58" s="389" t="s">
        <v>77</v>
      </c>
      <c r="Q58" s="388"/>
      <c r="R58" s="387"/>
      <c r="S58" s="387"/>
      <c r="T58" s="387"/>
      <c r="U58" s="390" t="s">
        <v>80</v>
      </c>
      <c r="V58" s="386"/>
      <c r="W58" s="372"/>
      <c r="X58" s="372"/>
      <c r="Y58" s="372"/>
      <c r="Z58" s="373"/>
      <c r="AA58" s="374"/>
      <c r="AB58" s="372"/>
      <c r="AC58" s="372"/>
      <c r="AD58" s="372"/>
      <c r="AE58" s="371"/>
      <c r="AF58" s="375"/>
      <c r="AG58" s="372"/>
      <c r="AH58" s="372"/>
      <c r="AI58" s="372"/>
      <c r="AJ58" s="373"/>
      <c r="AK58" s="374"/>
      <c r="AL58" s="372"/>
      <c r="AM58" s="372"/>
      <c r="AN58" s="372"/>
      <c r="AO58" s="371"/>
      <c r="AP58" s="375"/>
      <c r="AQ58" s="372"/>
      <c r="AR58" s="372"/>
      <c r="AS58" s="372"/>
      <c r="AT58" s="373"/>
      <c r="AU58" s="374"/>
      <c r="AV58" s="372"/>
      <c r="AW58" s="372"/>
      <c r="AX58" s="372"/>
      <c r="AY58" s="371"/>
      <c r="AZ58" s="375"/>
      <c r="BA58" s="372"/>
      <c r="BB58" s="372"/>
      <c r="BC58" s="372"/>
      <c r="BD58" s="373"/>
      <c r="BE58" s="374"/>
      <c r="BF58" s="372"/>
      <c r="BG58" s="372"/>
      <c r="BH58" s="372"/>
      <c r="BI58" s="371"/>
      <c r="BJ58" s="375"/>
      <c r="BK58" s="372"/>
      <c r="BL58" s="372"/>
      <c r="BM58" s="372"/>
      <c r="BN58" s="373"/>
      <c r="BO58" s="374"/>
      <c r="BP58" s="372"/>
      <c r="BQ58" s="372"/>
      <c r="BR58" s="372"/>
      <c r="BS58" s="371"/>
      <c r="BT58" s="375"/>
      <c r="BU58" s="372"/>
      <c r="BV58" s="372"/>
      <c r="BW58" s="372"/>
      <c r="BX58" s="373"/>
      <c r="BY58" s="374"/>
      <c r="BZ58" s="372"/>
      <c r="CA58" s="372"/>
      <c r="CB58" s="372"/>
      <c r="CC58" s="371"/>
      <c r="CD58" s="375"/>
      <c r="CE58" s="372"/>
      <c r="CF58" s="372"/>
      <c r="CG58" s="372"/>
      <c r="CH58" s="371"/>
      <c r="CI58" s="375"/>
      <c r="CJ58" s="372"/>
      <c r="CK58" s="372"/>
      <c r="CL58" s="372"/>
      <c r="CM58" s="373"/>
    </row>
    <row r="59" spans="1:91" ht="25.5" customHeight="1" thickBot="1">
      <c r="A59" s="411">
        <v>3852</v>
      </c>
      <c r="B59" s="412" t="s">
        <v>11</v>
      </c>
      <c r="C59" s="412" t="s">
        <v>44</v>
      </c>
      <c r="D59" s="412" t="s">
        <v>76</v>
      </c>
      <c r="E59" s="377" t="s">
        <v>53</v>
      </c>
      <c r="F59" s="412"/>
      <c r="G59" s="377" t="s">
        <v>272</v>
      </c>
      <c r="H59" s="376" t="s">
        <v>54</v>
      </c>
      <c r="I59" s="380"/>
      <c r="J59" s="377"/>
      <c r="K59" s="378"/>
      <c r="L59" s="413" t="s">
        <v>78</v>
      </c>
      <c r="M59" s="412" t="s">
        <v>77</v>
      </c>
      <c r="N59" s="412"/>
      <c r="O59" s="412" t="s">
        <v>77</v>
      </c>
      <c r="P59" s="414" t="s">
        <v>77</v>
      </c>
      <c r="Q59" s="413"/>
      <c r="R59" s="412"/>
      <c r="S59" s="412"/>
      <c r="T59" s="412"/>
      <c r="U59" s="415" t="s">
        <v>80</v>
      </c>
      <c r="V59" s="411"/>
      <c r="W59" s="377"/>
      <c r="X59" s="377"/>
      <c r="Y59" s="377"/>
      <c r="Z59" s="378"/>
      <c r="AA59" s="379"/>
      <c r="AB59" s="377"/>
      <c r="AC59" s="377"/>
      <c r="AD59" s="377"/>
      <c r="AE59" s="376"/>
      <c r="AF59" s="380"/>
      <c r="AG59" s="377"/>
      <c r="AH59" s="377"/>
      <c r="AI59" s="377"/>
      <c r="AJ59" s="378"/>
      <c r="AK59" s="379"/>
      <c r="AL59" s="377"/>
      <c r="AM59" s="377"/>
      <c r="AN59" s="377"/>
      <c r="AO59" s="376"/>
      <c r="AP59" s="380"/>
      <c r="AQ59" s="377"/>
      <c r="AR59" s="377"/>
      <c r="AS59" s="377"/>
      <c r="AT59" s="378"/>
      <c r="AU59" s="379"/>
      <c r="AV59" s="377"/>
      <c r="AW59" s="377"/>
      <c r="AX59" s="377"/>
      <c r="AY59" s="376"/>
      <c r="AZ59" s="380"/>
      <c r="BA59" s="377"/>
      <c r="BB59" s="377"/>
      <c r="BC59" s="377"/>
      <c r="BD59" s="378"/>
      <c r="BE59" s="379"/>
      <c r="BF59" s="377"/>
      <c r="BG59" s="377"/>
      <c r="BH59" s="377"/>
      <c r="BI59" s="376"/>
      <c r="BJ59" s="380"/>
      <c r="BK59" s="377"/>
      <c r="BL59" s="377"/>
      <c r="BM59" s="377"/>
      <c r="BN59" s="378"/>
      <c r="BO59" s="379"/>
      <c r="BP59" s="377"/>
      <c r="BQ59" s="377"/>
      <c r="BR59" s="377"/>
      <c r="BS59" s="376"/>
      <c r="BT59" s="380"/>
      <c r="BU59" s="377"/>
      <c r="BV59" s="377"/>
      <c r="BW59" s="377"/>
      <c r="BX59" s="378"/>
      <c r="BY59" s="379"/>
      <c r="BZ59" s="377"/>
      <c r="CA59" s="377"/>
      <c r="CB59" s="377"/>
      <c r="CC59" s="376"/>
      <c r="CD59" s="380"/>
      <c r="CE59" s="377"/>
      <c r="CF59" s="377"/>
      <c r="CG59" s="377"/>
      <c r="CH59" s="376"/>
      <c r="CI59" s="380"/>
      <c r="CJ59" s="377"/>
      <c r="CK59" s="377"/>
      <c r="CL59" s="377"/>
      <c r="CM59" s="378"/>
    </row>
    <row r="60" spans="1:91" ht="15" customHeight="1" thickBot="1">
      <c r="A60" s="48"/>
      <c r="B60" s="179"/>
      <c r="C60" s="180"/>
      <c r="D60" s="181"/>
      <c r="E60" s="17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50"/>
      <c r="CH60" s="50"/>
      <c r="CI60" s="50"/>
      <c r="CJ60" s="50"/>
      <c r="CK60" s="50"/>
      <c r="CL60" s="50"/>
      <c r="CM60" s="51"/>
    </row>
    <row r="61" spans="1:91" ht="25.5" customHeight="1" thickBot="1">
      <c r="A61" s="275" t="s">
        <v>31</v>
      </c>
      <c r="B61" s="276"/>
      <c r="C61" s="277"/>
      <c r="D61" s="192"/>
      <c r="E61" s="278" t="s">
        <v>32</v>
      </c>
      <c r="F61" s="276"/>
      <c r="G61" s="277"/>
      <c r="H61" s="193" t="s">
        <v>8</v>
      </c>
      <c r="I61" s="192" t="s">
        <v>9</v>
      </c>
      <c r="J61" s="192" t="s">
        <v>33</v>
      </c>
      <c r="K61" s="192" t="s">
        <v>10</v>
      </c>
      <c r="L61" s="291"/>
      <c r="M61" s="292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  <c r="AA61" s="292"/>
      <c r="AB61" s="292"/>
      <c r="AC61" s="292"/>
      <c r="AD61" s="292"/>
      <c r="AE61" s="292"/>
      <c r="AF61" s="292"/>
      <c r="AG61" s="292"/>
      <c r="AH61" s="292"/>
      <c r="AI61" s="292"/>
      <c r="AJ61" s="292"/>
      <c r="AK61" s="292"/>
      <c r="AL61" s="292"/>
      <c r="AM61" s="292"/>
      <c r="AN61" s="292"/>
      <c r="AO61" s="292"/>
      <c r="AP61" s="292"/>
      <c r="AQ61" s="292"/>
      <c r="AR61" s="292"/>
      <c r="AS61" s="292"/>
      <c r="AT61" s="292"/>
      <c r="AU61" s="292"/>
      <c r="AV61" s="292"/>
      <c r="AW61" s="292"/>
      <c r="AX61" s="292"/>
      <c r="AY61" s="292"/>
      <c r="AZ61" s="292"/>
      <c r="BA61" s="292"/>
      <c r="BB61" s="292"/>
      <c r="BC61" s="292"/>
      <c r="BD61" s="292"/>
      <c r="BE61" s="293"/>
      <c r="BF61" s="300"/>
      <c r="BG61" s="300"/>
      <c r="BH61" s="300"/>
      <c r="BI61" s="300"/>
      <c r="BJ61" s="300"/>
      <c r="BK61" s="300"/>
      <c r="BL61" s="300"/>
      <c r="BM61" s="300"/>
      <c r="BN61" s="300"/>
      <c r="BO61" s="300"/>
      <c r="BP61" s="300"/>
      <c r="BQ61" s="300"/>
      <c r="BR61" s="300"/>
      <c r="BS61" s="300"/>
      <c r="BT61" s="300"/>
      <c r="BU61" s="301"/>
      <c r="BV61" s="291"/>
      <c r="BW61" s="247"/>
      <c r="BX61" s="247"/>
      <c r="BY61" s="247"/>
      <c r="BZ61" s="247"/>
      <c r="CA61" s="247"/>
      <c r="CB61" s="247"/>
      <c r="CC61" s="247"/>
      <c r="CD61" s="247"/>
      <c r="CE61" s="247"/>
      <c r="CF61" s="247"/>
      <c r="CG61" s="247"/>
      <c r="CH61" s="247"/>
      <c r="CI61" s="247"/>
      <c r="CJ61" s="247"/>
      <c r="CK61" s="247"/>
      <c r="CL61" s="247"/>
      <c r="CM61" s="248"/>
    </row>
    <row r="62" spans="1:91" ht="25.5" customHeight="1">
      <c r="A62" s="288"/>
      <c r="B62" s="289"/>
      <c r="C62" s="289"/>
      <c r="D62" s="52"/>
      <c r="E62" s="290"/>
      <c r="F62" s="290"/>
      <c r="G62" s="290"/>
      <c r="H62" s="53"/>
      <c r="I62" s="53"/>
      <c r="J62" s="53"/>
      <c r="K62" s="54"/>
      <c r="L62" s="294"/>
      <c r="M62" s="295"/>
      <c r="N62" s="295"/>
      <c r="O62" s="295"/>
      <c r="P62" s="295"/>
      <c r="Q62" s="295"/>
      <c r="R62" s="295"/>
      <c r="S62" s="295"/>
      <c r="T62" s="295"/>
      <c r="U62" s="295"/>
      <c r="V62" s="295"/>
      <c r="W62" s="295"/>
      <c r="X62" s="295"/>
      <c r="Y62" s="295"/>
      <c r="Z62" s="295"/>
      <c r="AA62" s="295"/>
      <c r="AB62" s="295"/>
      <c r="AC62" s="295"/>
      <c r="AD62" s="295"/>
      <c r="AE62" s="295"/>
      <c r="AF62" s="295"/>
      <c r="AG62" s="295"/>
      <c r="AH62" s="295"/>
      <c r="AI62" s="295"/>
      <c r="AJ62" s="295"/>
      <c r="AK62" s="295"/>
      <c r="AL62" s="295"/>
      <c r="AM62" s="295"/>
      <c r="AN62" s="295"/>
      <c r="AO62" s="295"/>
      <c r="AP62" s="295"/>
      <c r="AQ62" s="295"/>
      <c r="AR62" s="295"/>
      <c r="AS62" s="295"/>
      <c r="AT62" s="295"/>
      <c r="AU62" s="295"/>
      <c r="AV62" s="295"/>
      <c r="AW62" s="295"/>
      <c r="AX62" s="295"/>
      <c r="AY62" s="295"/>
      <c r="AZ62" s="295"/>
      <c r="BA62" s="295"/>
      <c r="BB62" s="295"/>
      <c r="BC62" s="295"/>
      <c r="BD62" s="295"/>
      <c r="BE62" s="296"/>
      <c r="BF62" s="302"/>
      <c r="BG62" s="302"/>
      <c r="BH62" s="302"/>
      <c r="BI62" s="302"/>
      <c r="BJ62" s="302"/>
      <c r="BK62" s="302"/>
      <c r="BL62" s="302"/>
      <c r="BM62" s="302"/>
      <c r="BN62" s="302"/>
      <c r="BO62" s="302"/>
      <c r="BP62" s="302"/>
      <c r="BQ62" s="302"/>
      <c r="BR62" s="302"/>
      <c r="BS62" s="302"/>
      <c r="BT62" s="302"/>
      <c r="BU62" s="303"/>
      <c r="BV62" s="306"/>
      <c r="BW62" s="249"/>
      <c r="BX62" s="249"/>
      <c r="BY62" s="249"/>
      <c r="BZ62" s="249"/>
      <c r="CA62" s="249"/>
      <c r="CB62" s="249"/>
      <c r="CC62" s="249"/>
      <c r="CD62" s="249"/>
      <c r="CE62" s="249"/>
      <c r="CF62" s="249"/>
      <c r="CG62" s="249"/>
      <c r="CH62" s="249"/>
      <c r="CI62" s="249"/>
      <c r="CJ62" s="249"/>
      <c r="CK62" s="249"/>
      <c r="CL62" s="249"/>
      <c r="CM62" s="250"/>
    </row>
    <row r="63" spans="1:91" ht="25.5" customHeight="1" thickBot="1">
      <c r="A63" s="288"/>
      <c r="B63" s="289"/>
      <c r="C63" s="289"/>
      <c r="D63" s="52"/>
      <c r="E63" s="290"/>
      <c r="F63" s="290"/>
      <c r="G63" s="290"/>
      <c r="H63" s="53"/>
      <c r="I63" s="53"/>
      <c r="J63" s="53"/>
      <c r="K63" s="54"/>
      <c r="L63" s="294"/>
      <c r="M63" s="295"/>
      <c r="N63" s="295"/>
      <c r="O63" s="295"/>
      <c r="P63" s="295"/>
      <c r="Q63" s="295"/>
      <c r="R63" s="295"/>
      <c r="S63" s="295"/>
      <c r="T63" s="295"/>
      <c r="U63" s="295"/>
      <c r="V63" s="295"/>
      <c r="W63" s="295"/>
      <c r="X63" s="295"/>
      <c r="Y63" s="295"/>
      <c r="Z63" s="295"/>
      <c r="AA63" s="295"/>
      <c r="AB63" s="295"/>
      <c r="AC63" s="295"/>
      <c r="AD63" s="295"/>
      <c r="AE63" s="295"/>
      <c r="AF63" s="295"/>
      <c r="AG63" s="295"/>
      <c r="AH63" s="295"/>
      <c r="AI63" s="295"/>
      <c r="AJ63" s="295"/>
      <c r="AK63" s="295"/>
      <c r="AL63" s="295"/>
      <c r="AM63" s="295"/>
      <c r="AN63" s="295"/>
      <c r="AO63" s="295"/>
      <c r="AP63" s="295"/>
      <c r="AQ63" s="295"/>
      <c r="AR63" s="295"/>
      <c r="AS63" s="295"/>
      <c r="AT63" s="295"/>
      <c r="AU63" s="295"/>
      <c r="AV63" s="295"/>
      <c r="AW63" s="295"/>
      <c r="AX63" s="295"/>
      <c r="AY63" s="295"/>
      <c r="AZ63" s="295"/>
      <c r="BA63" s="295"/>
      <c r="BB63" s="295"/>
      <c r="BC63" s="295"/>
      <c r="BD63" s="295"/>
      <c r="BE63" s="296"/>
      <c r="BF63" s="304"/>
      <c r="BG63" s="304"/>
      <c r="BH63" s="304"/>
      <c r="BI63" s="304"/>
      <c r="BJ63" s="304"/>
      <c r="BK63" s="304"/>
      <c r="BL63" s="304"/>
      <c r="BM63" s="304"/>
      <c r="BN63" s="304"/>
      <c r="BO63" s="304"/>
      <c r="BP63" s="304"/>
      <c r="BQ63" s="304"/>
      <c r="BR63" s="304"/>
      <c r="BS63" s="304"/>
      <c r="BT63" s="304"/>
      <c r="BU63" s="305"/>
      <c r="BV63" s="263"/>
      <c r="BW63" s="251"/>
      <c r="BX63" s="251"/>
      <c r="BY63" s="251"/>
      <c r="BZ63" s="251"/>
      <c r="CA63" s="251"/>
      <c r="CB63" s="251"/>
      <c r="CC63" s="251"/>
      <c r="CD63" s="251"/>
      <c r="CE63" s="251"/>
      <c r="CF63" s="251"/>
      <c r="CG63" s="251"/>
      <c r="CH63" s="251"/>
      <c r="CI63" s="251"/>
      <c r="CJ63" s="251"/>
      <c r="CK63" s="251"/>
      <c r="CL63" s="251"/>
      <c r="CM63" s="252"/>
    </row>
    <row r="64" spans="1:91" ht="27" customHeight="1">
      <c r="A64" s="288"/>
      <c r="B64" s="289"/>
      <c r="C64" s="289"/>
      <c r="D64" s="52"/>
      <c r="E64" s="290"/>
      <c r="F64" s="290"/>
      <c r="G64" s="290"/>
      <c r="H64" s="53"/>
      <c r="I64" s="53"/>
      <c r="J64" s="53"/>
      <c r="K64" s="54"/>
      <c r="L64" s="294"/>
      <c r="M64" s="295"/>
      <c r="N64" s="295"/>
      <c r="O64" s="295"/>
      <c r="P64" s="295"/>
      <c r="Q64" s="295"/>
      <c r="R64" s="295"/>
      <c r="S64" s="295"/>
      <c r="T64" s="295"/>
      <c r="U64" s="295"/>
      <c r="V64" s="295"/>
      <c r="W64" s="295"/>
      <c r="X64" s="295"/>
      <c r="Y64" s="295"/>
      <c r="Z64" s="295"/>
      <c r="AA64" s="295"/>
      <c r="AB64" s="295"/>
      <c r="AC64" s="295"/>
      <c r="AD64" s="295"/>
      <c r="AE64" s="295"/>
      <c r="AF64" s="295"/>
      <c r="AG64" s="295"/>
      <c r="AH64" s="295"/>
      <c r="AI64" s="295"/>
      <c r="AJ64" s="295"/>
      <c r="AK64" s="295"/>
      <c r="AL64" s="295"/>
      <c r="AM64" s="295"/>
      <c r="AN64" s="295"/>
      <c r="AO64" s="295"/>
      <c r="AP64" s="295"/>
      <c r="AQ64" s="295"/>
      <c r="AR64" s="295"/>
      <c r="AS64" s="295"/>
      <c r="AT64" s="295"/>
      <c r="AU64" s="295"/>
      <c r="AV64" s="295"/>
      <c r="AW64" s="295"/>
      <c r="AX64" s="295"/>
      <c r="AY64" s="295"/>
      <c r="AZ64" s="295"/>
      <c r="BA64" s="295"/>
      <c r="BB64" s="295"/>
      <c r="BC64" s="295"/>
      <c r="BD64" s="295"/>
      <c r="BE64" s="296"/>
      <c r="BF64" s="247" t="s">
        <v>89</v>
      </c>
      <c r="BG64" s="247"/>
      <c r="BH64" s="247"/>
      <c r="BI64" s="247"/>
      <c r="BJ64" s="247"/>
      <c r="BK64" s="247"/>
      <c r="BL64" s="247"/>
      <c r="BM64" s="247"/>
      <c r="BN64" s="247"/>
      <c r="BO64" s="247"/>
      <c r="BP64" s="247"/>
      <c r="BQ64" s="247"/>
      <c r="BR64" s="247"/>
      <c r="BS64" s="247"/>
      <c r="BT64" s="247"/>
      <c r="BU64" s="248"/>
      <c r="BV64" s="279" t="s">
        <v>90</v>
      </c>
      <c r="BW64" s="280"/>
      <c r="BX64" s="280"/>
      <c r="BY64" s="280"/>
      <c r="BZ64" s="280"/>
      <c r="CA64" s="280"/>
      <c r="CB64" s="280"/>
      <c r="CC64" s="280"/>
      <c r="CD64" s="280"/>
      <c r="CE64" s="280"/>
      <c r="CF64" s="280"/>
      <c r="CG64" s="280"/>
      <c r="CH64" s="280"/>
      <c r="CI64" s="280"/>
      <c r="CJ64" s="280"/>
      <c r="CK64" s="280"/>
      <c r="CL64" s="280"/>
      <c r="CM64" s="281"/>
    </row>
    <row r="65" spans="1:91" ht="25.5" customHeight="1">
      <c r="A65" s="288"/>
      <c r="B65" s="289"/>
      <c r="C65" s="289"/>
      <c r="D65" s="52"/>
      <c r="E65" s="290"/>
      <c r="F65" s="290"/>
      <c r="G65" s="290"/>
      <c r="H65" s="53"/>
      <c r="I65" s="53"/>
      <c r="J65" s="53"/>
      <c r="K65" s="54"/>
      <c r="L65" s="294"/>
      <c r="M65" s="295"/>
      <c r="N65" s="295"/>
      <c r="O65" s="295"/>
      <c r="P65" s="295"/>
      <c r="Q65" s="295"/>
      <c r="R65" s="295"/>
      <c r="S65" s="295"/>
      <c r="T65" s="295"/>
      <c r="U65" s="295"/>
      <c r="V65" s="295"/>
      <c r="W65" s="295"/>
      <c r="X65" s="295"/>
      <c r="Y65" s="295"/>
      <c r="Z65" s="295"/>
      <c r="AA65" s="295"/>
      <c r="AB65" s="295"/>
      <c r="AC65" s="295"/>
      <c r="AD65" s="295"/>
      <c r="AE65" s="295"/>
      <c r="AF65" s="295"/>
      <c r="AG65" s="295"/>
      <c r="AH65" s="295"/>
      <c r="AI65" s="295"/>
      <c r="AJ65" s="295"/>
      <c r="AK65" s="295"/>
      <c r="AL65" s="295"/>
      <c r="AM65" s="295"/>
      <c r="AN65" s="295"/>
      <c r="AO65" s="295"/>
      <c r="AP65" s="295"/>
      <c r="AQ65" s="295"/>
      <c r="AR65" s="295"/>
      <c r="AS65" s="295"/>
      <c r="AT65" s="295"/>
      <c r="AU65" s="295"/>
      <c r="AV65" s="295"/>
      <c r="AW65" s="295"/>
      <c r="AX65" s="295"/>
      <c r="AY65" s="295"/>
      <c r="AZ65" s="295"/>
      <c r="BA65" s="295"/>
      <c r="BB65" s="295"/>
      <c r="BC65" s="295"/>
      <c r="BD65" s="295"/>
      <c r="BE65" s="296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50"/>
      <c r="BV65" s="282"/>
      <c r="BW65" s="283"/>
      <c r="BX65" s="283"/>
      <c r="BY65" s="283"/>
      <c r="BZ65" s="283"/>
      <c r="CA65" s="283"/>
      <c r="CB65" s="283"/>
      <c r="CC65" s="283"/>
      <c r="CD65" s="283"/>
      <c r="CE65" s="283"/>
      <c r="CF65" s="283"/>
      <c r="CG65" s="283"/>
      <c r="CH65" s="283"/>
      <c r="CI65" s="283"/>
      <c r="CJ65" s="283"/>
      <c r="CK65" s="283"/>
      <c r="CL65" s="283"/>
      <c r="CM65" s="284"/>
    </row>
    <row r="66" spans="1:91" ht="25.5" customHeight="1" thickBot="1">
      <c r="A66" s="288"/>
      <c r="B66" s="289"/>
      <c r="C66" s="289"/>
      <c r="D66" s="52"/>
      <c r="E66" s="290"/>
      <c r="F66" s="290"/>
      <c r="G66" s="290"/>
      <c r="H66" s="53"/>
      <c r="I66" s="53"/>
      <c r="J66" s="53"/>
      <c r="K66" s="54"/>
      <c r="L66" s="294"/>
      <c r="M66" s="295"/>
      <c r="N66" s="295"/>
      <c r="O66" s="295"/>
      <c r="P66" s="295"/>
      <c r="Q66" s="295"/>
      <c r="R66" s="295"/>
      <c r="S66" s="295"/>
      <c r="T66" s="295"/>
      <c r="U66" s="295"/>
      <c r="V66" s="295"/>
      <c r="W66" s="295"/>
      <c r="X66" s="295"/>
      <c r="Y66" s="295"/>
      <c r="Z66" s="295"/>
      <c r="AA66" s="295"/>
      <c r="AB66" s="295"/>
      <c r="AC66" s="295"/>
      <c r="AD66" s="295"/>
      <c r="AE66" s="295"/>
      <c r="AF66" s="295"/>
      <c r="AG66" s="295"/>
      <c r="AH66" s="295"/>
      <c r="AI66" s="295"/>
      <c r="AJ66" s="295"/>
      <c r="AK66" s="295"/>
      <c r="AL66" s="295"/>
      <c r="AM66" s="295"/>
      <c r="AN66" s="295"/>
      <c r="AO66" s="295"/>
      <c r="AP66" s="295"/>
      <c r="AQ66" s="295"/>
      <c r="AR66" s="295"/>
      <c r="AS66" s="295"/>
      <c r="AT66" s="295"/>
      <c r="AU66" s="295"/>
      <c r="AV66" s="295"/>
      <c r="AW66" s="295"/>
      <c r="AX66" s="295"/>
      <c r="AY66" s="295"/>
      <c r="AZ66" s="295"/>
      <c r="BA66" s="295"/>
      <c r="BB66" s="295"/>
      <c r="BC66" s="295"/>
      <c r="BD66" s="295"/>
      <c r="BE66" s="296"/>
      <c r="BF66" s="251"/>
      <c r="BG66" s="251"/>
      <c r="BH66" s="251"/>
      <c r="BI66" s="251"/>
      <c r="BJ66" s="251"/>
      <c r="BK66" s="251"/>
      <c r="BL66" s="251"/>
      <c r="BM66" s="251"/>
      <c r="BN66" s="251"/>
      <c r="BO66" s="251"/>
      <c r="BP66" s="251"/>
      <c r="BQ66" s="251"/>
      <c r="BR66" s="251"/>
      <c r="BS66" s="251"/>
      <c r="BT66" s="251"/>
      <c r="BU66" s="252"/>
      <c r="BV66" s="285"/>
      <c r="BW66" s="286"/>
      <c r="BX66" s="286"/>
      <c r="BY66" s="286"/>
      <c r="BZ66" s="286"/>
      <c r="CA66" s="286"/>
      <c r="CB66" s="286"/>
      <c r="CC66" s="286"/>
      <c r="CD66" s="286"/>
      <c r="CE66" s="286"/>
      <c r="CF66" s="286"/>
      <c r="CG66" s="286"/>
      <c r="CH66" s="286"/>
      <c r="CI66" s="286"/>
      <c r="CJ66" s="286"/>
      <c r="CK66" s="286"/>
      <c r="CL66" s="286"/>
      <c r="CM66" s="287"/>
    </row>
    <row r="67" spans="1:91" ht="25.5" customHeight="1">
      <c r="A67" s="255" t="e">
        <f>IF(#REF!&lt;&gt;"",#REF!,"")</f>
        <v>#REF!</v>
      </c>
      <c r="B67" s="256"/>
      <c r="C67" s="256"/>
      <c r="D67" s="185"/>
      <c r="E67" s="257" t="e">
        <f>IF(#REF!&lt;&gt;"",#REF!,"")</f>
        <v>#REF!</v>
      </c>
      <c r="F67" s="257"/>
      <c r="G67" s="257"/>
      <c r="H67" s="186" t="e">
        <f>IF(#REF!&lt;&gt;"",#REF!,"")</f>
        <v>#REF!</v>
      </c>
      <c r="I67" s="186" t="e">
        <f>IF(#REF!&lt;&gt;"",#REF!,"")</f>
        <v>#REF!</v>
      </c>
      <c r="J67" s="186" t="e">
        <f>IF(#REF!&lt;&gt;"",#REF!,"")</f>
        <v>#REF!</v>
      </c>
      <c r="K67" s="187" t="e">
        <f>IF(#REF!&lt;&gt;"",#REF!,"")</f>
        <v>#REF!</v>
      </c>
      <c r="L67" s="294"/>
      <c r="M67" s="295"/>
      <c r="N67" s="295"/>
      <c r="O67" s="295"/>
      <c r="P67" s="295"/>
      <c r="Q67" s="295"/>
      <c r="R67" s="295"/>
      <c r="S67" s="295"/>
      <c r="T67" s="295"/>
      <c r="U67" s="295"/>
      <c r="V67" s="295"/>
      <c r="W67" s="295"/>
      <c r="X67" s="295"/>
      <c r="Y67" s="295"/>
      <c r="Z67" s="295"/>
      <c r="AA67" s="295"/>
      <c r="AB67" s="295"/>
      <c r="AC67" s="295"/>
      <c r="AD67" s="295"/>
      <c r="AE67" s="295"/>
      <c r="AF67" s="295"/>
      <c r="AG67" s="295"/>
      <c r="AH67" s="295"/>
      <c r="AI67" s="295"/>
      <c r="AJ67" s="295"/>
      <c r="AK67" s="295"/>
      <c r="AL67" s="295"/>
      <c r="AM67" s="295"/>
      <c r="AN67" s="295"/>
      <c r="AO67" s="295"/>
      <c r="AP67" s="295"/>
      <c r="AQ67" s="295"/>
      <c r="AR67" s="295"/>
      <c r="AS67" s="295"/>
      <c r="AT67" s="295"/>
      <c r="AU67" s="295"/>
      <c r="AV67" s="295"/>
      <c r="AW67" s="295"/>
      <c r="AX67" s="295"/>
      <c r="AY67" s="295"/>
      <c r="AZ67" s="295"/>
      <c r="BA67" s="295"/>
      <c r="BB67" s="295"/>
      <c r="BC67" s="295"/>
      <c r="BD67" s="295"/>
      <c r="BE67" s="296"/>
      <c r="BF67" s="272" t="s">
        <v>34</v>
      </c>
      <c r="BG67" s="272"/>
      <c r="BH67" s="272"/>
      <c r="BI67" s="272"/>
      <c r="BJ67" s="272"/>
      <c r="BK67" s="272"/>
      <c r="BL67" s="272"/>
      <c r="BM67" s="272"/>
      <c r="BN67" s="272"/>
      <c r="BO67" s="272"/>
      <c r="BP67" s="272"/>
      <c r="BQ67" s="272"/>
      <c r="BR67" s="272"/>
      <c r="BS67" s="272"/>
      <c r="BT67" s="272"/>
      <c r="BU67" s="254"/>
      <c r="BV67" s="273" t="s">
        <v>35</v>
      </c>
      <c r="BW67" s="272"/>
      <c r="BX67" s="274"/>
      <c r="BY67" s="253" t="s">
        <v>36</v>
      </c>
      <c r="BZ67" s="272"/>
      <c r="CA67" s="272"/>
      <c r="CB67" s="272"/>
      <c r="CC67" s="272"/>
      <c r="CD67" s="272"/>
      <c r="CE67" s="272"/>
      <c r="CF67" s="272"/>
      <c r="CG67" s="272"/>
      <c r="CH67" s="272"/>
      <c r="CI67" s="272"/>
      <c r="CJ67" s="272"/>
      <c r="CK67" s="274"/>
      <c r="CL67" s="253" t="s">
        <v>37</v>
      </c>
      <c r="CM67" s="254"/>
    </row>
    <row r="68" spans="1:91" ht="25.5" customHeight="1">
      <c r="A68" s="255" t="e">
        <f>IF(#REF!&lt;&gt;"",#REF!,"")</f>
        <v>#REF!</v>
      </c>
      <c r="B68" s="256"/>
      <c r="C68" s="256"/>
      <c r="D68" s="185"/>
      <c r="E68" s="257" t="e">
        <f>IF(#REF!&lt;&gt;"",#REF!,"")</f>
        <v>#REF!</v>
      </c>
      <c r="F68" s="257"/>
      <c r="G68" s="257"/>
      <c r="H68" s="186" t="e">
        <f>IF(#REF!&lt;&gt;"",#REF!,"")</f>
        <v>#REF!</v>
      </c>
      <c r="I68" s="186" t="e">
        <f>IF(#REF!&lt;&gt;"",#REF!,"")</f>
        <v>#REF!</v>
      </c>
      <c r="J68" s="186" t="e">
        <f>IF(#REF!&lt;&gt;"",#REF!,"")</f>
        <v>#REF!</v>
      </c>
      <c r="K68" s="187" t="e">
        <f>IF(#REF!&lt;&gt;"",#REF!,"")</f>
        <v>#REF!</v>
      </c>
      <c r="L68" s="294"/>
      <c r="M68" s="295"/>
      <c r="N68" s="295"/>
      <c r="O68" s="295"/>
      <c r="P68" s="295"/>
      <c r="Q68" s="295"/>
      <c r="R68" s="295"/>
      <c r="S68" s="295"/>
      <c r="T68" s="295"/>
      <c r="U68" s="295"/>
      <c r="V68" s="295"/>
      <c r="W68" s="295"/>
      <c r="X68" s="295"/>
      <c r="Y68" s="295"/>
      <c r="Z68" s="295"/>
      <c r="AA68" s="295"/>
      <c r="AB68" s="295"/>
      <c r="AC68" s="295"/>
      <c r="AD68" s="295"/>
      <c r="AE68" s="295"/>
      <c r="AF68" s="295"/>
      <c r="AG68" s="295"/>
      <c r="AH68" s="295"/>
      <c r="AI68" s="295"/>
      <c r="AJ68" s="295"/>
      <c r="AK68" s="295"/>
      <c r="AL68" s="295"/>
      <c r="AM68" s="295"/>
      <c r="AN68" s="295"/>
      <c r="AO68" s="295"/>
      <c r="AP68" s="295"/>
      <c r="AQ68" s="295"/>
      <c r="AR68" s="295"/>
      <c r="AS68" s="295"/>
      <c r="AT68" s="295"/>
      <c r="AU68" s="295"/>
      <c r="AV68" s="295"/>
      <c r="AW68" s="295"/>
      <c r="AX68" s="295"/>
      <c r="AY68" s="295"/>
      <c r="AZ68" s="295"/>
      <c r="BA68" s="295"/>
      <c r="BB68" s="295"/>
      <c r="BC68" s="295"/>
      <c r="BD68" s="295"/>
      <c r="BE68" s="296"/>
      <c r="BF68" s="258" t="s">
        <v>5</v>
      </c>
      <c r="BG68" s="259"/>
      <c r="BH68" s="259"/>
      <c r="BI68" s="259"/>
      <c r="BJ68" s="259"/>
      <c r="BK68" s="259"/>
      <c r="BL68" s="259"/>
      <c r="BM68" s="259"/>
      <c r="BN68" s="259"/>
      <c r="BO68" s="259"/>
      <c r="BP68" s="259"/>
      <c r="BQ68" s="259"/>
      <c r="BR68" s="259"/>
      <c r="BS68" s="259"/>
      <c r="BT68" s="259"/>
      <c r="BU68" s="260"/>
      <c r="BV68" s="261" t="s">
        <v>12</v>
      </c>
      <c r="BW68" s="259"/>
      <c r="BX68" s="262"/>
      <c r="BY68" s="265" t="s">
        <v>1691</v>
      </c>
      <c r="BZ68" s="266"/>
      <c r="CA68" s="266"/>
      <c r="CB68" s="266"/>
      <c r="CC68" s="266"/>
      <c r="CD68" s="266"/>
      <c r="CE68" s="266"/>
      <c r="CF68" s="266"/>
      <c r="CG68" s="266"/>
      <c r="CH68" s="266"/>
      <c r="CI68" s="266"/>
      <c r="CJ68" s="266"/>
      <c r="CK68" s="267"/>
      <c r="CL68" s="227" t="s">
        <v>11</v>
      </c>
      <c r="CM68" s="260"/>
    </row>
    <row r="69" spans="1:91" ht="25.5" customHeight="1" thickBot="1">
      <c r="A69" s="255" t="e">
        <f>IF(#REF!&lt;&gt;"",#REF!,"")</f>
        <v>#REF!</v>
      </c>
      <c r="B69" s="256"/>
      <c r="C69" s="256"/>
      <c r="D69" s="185"/>
      <c r="E69" s="257" t="e">
        <f>IF(#REF!&lt;&gt;"",#REF!,"")</f>
        <v>#REF!</v>
      </c>
      <c r="F69" s="257"/>
      <c r="G69" s="257"/>
      <c r="H69" s="186" t="e">
        <f>IF(#REF!&lt;&gt;"",#REF!,"")</f>
        <v>#REF!</v>
      </c>
      <c r="I69" s="186" t="e">
        <f>IF(#REF!&lt;&gt;"",#REF!,"")</f>
        <v>#REF!</v>
      </c>
      <c r="J69" s="186" t="e">
        <f>IF(#REF!&lt;&gt;"",#REF!,"")</f>
        <v>#REF!</v>
      </c>
      <c r="K69" s="187" t="e">
        <f>IF(#REF!&lt;&gt;"",#REF!,"")</f>
        <v>#REF!</v>
      </c>
      <c r="L69" s="297"/>
      <c r="M69" s="298"/>
      <c r="N69" s="298"/>
      <c r="O69" s="298"/>
      <c r="P69" s="298"/>
      <c r="Q69" s="298"/>
      <c r="R69" s="298"/>
      <c r="S69" s="298"/>
      <c r="T69" s="298"/>
      <c r="U69" s="298"/>
      <c r="V69" s="298"/>
      <c r="W69" s="298"/>
      <c r="X69" s="298"/>
      <c r="Y69" s="298"/>
      <c r="Z69" s="298"/>
      <c r="AA69" s="298"/>
      <c r="AB69" s="298"/>
      <c r="AC69" s="298"/>
      <c r="AD69" s="298"/>
      <c r="AE69" s="298"/>
      <c r="AF69" s="298"/>
      <c r="AG69" s="298"/>
      <c r="AH69" s="298"/>
      <c r="AI69" s="298"/>
      <c r="AJ69" s="298"/>
      <c r="AK69" s="298"/>
      <c r="AL69" s="298"/>
      <c r="AM69" s="298"/>
      <c r="AN69" s="298"/>
      <c r="AO69" s="298"/>
      <c r="AP69" s="298"/>
      <c r="AQ69" s="298"/>
      <c r="AR69" s="298"/>
      <c r="AS69" s="298"/>
      <c r="AT69" s="298"/>
      <c r="AU69" s="298"/>
      <c r="AV69" s="298"/>
      <c r="AW69" s="298"/>
      <c r="AX69" s="298"/>
      <c r="AY69" s="298"/>
      <c r="AZ69" s="298"/>
      <c r="BA69" s="298"/>
      <c r="BB69" s="298"/>
      <c r="BC69" s="298"/>
      <c r="BD69" s="298"/>
      <c r="BE69" s="299"/>
      <c r="BF69" s="251"/>
      <c r="BG69" s="251"/>
      <c r="BH69" s="251"/>
      <c r="BI69" s="251"/>
      <c r="BJ69" s="251"/>
      <c r="BK69" s="251"/>
      <c r="BL69" s="251"/>
      <c r="BM69" s="251"/>
      <c r="BN69" s="251"/>
      <c r="BO69" s="251"/>
      <c r="BP69" s="251"/>
      <c r="BQ69" s="251"/>
      <c r="BR69" s="251"/>
      <c r="BS69" s="251"/>
      <c r="BT69" s="251"/>
      <c r="BU69" s="252"/>
      <c r="BV69" s="263"/>
      <c r="BW69" s="251"/>
      <c r="BX69" s="264"/>
      <c r="BY69" s="268"/>
      <c r="BZ69" s="269"/>
      <c r="CA69" s="269"/>
      <c r="CB69" s="269"/>
      <c r="CC69" s="269"/>
      <c r="CD69" s="269"/>
      <c r="CE69" s="269"/>
      <c r="CF69" s="269"/>
      <c r="CG69" s="269"/>
      <c r="CH69" s="269"/>
      <c r="CI69" s="269"/>
      <c r="CJ69" s="269"/>
      <c r="CK69" s="270"/>
      <c r="CL69" s="271"/>
      <c r="CM69" s="252"/>
    </row>
    <row r="70" spans="1:91" ht="12" customHeight="1">
      <c r="A70" s="55"/>
      <c r="B70" s="56"/>
      <c r="C70" s="56"/>
      <c r="D70" s="56"/>
      <c r="E70" s="57"/>
      <c r="F70" s="58"/>
      <c r="G70" s="58"/>
      <c r="H70" s="58"/>
      <c r="I70" s="59"/>
      <c r="BL70" s="17"/>
      <c r="BM70" s="17"/>
      <c r="BN70" s="17"/>
      <c r="BO70" s="17"/>
      <c r="BP70" s="17"/>
      <c r="BQ70" s="17"/>
      <c r="BR70" s="17"/>
      <c r="BS70" s="17"/>
      <c r="BT70" s="61"/>
      <c r="CD70" s="57"/>
      <c r="CE70" s="57"/>
      <c r="CF70" s="57"/>
      <c r="CG70" s="57"/>
      <c r="CH70" s="57"/>
      <c r="CI70" s="57"/>
      <c r="CJ70" s="57"/>
      <c r="CK70" s="57"/>
      <c r="CL70" s="57"/>
      <c r="CM70" s="57"/>
    </row>
  </sheetData>
  <mergeCells count="45"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BV64:CM66"/>
    <mergeCell ref="A65:C65"/>
    <mergeCell ref="E65:G65"/>
    <mergeCell ref="A66:C66"/>
    <mergeCell ref="E66:G66"/>
    <mergeCell ref="A67:C67"/>
    <mergeCell ref="E67:G67"/>
    <mergeCell ref="BF67:BU67"/>
    <mergeCell ref="BV67:BX67"/>
    <mergeCell ref="BY67:CK67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BF64:BU66"/>
    <mergeCell ref="G7:G9"/>
    <mergeCell ref="H7:H9"/>
    <mergeCell ref="I7:K7"/>
    <mergeCell ref="J8:K8"/>
    <mergeCell ref="A61:C61"/>
    <mergeCell ref="E61:G61"/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29" orientation="landscape" r:id="rId1"/>
  <headerFooter alignWithMargins="0">
    <oddFooter xml:space="preserve">&amp;L&amp;Z&amp;F&amp;C&amp;D&amp;RConcise DesignShutdown Key 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DQ70"/>
  <sheetViews>
    <sheetView showGridLines="0" view="pageBreakPreview" topLeftCell="C1" zoomScale="50" zoomScaleNormal="50" zoomScaleSheetLayoutView="50" zoomScalePageLayoutView="50" workbookViewId="0">
      <selection activeCell="I1" sqref="I1:K9"/>
    </sheetView>
  </sheetViews>
  <sheetFormatPr defaultColWidth="12.7109375" defaultRowHeight="12" customHeight="1"/>
  <cols>
    <col min="1" max="1" width="8.7109375" style="21" hidden="1" customWidth="1"/>
    <col min="2" max="2" width="7.42578125" style="21" hidden="1" customWidth="1"/>
    <col min="3" max="3" width="19" style="21" customWidth="1"/>
    <col min="4" max="4" width="25.42578125" style="21" hidden="1" customWidth="1"/>
    <col min="5" max="5" width="95.85546875" style="27" bestFit="1" customWidth="1"/>
    <col min="6" max="6" width="18.42578125" style="196" hidden="1" customWidth="1"/>
    <col min="7" max="7" width="31.5703125" style="196" bestFit="1" customWidth="1"/>
    <col min="8" max="8" width="33" style="196" bestFit="1" customWidth="1"/>
    <col min="9" max="10" width="8.42578125" style="41" customWidth="1"/>
    <col min="11" max="11" width="10.85546875" style="41" bestFit="1" customWidth="1"/>
    <col min="12" max="12" width="6.140625" style="60" hidden="1" customWidth="1"/>
    <col min="13" max="14" width="6.140625" style="27" customWidth="1"/>
    <col min="15" max="16" width="6.140625" style="27" hidden="1" customWidth="1"/>
    <col min="17" max="21" width="6.140625" style="27" customWidth="1"/>
    <col min="22" max="22" width="6.140625" style="60" customWidth="1"/>
    <col min="23" max="31" width="6.140625" style="27" customWidth="1"/>
    <col min="32" max="32" width="6.140625" style="60" customWidth="1"/>
    <col min="33" max="41" width="6.140625" style="27" customWidth="1"/>
    <col min="42" max="42" width="6.140625" style="60" customWidth="1"/>
    <col min="43" max="51" width="6.140625" style="27" customWidth="1"/>
    <col min="52" max="52" width="6.140625" style="60" customWidth="1"/>
    <col min="53" max="61" width="6.140625" style="27" customWidth="1"/>
    <col min="62" max="62" width="6.140625" style="60" customWidth="1"/>
    <col min="63" max="71" width="6.140625" style="27" customWidth="1"/>
    <col min="72" max="72" width="6.140625" style="60" customWidth="1"/>
    <col min="73" max="80" width="6.140625" style="27" customWidth="1"/>
    <col min="81" max="81" width="6.140625" style="62" customWidth="1"/>
    <col min="82" max="91" width="6.140625" style="27" customWidth="1"/>
    <col min="92" max="16384" width="12.7109375" style="27"/>
  </cols>
  <sheetData>
    <row r="1" spans="1:121" s="194" customFormat="1" ht="20.25" customHeight="1">
      <c r="A1" s="15"/>
      <c r="B1" s="16"/>
      <c r="C1" s="16"/>
      <c r="D1" s="16"/>
      <c r="E1" s="17"/>
      <c r="F1" s="195"/>
      <c r="G1" s="195"/>
      <c r="H1" s="195"/>
      <c r="I1" s="18"/>
      <c r="J1" s="19" t="s">
        <v>13</v>
      </c>
      <c r="K1" s="20"/>
      <c r="L1" s="407">
        <v>1</v>
      </c>
      <c r="M1" s="402">
        <v>2</v>
      </c>
      <c r="N1" s="402">
        <v>3</v>
      </c>
      <c r="O1" s="402">
        <v>4</v>
      </c>
      <c r="P1" s="408">
        <v>6</v>
      </c>
      <c r="Q1" s="407">
        <v>7</v>
      </c>
      <c r="R1" s="402">
        <v>238</v>
      </c>
      <c r="S1" s="402">
        <v>889</v>
      </c>
      <c r="T1" s="402">
        <v>887</v>
      </c>
      <c r="U1" s="409">
        <v>888</v>
      </c>
      <c r="V1" s="401">
        <v>231</v>
      </c>
      <c r="W1" s="403">
        <v>7777</v>
      </c>
      <c r="X1" s="403"/>
      <c r="Y1" s="403"/>
      <c r="Z1" s="406"/>
      <c r="AA1" s="410"/>
      <c r="AB1" s="403"/>
      <c r="AC1" s="403"/>
      <c r="AD1" s="403"/>
      <c r="AE1" s="404"/>
      <c r="AF1" s="405"/>
      <c r="AG1" s="403"/>
      <c r="AH1" s="403"/>
      <c r="AI1" s="403"/>
      <c r="AJ1" s="406"/>
      <c r="AK1" s="410"/>
      <c r="AL1" s="403"/>
      <c r="AM1" s="403"/>
      <c r="AN1" s="403"/>
      <c r="AO1" s="404"/>
      <c r="AP1" s="405"/>
      <c r="AQ1" s="403"/>
      <c r="AR1" s="403"/>
      <c r="AS1" s="403"/>
      <c r="AT1" s="406"/>
      <c r="AU1" s="410"/>
      <c r="AV1" s="403"/>
      <c r="AW1" s="403"/>
      <c r="AX1" s="403"/>
      <c r="AY1" s="404"/>
      <c r="AZ1" s="405"/>
      <c r="BA1" s="403"/>
      <c r="BB1" s="403"/>
      <c r="BC1" s="403"/>
      <c r="BD1" s="406"/>
      <c r="BE1" s="410"/>
      <c r="BF1" s="403"/>
      <c r="BG1" s="403"/>
      <c r="BH1" s="403"/>
      <c r="BI1" s="404"/>
      <c r="BJ1" s="405"/>
      <c r="BK1" s="403"/>
      <c r="BL1" s="403"/>
      <c r="BM1" s="403"/>
      <c r="BN1" s="406"/>
      <c r="BO1" s="410"/>
      <c r="BP1" s="403"/>
      <c r="BQ1" s="403"/>
      <c r="BR1" s="403"/>
      <c r="BS1" s="404"/>
      <c r="BT1" s="405"/>
      <c r="BU1" s="403"/>
      <c r="BV1" s="403"/>
      <c r="BW1" s="403"/>
      <c r="BX1" s="406"/>
      <c r="BY1" s="410"/>
      <c r="BZ1" s="403"/>
      <c r="CA1" s="403"/>
      <c r="CB1" s="403"/>
      <c r="CC1" s="404"/>
      <c r="CD1" s="405"/>
      <c r="CE1" s="403"/>
      <c r="CF1" s="403"/>
      <c r="CG1" s="403"/>
      <c r="CH1" s="404"/>
      <c r="CI1" s="405"/>
      <c r="CJ1" s="403"/>
      <c r="CK1" s="403"/>
      <c r="CL1" s="403"/>
      <c r="CM1" s="406"/>
      <c r="CN1" s="21"/>
      <c r="CO1" s="21"/>
      <c r="CP1" s="21"/>
      <c r="CQ1" s="21"/>
      <c r="CR1" s="21"/>
      <c r="CS1" s="21"/>
      <c r="CT1" s="21"/>
      <c r="CU1" s="21"/>
      <c r="CV1" s="21"/>
      <c r="CW1" s="21"/>
      <c r="CX1" s="21"/>
      <c r="CY1" s="21"/>
      <c r="CZ1" s="21"/>
      <c r="DA1" s="21"/>
      <c r="DB1" s="21"/>
      <c r="DC1" s="21"/>
      <c r="DD1" s="21"/>
      <c r="DE1" s="21"/>
      <c r="DF1" s="21"/>
      <c r="DG1" s="21"/>
      <c r="DH1" s="21"/>
      <c r="DI1" s="21"/>
      <c r="DJ1" s="21"/>
      <c r="DK1" s="21"/>
      <c r="DL1" s="21"/>
      <c r="DM1" s="21"/>
      <c r="DN1" s="21"/>
      <c r="DO1" s="21"/>
      <c r="DP1" s="21"/>
      <c r="DQ1" s="21"/>
    </row>
    <row r="2" spans="1:121" s="194" customFormat="1" ht="24" customHeight="1" thickBot="1">
      <c r="A2" s="22"/>
      <c r="B2" s="21"/>
      <c r="C2" s="21"/>
      <c r="D2" s="21"/>
      <c r="F2" s="196"/>
      <c r="G2" s="196"/>
      <c r="H2" s="196"/>
      <c r="I2" s="23"/>
      <c r="J2" s="24" t="s">
        <v>14</v>
      </c>
      <c r="K2" s="25"/>
      <c r="L2" s="388" t="s">
        <v>11</v>
      </c>
      <c r="M2" s="387" t="s">
        <v>11</v>
      </c>
      <c r="N2" s="387" t="s">
        <v>11</v>
      </c>
      <c r="O2" s="387" t="s">
        <v>11</v>
      </c>
      <c r="P2" s="389" t="s">
        <v>11</v>
      </c>
      <c r="Q2" s="388" t="s">
        <v>77</v>
      </c>
      <c r="R2" s="387" t="s">
        <v>11</v>
      </c>
      <c r="S2" s="387" t="s">
        <v>11</v>
      </c>
      <c r="T2" s="387" t="s">
        <v>11</v>
      </c>
      <c r="U2" s="390" t="s">
        <v>11</v>
      </c>
      <c r="V2" s="386" t="s">
        <v>11</v>
      </c>
      <c r="W2" s="372" t="s">
        <v>11</v>
      </c>
      <c r="X2" s="372"/>
      <c r="Y2" s="372"/>
      <c r="Z2" s="373"/>
      <c r="AA2" s="374"/>
      <c r="AB2" s="372"/>
      <c r="AC2" s="372"/>
      <c r="AD2" s="372"/>
      <c r="AE2" s="371"/>
      <c r="AF2" s="375"/>
      <c r="AG2" s="372"/>
      <c r="AH2" s="372"/>
      <c r="AI2" s="372"/>
      <c r="AJ2" s="373"/>
      <c r="AK2" s="374"/>
      <c r="AL2" s="372"/>
      <c r="AM2" s="372"/>
      <c r="AN2" s="372"/>
      <c r="AO2" s="371"/>
      <c r="AP2" s="375"/>
      <c r="AQ2" s="372"/>
      <c r="AR2" s="372"/>
      <c r="AS2" s="372"/>
      <c r="AT2" s="373"/>
      <c r="AU2" s="374"/>
      <c r="AV2" s="372"/>
      <c r="AW2" s="372"/>
      <c r="AX2" s="372"/>
      <c r="AY2" s="371"/>
      <c r="AZ2" s="375"/>
      <c r="BA2" s="372"/>
      <c r="BB2" s="372"/>
      <c r="BC2" s="372"/>
      <c r="BD2" s="373"/>
      <c r="BE2" s="374"/>
      <c r="BF2" s="372"/>
      <c r="BG2" s="372"/>
      <c r="BH2" s="372"/>
      <c r="BI2" s="371"/>
      <c r="BJ2" s="375"/>
      <c r="BK2" s="372"/>
      <c r="BL2" s="372"/>
      <c r="BM2" s="372"/>
      <c r="BN2" s="373"/>
      <c r="BO2" s="374"/>
      <c r="BP2" s="372"/>
      <c r="BQ2" s="372"/>
      <c r="BR2" s="372"/>
      <c r="BS2" s="371"/>
      <c r="BT2" s="375"/>
      <c r="BU2" s="372"/>
      <c r="BV2" s="372"/>
      <c r="BW2" s="372"/>
      <c r="BX2" s="373"/>
      <c r="BY2" s="374"/>
      <c r="BZ2" s="372"/>
      <c r="CA2" s="372"/>
      <c r="CB2" s="372"/>
      <c r="CC2" s="371"/>
      <c r="CD2" s="375"/>
      <c r="CE2" s="372"/>
      <c r="CF2" s="372"/>
      <c r="CG2" s="372"/>
      <c r="CH2" s="371"/>
      <c r="CI2" s="375"/>
      <c r="CJ2" s="372"/>
      <c r="CK2" s="372"/>
      <c r="CL2" s="372"/>
      <c r="CM2" s="373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  <c r="DO2" s="26"/>
      <c r="DP2" s="26"/>
      <c r="DQ2" s="21"/>
    </row>
    <row r="3" spans="1:121" ht="111" customHeight="1">
      <c r="A3" s="22"/>
      <c r="I3" s="307" t="s">
        <v>15</v>
      </c>
      <c r="J3" s="308"/>
      <c r="K3" s="309"/>
      <c r="L3" s="421" t="s">
        <v>76</v>
      </c>
      <c r="M3" s="422" t="s">
        <v>76</v>
      </c>
      <c r="N3" s="422" t="s">
        <v>76</v>
      </c>
      <c r="O3" s="422" t="s">
        <v>76</v>
      </c>
      <c r="P3" s="423" t="s">
        <v>76</v>
      </c>
      <c r="Q3" s="421"/>
      <c r="R3" s="422" t="s">
        <v>16</v>
      </c>
      <c r="S3" s="422" t="s">
        <v>44</v>
      </c>
      <c r="T3" s="422" t="s">
        <v>44</v>
      </c>
      <c r="U3" s="424" t="s">
        <v>44</v>
      </c>
      <c r="V3" s="425" t="s">
        <v>44</v>
      </c>
      <c r="W3" s="372" t="s">
        <v>93</v>
      </c>
      <c r="X3" s="372"/>
      <c r="Y3" s="372"/>
      <c r="Z3" s="373"/>
      <c r="AA3" s="374"/>
      <c r="AB3" s="372"/>
      <c r="AC3" s="372"/>
      <c r="AD3" s="372"/>
      <c r="AE3" s="371"/>
      <c r="AF3" s="375"/>
      <c r="AG3" s="372"/>
      <c r="AH3" s="372"/>
      <c r="AI3" s="372"/>
      <c r="AJ3" s="373"/>
      <c r="AK3" s="374"/>
      <c r="AL3" s="372"/>
      <c r="AM3" s="372"/>
      <c r="AN3" s="372"/>
      <c r="AO3" s="371"/>
      <c r="AP3" s="375"/>
      <c r="AQ3" s="372"/>
      <c r="AR3" s="372"/>
      <c r="AS3" s="372"/>
      <c r="AT3" s="373"/>
      <c r="AU3" s="374"/>
      <c r="AV3" s="372"/>
      <c r="AW3" s="372"/>
      <c r="AX3" s="372"/>
      <c r="AY3" s="371"/>
      <c r="AZ3" s="375"/>
      <c r="BA3" s="372"/>
      <c r="BB3" s="372"/>
      <c r="BC3" s="372"/>
      <c r="BD3" s="373"/>
      <c r="BE3" s="374"/>
      <c r="BF3" s="372"/>
      <c r="BG3" s="372"/>
      <c r="BH3" s="372"/>
      <c r="BI3" s="371"/>
      <c r="BJ3" s="375"/>
      <c r="BK3" s="372"/>
      <c r="BL3" s="372"/>
      <c r="BM3" s="372"/>
      <c r="BN3" s="373"/>
      <c r="BO3" s="374"/>
      <c r="BP3" s="372"/>
      <c r="BQ3" s="372"/>
      <c r="BR3" s="372"/>
      <c r="BS3" s="371"/>
      <c r="BT3" s="375"/>
      <c r="BU3" s="372"/>
      <c r="BV3" s="372"/>
      <c r="BW3" s="372"/>
      <c r="BX3" s="373"/>
      <c r="BY3" s="374"/>
      <c r="BZ3" s="372"/>
      <c r="CA3" s="372"/>
      <c r="CB3" s="372"/>
      <c r="CC3" s="371"/>
      <c r="CD3" s="375"/>
      <c r="CE3" s="372"/>
      <c r="CF3" s="372"/>
      <c r="CG3" s="372"/>
      <c r="CH3" s="371"/>
      <c r="CI3" s="375"/>
      <c r="CJ3" s="372"/>
      <c r="CK3" s="372"/>
      <c r="CL3" s="372"/>
      <c r="CM3" s="373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</row>
    <row r="4" spans="1:121" s="29" customFormat="1" ht="156.75" customHeight="1">
      <c r="A4" s="22"/>
      <c r="B4" s="21"/>
      <c r="C4" s="21"/>
      <c r="D4" s="21"/>
      <c r="F4" s="21"/>
      <c r="G4" s="21"/>
      <c r="H4" s="30"/>
      <c r="I4" s="310" t="s">
        <v>17</v>
      </c>
      <c r="J4" s="311"/>
      <c r="K4" s="312"/>
      <c r="L4" s="421" t="s">
        <v>76</v>
      </c>
      <c r="M4" s="422" t="s">
        <v>76</v>
      </c>
      <c r="N4" s="422" t="s">
        <v>76</v>
      </c>
      <c r="O4" s="422" t="s">
        <v>76</v>
      </c>
      <c r="P4" s="423" t="s">
        <v>76</v>
      </c>
      <c r="Q4" s="421" t="s">
        <v>77</v>
      </c>
      <c r="R4" s="422" t="s">
        <v>76</v>
      </c>
      <c r="S4" s="422" t="s">
        <v>76</v>
      </c>
      <c r="T4" s="422" t="s">
        <v>76</v>
      </c>
      <c r="U4" s="424" t="s">
        <v>76</v>
      </c>
      <c r="V4" s="425" t="s">
        <v>76</v>
      </c>
      <c r="W4" s="372" t="s">
        <v>93</v>
      </c>
      <c r="X4" s="372"/>
      <c r="Y4" s="372"/>
      <c r="Z4" s="373"/>
      <c r="AA4" s="374"/>
      <c r="AB4" s="372"/>
      <c r="AC4" s="372"/>
      <c r="AD4" s="372"/>
      <c r="AE4" s="371"/>
      <c r="AF4" s="375"/>
      <c r="AG4" s="372"/>
      <c r="AH4" s="372"/>
      <c r="AI4" s="372"/>
      <c r="AJ4" s="373"/>
      <c r="AK4" s="374"/>
      <c r="AL4" s="372"/>
      <c r="AM4" s="372"/>
      <c r="AN4" s="372"/>
      <c r="AO4" s="371"/>
      <c r="AP4" s="375"/>
      <c r="AQ4" s="372"/>
      <c r="AR4" s="372"/>
      <c r="AS4" s="372"/>
      <c r="AT4" s="373"/>
      <c r="AU4" s="374"/>
      <c r="AV4" s="372"/>
      <c r="AW4" s="372"/>
      <c r="AX4" s="372"/>
      <c r="AY4" s="371"/>
      <c r="AZ4" s="375"/>
      <c r="BA4" s="372"/>
      <c r="BB4" s="372"/>
      <c r="BC4" s="372"/>
      <c r="BD4" s="373"/>
      <c r="BE4" s="374"/>
      <c r="BF4" s="372"/>
      <c r="BG4" s="372"/>
      <c r="BH4" s="372"/>
      <c r="BI4" s="371"/>
      <c r="BJ4" s="375"/>
      <c r="BK4" s="372"/>
      <c r="BL4" s="372"/>
      <c r="BM4" s="372"/>
      <c r="BN4" s="373"/>
      <c r="BO4" s="374"/>
      <c r="BP4" s="372"/>
      <c r="BQ4" s="372"/>
      <c r="BR4" s="372"/>
      <c r="BS4" s="371"/>
      <c r="BT4" s="375"/>
      <c r="BU4" s="372"/>
      <c r="BV4" s="372"/>
      <c r="BW4" s="372"/>
      <c r="BX4" s="373"/>
      <c r="BY4" s="374"/>
      <c r="BZ4" s="372"/>
      <c r="CA4" s="372"/>
      <c r="CB4" s="372"/>
      <c r="CC4" s="371"/>
      <c r="CD4" s="375"/>
      <c r="CE4" s="372"/>
      <c r="CF4" s="372"/>
      <c r="CG4" s="372"/>
      <c r="CH4" s="371"/>
      <c r="CI4" s="375"/>
      <c r="CJ4" s="372"/>
      <c r="CK4" s="372"/>
      <c r="CL4" s="372"/>
      <c r="CM4" s="373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6"/>
      <c r="DF4" s="28"/>
      <c r="DG4" s="26"/>
      <c r="DH4" s="28"/>
      <c r="DI4" s="26"/>
      <c r="DJ4" s="28"/>
      <c r="DK4" s="26"/>
      <c r="DL4" s="28"/>
      <c r="DM4" s="26"/>
      <c r="DN4" s="28"/>
      <c r="DO4" s="26"/>
      <c r="DP4" s="28"/>
      <c r="DQ4" s="28"/>
    </row>
    <row r="5" spans="1:121" s="21" customFormat="1" ht="408" customHeight="1">
      <c r="A5" s="22"/>
      <c r="H5" s="30" t="s">
        <v>18</v>
      </c>
      <c r="I5" s="203" t="s">
        <v>7</v>
      </c>
      <c r="J5" s="204"/>
      <c r="K5" s="313"/>
      <c r="L5" s="426" t="s">
        <v>69</v>
      </c>
      <c r="M5" s="427" t="s">
        <v>72</v>
      </c>
      <c r="N5" s="427" t="s">
        <v>71</v>
      </c>
      <c r="O5" s="427" t="s">
        <v>83</v>
      </c>
      <c r="P5" s="428" t="s">
        <v>82</v>
      </c>
      <c r="Q5" s="426"/>
      <c r="R5" s="427" t="s">
        <v>56</v>
      </c>
      <c r="S5" s="427" t="s">
        <v>59</v>
      </c>
      <c r="T5" s="427" t="s">
        <v>57</v>
      </c>
      <c r="U5" s="429" t="s">
        <v>58</v>
      </c>
      <c r="V5" s="430" t="s">
        <v>55</v>
      </c>
      <c r="W5" s="372" t="s">
        <v>93</v>
      </c>
      <c r="X5" s="372"/>
      <c r="Y5" s="372"/>
      <c r="Z5" s="373"/>
      <c r="AA5" s="374"/>
      <c r="AB5" s="372"/>
      <c r="AC5" s="372"/>
      <c r="AD5" s="372"/>
      <c r="AE5" s="371"/>
      <c r="AF5" s="375"/>
      <c r="AG5" s="372"/>
      <c r="AH5" s="372"/>
      <c r="AI5" s="372"/>
      <c r="AJ5" s="373"/>
      <c r="AK5" s="374"/>
      <c r="AL5" s="372"/>
      <c r="AM5" s="372"/>
      <c r="AN5" s="372"/>
      <c r="AO5" s="371"/>
      <c r="AP5" s="375"/>
      <c r="AQ5" s="372"/>
      <c r="AR5" s="372"/>
      <c r="AS5" s="372"/>
      <c r="AT5" s="373"/>
      <c r="AU5" s="374"/>
      <c r="AV5" s="372"/>
      <c r="AW5" s="372"/>
      <c r="AX5" s="372"/>
      <c r="AY5" s="371"/>
      <c r="AZ5" s="375"/>
      <c r="BA5" s="372"/>
      <c r="BB5" s="372"/>
      <c r="BC5" s="372"/>
      <c r="BD5" s="373"/>
      <c r="BE5" s="374"/>
      <c r="BF5" s="372"/>
      <c r="BG5" s="372"/>
      <c r="BH5" s="372"/>
      <c r="BI5" s="371"/>
      <c r="BJ5" s="375"/>
      <c r="BK5" s="372"/>
      <c r="BL5" s="372"/>
      <c r="BM5" s="372"/>
      <c r="BN5" s="373"/>
      <c r="BO5" s="374"/>
      <c r="BP5" s="372"/>
      <c r="BQ5" s="372"/>
      <c r="BR5" s="372"/>
      <c r="BS5" s="371"/>
      <c r="BT5" s="375"/>
      <c r="BU5" s="372"/>
      <c r="BV5" s="372"/>
      <c r="BW5" s="372"/>
      <c r="BX5" s="373"/>
      <c r="BY5" s="374"/>
      <c r="BZ5" s="372"/>
      <c r="CA5" s="372"/>
      <c r="CB5" s="372"/>
      <c r="CC5" s="371"/>
      <c r="CD5" s="375"/>
      <c r="CE5" s="372"/>
      <c r="CF5" s="372"/>
      <c r="CG5" s="372"/>
      <c r="CH5" s="371"/>
      <c r="CI5" s="375"/>
      <c r="CJ5" s="372"/>
      <c r="CK5" s="372"/>
      <c r="CL5" s="372"/>
      <c r="CM5" s="373"/>
      <c r="CN5" s="31"/>
      <c r="CO5" s="32"/>
      <c r="CP5" s="31"/>
      <c r="CQ5" s="32"/>
      <c r="CR5" s="31"/>
      <c r="CS5" s="32"/>
      <c r="CT5" s="31"/>
      <c r="CU5" s="32"/>
      <c r="CV5" s="31"/>
      <c r="CW5" s="33"/>
      <c r="CX5" s="31"/>
      <c r="CY5" s="33"/>
      <c r="CZ5" s="31"/>
      <c r="DA5" s="31"/>
      <c r="DB5" s="31"/>
      <c r="DC5" s="32"/>
      <c r="DD5" s="31"/>
      <c r="DE5" s="31"/>
      <c r="DF5" s="31"/>
      <c r="DG5" s="31"/>
      <c r="DH5" s="31"/>
      <c r="DI5" s="31"/>
      <c r="DJ5" s="31"/>
      <c r="DK5" s="32"/>
      <c r="DL5" s="31"/>
      <c r="DM5" s="33"/>
      <c r="DN5" s="31"/>
      <c r="DO5" s="31"/>
      <c r="DP5" s="31"/>
      <c r="DQ5" s="33"/>
    </row>
    <row r="6" spans="1:121" s="21" customFormat="1" ht="140.25" customHeight="1" thickBot="1">
      <c r="A6" s="22"/>
      <c r="D6" s="197"/>
      <c r="E6" s="197" t="s">
        <v>19</v>
      </c>
      <c r="I6" s="232" t="s">
        <v>20</v>
      </c>
      <c r="J6" s="233"/>
      <c r="K6" s="314"/>
      <c r="L6" s="431" t="s">
        <v>66</v>
      </c>
      <c r="M6" s="432" t="s">
        <v>64</v>
      </c>
      <c r="N6" s="432" t="s">
        <v>65</v>
      </c>
      <c r="O6" s="432" t="s">
        <v>67</v>
      </c>
      <c r="P6" s="433" t="s">
        <v>68</v>
      </c>
      <c r="Q6" s="431"/>
      <c r="R6" s="432" t="s">
        <v>21</v>
      </c>
      <c r="S6" s="432" t="s">
        <v>63</v>
      </c>
      <c r="T6" s="432" t="s">
        <v>61</v>
      </c>
      <c r="U6" s="434" t="s">
        <v>62</v>
      </c>
      <c r="V6" s="435" t="s">
        <v>60</v>
      </c>
      <c r="W6" s="393" t="s">
        <v>92</v>
      </c>
      <c r="X6" s="393"/>
      <c r="Y6" s="393"/>
      <c r="Z6" s="396"/>
      <c r="AA6" s="400"/>
      <c r="AB6" s="393"/>
      <c r="AC6" s="393"/>
      <c r="AD6" s="393"/>
      <c r="AE6" s="394"/>
      <c r="AF6" s="395"/>
      <c r="AG6" s="393"/>
      <c r="AH6" s="393"/>
      <c r="AI6" s="393"/>
      <c r="AJ6" s="396"/>
      <c r="AK6" s="400"/>
      <c r="AL6" s="393"/>
      <c r="AM6" s="393"/>
      <c r="AN6" s="393"/>
      <c r="AO6" s="394"/>
      <c r="AP6" s="395"/>
      <c r="AQ6" s="393"/>
      <c r="AR6" s="393"/>
      <c r="AS6" s="393"/>
      <c r="AT6" s="396"/>
      <c r="AU6" s="400"/>
      <c r="AV6" s="393"/>
      <c r="AW6" s="393"/>
      <c r="AX6" s="393"/>
      <c r="AY6" s="394"/>
      <c r="AZ6" s="395"/>
      <c r="BA6" s="393"/>
      <c r="BB6" s="393"/>
      <c r="BC6" s="393"/>
      <c r="BD6" s="396"/>
      <c r="BE6" s="400"/>
      <c r="BF6" s="393"/>
      <c r="BG6" s="393"/>
      <c r="BH6" s="393"/>
      <c r="BI6" s="394"/>
      <c r="BJ6" s="395"/>
      <c r="BK6" s="393"/>
      <c r="BL6" s="393"/>
      <c r="BM6" s="393"/>
      <c r="BN6" s="396"/>
      <c r="BO6" s="400"/>
      <c r="BP6" s="393"/>
      <c r="BQ6" s="393"/>
      <c r="BR6" s="393"/>
      <c r="BS6" s="394"/>
      <c r="BT6" s="395"/>
      <c r="BU6" s="393"/>
      <c r="BV6" s="393"/>
      <c r="BW6" s="393"/>
      <c r="BX6" s="396"/>
      <c r="BY6" s="400"/>
      <c r="BZ6" s="393"/>
      <c r="CA6" s="393"/>
      <c r="CB6" s="393"/>
      <c r="CC6" s="394"/>
      <c r="CD6" s="395"/>
      <c r="CE6" s="393"/>
      <c r="CF6" s="393"/>
      <c r="CG6" s="393"/>
      <c r="CH6" s="394"/>
      <c r="CI6" s="395"/>
      <c r="CJ6" s="393"/>
      <c r="CK6" s="393"/>
      <c r="CL6" s="393"/>
      <c r="CM6" s="396"/>
      <c r="CN6" s="28"/>
      <c r="CO6" s="28"/>
      <c r="CP6" s="28"/>
      <c r="CQ6" s="34"/>
      <c r="CR6" s="33"/>
      <c r="CS6" s="33"/>
      <c r="CT6" s="34"/>
      <c r="CU6" s="35"/>
      <c r="CV6" s="36"/>
      <c r="CW6" s="37"/>
      <c r="CX6" s="37"/>
      <c r="CY6" s="37"/>
      <c r="CZ6" s="38"/>
      <c r="DA6" s="39"/>
      <c r="DB6" s="39"/>
      <c r="DC6" s="39"/>
      <c r="DD6" s="28"/>
      <c r="DE6" s="39"/>
      <c r="DF6" s="40"/>
      <c r="DG6" s="39"/>
      <c r="DH6" s="40"/>
      <c r="DI6" s="39"/>
      <c r="DJ6" s="40"/>
      <c r="DK6" s="39"/>
      <c r="DL6" s="40"/>
      <c r="DM6" s="39"/>
      <c r="DN6" s="40"/>
      <c r="DO6" s="39"/>
      <c r="DP6" s="40"/>
      <c r="DQ6" s="40"/>
    </row>
    <row r="7" spans="1:121" s="41" customFormat="1" ht="25.5" customHeight="1">
      <c r="A7" s="221" t="s">
        <v>22</v>
      </c>
      <c r="B7" s="212" t="s">
        <v>23</v>
      </c>
      <c r="C7" s="212" t="s">
        <v>24</v>
      </c>
      <c r="D7" s="212" t="s">
        <v>25</v>
      </c>
      <c r="E7" s="212" t="s">
        <v>7</v>
      </c>
      <c r="F7" s="212" t="s">
        <v>26</v>
      </c>
      <c r="G7" s="212" t="s">
        <v>20</v>
      </c>
      <c r="H7" s="225" t="s">
        <v>27</v>
      </c>
      <c r="I7" s="318" t="s">
        <v>28</v>
      </c>
      <c r="J7" s="212"/>
      <c r="K7" s="319"/>
      <c r="L7" s="407"/>
      <c r="M7" s="402"/>
      <c r="N7" s="402"/>
      <c r="O7" s="402"/>
      <c r="P7" s="408"/>
      <c r="Q7" s="407"/>
      <c r="R7" s="402"/>
      <c r="S7" s="402"/>
      <c r="T7" s="402"/>
      <c r="U7" s="409"/>
      <c r="V7" s="401"/>
      <c r="W7" s="403" t="s">
        <v>93</v>
      </c>
      <c r="X7" s="403"/>
      <c r="Y7" s="403"/>
      <c r="Z7" s="406"/>
      <c r="AA7" s="410"/>
      <c r="AB7" s="403"/>
      <c r="AC7" s="403"/>
      <c r="AD7" s="403"/>
      <c r="AE7" s="404"/>
      <c r="AF7" s="405"/>
      <c r="AG7" s="403"/>
      <c r="AH7" s="403"/>
      <c r="AI7" s="403"/>
      <c r="AJ7" s="406"/>
      <c r="AK7" s="410"/>
      <c r="AL7" s="403"/>
      <c r="AM7" s="403"/>
      <c r="AN7" s="403"/>
      <c r="AO7" s="404"/>
      <c r="AP7" s="405"/>
      <c r="AQ7" s="403"/>
      <c r="AR7" s="403"/>
      <c r="AS7" s="403"/>
      <c r="AT7" s="406"/>
      <c r="AU7" s="410"/>
      <c r="AV7" s="403"/>
      <c r="AW7" s="403"/>
      <c r="AX7" s="403"/>
      <c r="AY7" s="404"/>
      <c r="AZ7" s="405"/>
      <c r="BA7" s="403"/>
      <c r="BB7" s="403"/>
      <c r="BC7" s="403"/>
      <c r="BD7" s="406"/>
      <c r="BE7" s="410"/>
      <c r="BF7" s="403"/>
      <c r="BG7" s="403"/>
      <c r="BH7" s="403"/>
      <c r="BI7" s="404"/>
      <c r="BJ7" s="405"/>
      <c r="BK7" s="403"/>
      <c r="BL7" s="403"/>
      <c r="BM7" s="403"/>
      <c r="BN7" s="406"/>
      <c r="BO7" s="410"/>
      <c r="BP7" s="403"/>
      <c r="BQ7" s="403"/>
      <c r="BR7" s="403"/>
      <c r="BS7" s="404"/>
      <c r="BT7" s="405"/>
      <c r="BU7" s="403"/>
      <c r="BV7" s="403"/>
      <c r="BW7" s="403"/>
      <c r="BX7" s="406"/>
      <c r="BY7" s="410"/>
      <c r="BZ7" s="403"/>
      <c r="CA7" s="403"/>
      <c r="CB7" s="403"/>
      <c r="CC7" s="404"/>
      <c r="CD7" s="405"/>
      <c r="CE7" s="403"/>
      <c r="CF7" s="403"/>
      <c r="CG7" s="403"/>
      <c r="CH7" s="404"/>
      <c r="CI7" s="405"/>
      <c r="CJ7" s="403"/>
      <c r="CK7" s="403"/>
      <c r="CL7" s="403"/>
      <c r="CM7" s="406"/>
    </row>
    <row r="8" spans="1:121" s="41" customFormat="1" ht="25.5" customHeight="1">
      <c r="A8" s="222"/>
      <c r="B8" s="213"/>
      <c r="C8" s="213"/>
      <c r="D8" s="213"/>
      <c r="E8" s="213"/>
      <c r="F8" s="213"/>
      <c r="G8" s="213"/>
      <c r="H8" s="226"/>
      <c r="I8" s="42"/>
      <c r="J8" s="214" t="s">
        <v>29</v>
      </c>
      <c r="K8" s="320"/>
      <c r="L8" s="388"/>
      <c r="M8" s="387"/>
      <c r="N8" s="387"/>
      <c r="O8" s="387"/>
      <c r="P8" s="389"/>
      <c r="Q8" s="388"/>
      <c r="R8" s="387"/>
      <c r="S8" s="387"/>
      <c r="T8" s="387"/>
      <c r="U8" s="390"/>
      <c r="V8" s="386"/>
      <c r="W8" s="372" t="s">
        <v>93</v>
      </c>
      <c r="X8" s="372"/>
      <c r="Y8" s="372"/>
      <c r="Z8" s="373"/>
      <c r="AA8" s="374"/>
      <c r="AB8" s="372"/>
      <c r="AC8" s="372"/>
      <c r="AD8" s="372"/>
      <c r="AE8" s="371"/>
      <c r="AF8" s="375"/>
      <c r="AG8" s="372"/>
      <c r="AH8" s="372"/>
      <c r="AI8" s="372"/>
      <c r="AJ8" s="373"/>
      <c r="AK8" s="374"/>
      <c r="AL8" s="372"/>
      <c r="AM8" s="372"/>
      <c r="AN8" s="372"/>
      <c r="AO8" s="371"/>
      <c r="AP8" s="375"/>
      <c r="AQ8" s="372"/>
      <c r="AR8" s="372"/>
      <c r="AS8" s="372"/>
      <c r="AT8" s="373"/>
      <c r="AU8" s="374"/>
      <c r="AV8" s="372"/>
      <c r="AW8" s="372"/>
      <c r="AX8" s="372"/>
      <c r="AY8" s="371"/>
      <c r="AZ8" s="375"/>
      <c r="BA8" s="372"/>
      <c r="BB8" s="372"/>
      <c r="BC8" s="372"/>
      <c r="BD8" s="373"/>
      <c r="BE8" s="374"/>
      <c r="BF8" s="372"/>
      <c r="BG8" s="372"/>
      <c r="BH8" s="372"/>
      <c r="BI8" s="371"/>
      <c r="BJ8" s="375"/>
      <c r="BK8" s="372"/>
      <c r="BL8" s="372"/>
      <c r="BM8" s="372"/>
      <c r="BN8" s="373"/>
      <c r="BO8" s="374"/>
      <c r="BP8" s="372"/>
      <c r="BQ8" s="372"/>
      <c r="BR8" s="372"/>
      <c r="BS8" s="371"/>
      <c r="BT8" s="375"/>
      <c r="BU8" s="372"/>
      <c r="BV8" s="372"/>
      <c r="BW8" s="372"/>
      <c r="BX8" s="373"/>
      <c r="BY8" s="374"/>
      <c r="BZ8" s="372"/>
      <c r="CA8" s="372"/>
      <c r="CB8" s="372"/>
      <c r="CC8" s="371"/>
      <c r="CD8" s="375"/>
      <c r="CE8" s="372"/>
      <c r="CF8" s="372"/>
      <c r="CG8" s="372"/>
      <c r="CH8" s="371"/>
      <c r="CI8" s="375"/>
      <c r="CJ8" s="372"/>
      <c r="CK8" s="372"/>
      <c r="CL8" s="372"/>
      <c r="CM8" s="373"/>
    </row>
    <row r="9" spans="1:121" s="41" customFormat="1" ht="25.5" customHeight="1" thickBot="1">
      <c r="A9" s="315"/>
      <c r="B9" s="316"/>
      <c r="C9" s="316"/>
      <c r="D9" s="316"/>
      <c r="E9" s="316"/>
      <c r="F9" s="316"/>
      <c r="G9" s="316"/>
      <c r="H9" s="317"/>
      <c r="I9" s="43"/>
      <c r="J9" s="191"/>
      <c r="K9" s="44" t="s">
        <v>30</v>
      </c>
      <c r="L9" s="413"/>
      <c r="M9" s="412"/>
      <c r="N9" s="412"/>
      <c r="O9" s="412"/>
      <c r="P9" s="414"/>
      <c r="Q9" s="413"/>
      <c r="R9" s="412"/>
      <c r="S9" s="412"/>
      <c r="T9" s="412"/>
      <c r="U9" s="415"/>
      <c r="V9" s="411"/>
      <c r="W9" s="377" t="s">
        <v>93</v>
      </c>
      <c r="X9" s="377"/>
      <c r="Y9" s="377"/>
      <c r="Z9" s="378"/>
      <c r="AA9" s="379"/>
      <c r="AB9" s="377"/>
      <c r="AC9" s="377"/>
      <c r="AD9" s="377"/>
      <c r="AE9" s="376"/>
      <c r="AF9" s="380"/>
      <c r="AG9" s="377"/>
      <c r="AH9" s="377"/>
      <c r="AI9" s="377"/>
      <c r="AJ9" s="378"/>
      <c r="AK9" s="379"/>
      <c r="AL9" s="377"/>
      <c r="AM9" s="377"/>
      <c r="AN9" s="377"/>
      <c r="AO9" s="376"/>
      <c r="AP9" s="380"/>
      <c r="AQ9" s="377"/>
      <c r="AR9" s="377"/>
      <c r="AS9" s="377"/>
      <c r="AT9" s="378"/>
      <c r="AU9" s="379"/>
      <c r="AV9" s="377"/>
      <c r="AW9" s="377"/>
      <c r="AX9" s="377"/>
      <c r="AY9" s="376"/>
      <c r="AZ9" s="380"/>
      <c r="BA9" s="377"/>
      <c r="BB9" s="377"/>
      <c r="BC9" s="377"/>
      <c r="BD9" s="378"/>
      <c r="BE9" s="379"/>
      <c r="BF9" s="377"/>
      <c r="BG9" s="377"/>
      <c r="BH9" s="377"/>
      <c r="BI9" s="376"/>
      <c r="BJ9" s="380"/>
      <c r="BK9" s="377"/>
      <c r="BL9" s="377"/>
      <c r="BM9" s="377"/>
      <c r="BN9" s="378"/>
      <c r="BO9" s="379"/>
      <c r="BP9" s="377"/>
      <c r="BQ9" s="377"/>
      <c r="BR9" s="377"/>
      <c r="BS9" s="376"/>
      <c r="BT9" s="380"/>
      <c r="BU9" s="377"/>
      <c r="BV9" s="377"/>
      <c r="BW9" s="377"/>
      <c r="BX9" s="378"/>
      <c r="BY9" s="379"/>
      <c r="BZ9" s="377"/>
      <c r="CA9" s="377"/>
      <c r="CB9" s="377"/>
      <c r="CC9" s="376"/>
      <c r="CD9" s="380"/>
      <c r="CE9" s="377"/>
      <c r="CF9" s="377"/>
      <c r="CG9" s="377"/>
      <c r="CH9" s="376"/>
      <c r="CI9" s="380"/>
      <c r="CJ9" s="377"/>
      <c r="CK9" s="377"/>
      <c r="CL9" s="377"/>
      <c r="CM9" s="378"/>
    </row>
    <row r="10" spans="1:121" ht="25.5" hidden="1" customHeight="1">
      <c r="A10" s="100">
        <v>3853</v>
      </c>
      <c r="B10" s="101" t="s">
        <v>11</v>
      </c>
      <c r="C10" s="101" t="s">
        <v>44</v>
      </c>
      <c r="D10" s="101" t="s">
        <v>76</v>
      </c>
      <c r="E10" s="102" t="s">
        <v>53</v>
      </c>
      <c r="F10" s="101"/>
      <c r="G10" s="102" t="s">
        <v>274</v>
      </c>
      <c r="H10" s="177" t="s">
        <v>54</v>
      </c>
      <c r="I10" s="104"/>
      <c r="J10" s="102"/>
      <c r="K10" s="103"/>
      <c r="L10" s="347" t="s">
        <v>78</v>
      </c>
      <c r="M10" s="342" t="s">
        <v>77</v>
      </c>
      <c r="N10" s="342"/>
      <c r="O10" s="342" t="s">
        <v>77</v>
      </c>
      <c r="P10" s="348" t="s">
        <v>77</v>
      </c>
      <c r="Q10" s="347"/>
      <c r="R10" s="342"/>
      <c r="S10" s="342"/>
      <c r="T10" s="342"/>
      <c r="U10" s="349" t="s">
        <v>80</v>
      </c>
      <c r="V10" s="341"/>
      <c r="W10" s="343"/>
      <c r="X10" s="343"/>
      <c r="Y10" s="343"/>
      <c r="Z10" s="346"/>
      <c r="AA10" s="350"/>
      <c r="AB10" s="343"/>
      <c r="AC10" s="343"/>
      <c r="AD10" s="343"/>
      <c r="AE10" s="344"/>
      <c r="AF10" s="345"/>
      <c r="AG10" s="343"/>
      <c r="AH10" s="343"/>
      <c r="AI10" s="343"/>
      <c r="AJ10" s="346"/>
      <c r="AK10" s="350"/>
      <c r="AL10" s="343"/>
      <c r="AM10" s="343"/>
      <c r="AN10" s="343"/>
      <c r="AO10" s="344"/>
      <c r="AP10" s="345"/>
      <c r="AQ10" s="343"/>
      <c r="AR10" s="343"/>
      <c r="AS10" s="343"/>
      <c r="AT10" s="346"/>
      <c r="AU10" s="350"/>
      <c r="AV10" s="343"/>
      <c r="AW10" s="343"/>
      <c r="AX10" s="343"/>
      <c r="AY10" s="344"/>
      <c r="AZ10" s="345"/>
      <c r="BA10" s="343"/>
      <c r="BB10" s="343"/>
      <c r="BC10" s="343"/>
      <c r="BD10" s="346"/>
      <c r="BE10" s="350"/>
      <c r="BF10" s="343"/>
      <c r="BG10" s="343"/>
      <c r="BH10" s="343"/>
      <c r="BI10" s="344"/>
      <c r="BJ10" s="345"/>
      <c r="BK10" s="343"/>
      <c r="BL10" s="343"/>
      <c r="BM10" s="343"/>
      <c r="BN10" s="346"/>
      <c r="BO10" s="350"/>
      <c r="BP10" s="343"/>
      <c r="BQ10" s="343"/>
      <c r="BR10" s="343"/>
      <c r="BS10" s="344"/>
      <c r="BT10" s="345"/>
      <c r="BU10" s="343"/>
      <c r="BV10" s="343"/>
      <c r="BW10" s="343"/>
      <c r="BX10" s="346"/>
      <c r="BY10" s="350"/>
      <c r="BZ10" s="343"/>
      <c r="CA10" s="343"/>
      <c r="CB10" s="343"/>
      <c r="CC10" s="344"/>
      <c r="CD10" s="345"/>
      <c r="CE10" s="343"/>
      <c r="CF10" s="343"/>
      <c r="CG10" s="343"/>
      <c r="CH10" s="344"/>
      <c r="CI10" s="345"/>
      <c r="CJ10" s="343"/>
      <c r="CK10" s="343"/>
      <c r="CL10" s="343"/>
      <c r="CM10" s="346"/>
      <c r="CN10" s="45"/>
      <c r="CO10" s="45"/>
      <c r="CP10" s="45"/>
      <c r="CQ10" s="45"/>
      <c r="CR10" s="45"/>
      <c r="CS10" s="45"/>
      <c r="CT10" s="45"/>
      <c r="CU10" s="45"/>
      <c r="CV10" s="45"/>
      <c r="CW10" s="45"/>
      <c r="CX10" s="45"/>
      <c r="CY10" s="45"/>
      <c r="CZ10" s="45"/>
      <c r="DA10" s="45"/>
      <c r="DB10" s="45"/>
      <c r="DC10" s="45"/>
      <c r="DD10" s="45"/>
      <c r="DE10" s="45"/>
      <c r="DF10" s="45"/>
      <c r="DG10" s="45"/>
      <c r="DH10" s="45"/>
      <c r="DI10" s="45"/>
      <c r="DJ10" s="45"/>
      <c r="DK10" s="45"/>
      <c r="DL10" s="45"/>
      <c r="DM10" s="45"/>
      <c r="DN10" s="45"/>
    </row>
    <row r="11" spans="1:121" ht="25.5" customHeight="1">
      <c r="A11" s="321">
        <v>3854</v>
      </c>
      <c r="B11" s="322" t="s">
        <v>11</v>
      </c>
      <c r="C11" s="322" t="s">
        <v>44</v>
      </c>
      <c r="D11" s="322" t="s">
        <v>76</v>
      </c>
      <c r="E11" s="323" t="s">
        <v>53</v>
      </c>
      <c r="F11" s="322"/>
      <c r="G11" s="323" t="s">
        <v>276</v>
      </c>
      <c r="H11" s="324" t="s">
        <v>54</v>
      </c>
      <c r="I11" s="325"/>
      <c r="J11" s="323"/>
      <c r="K11" s="326"/>
      <c r="L11" s="327" t="s">
        <v>78</v>
      </c>
      <c r="M11" s="322" t="s">
        <v>77</v>
      </c>
      <c r="N11" s="322"/>
      <c r="O11" s="322" t="s">
        <v>77</v>
      </c>
      <c r="P11" s="328" t="s">
        <v>77</v>
      </c>
      <c r="Q11" s="327"/>
      <c r="R11" s="322"/>
      <c r="S11" s="322"/>
      <c r="T11" s="322"/>
      <c r="U11" s="329" t="s">
        <v>80</v>
      </c>
      <c r="V11" s="321"/>
      <c r="W11" s="323"/>
      <c r="X11" s="323"/>
      <c r="Y11" s="323"/>
      <c r="Z11" s="326"/>
      <c r="AA11" s="330"/>
      <c r="AB11" s="323"/>
      <c r="AC11" s="323"/>
      <c r="AD11" s="323"/>
      <c r="AE11" s="324"/>
      <c r="AF11" s="325"/>
      <c r="AG11" s="323"/>
      <c r="AH11" s="323"/>
      <c r="AI11" s="323"/>
      <c r="AJ11" s="326"/>
      <c r="AK11" s="330"/>
      <c r="AL11" s="323"/>
      <c r="AM11" s="323"/>
      <c r="AN11" s="323"/>
      <c r="AO11" s="324"/>
      <c r="AP11" s="325"/>
      <c r="AQ11" s="323"/>
      <c r="AR11" s="323"/>
      <c r="AS11" s="323"/>
      <c r="AT11" s="326"/>
      <c r="AU11" s="330"/>
      <c r="AV11" s="323"/>
      <c r="AW11" s="323"/>
      <c r="AX11" s="323"/>
      <c r="AY11" s="324"/>
      <c r="AZ11" s="325"/>
      <c r="BA11" s="323"/>
      <c r="BB11" s="323"/>
      <c r="BC11" s="323"/>
      <c r="BD11" s="326"/>
      <c r="BE11" s="330"/>
      <c r="BF11" s="323"/>
      <c r="BG11" s="323"/>
      <c r="BH11" s="323"/>
      <c r="BI11" s="324"/>
      <c r="BJ11" s="325"/>
      <c r="BK11" s="323"/>
      <c r="BL11" s="323"/>
      <c r="BM11" s="323"/>
      <c r="BN11" s="326"/>
      <c r="BO11" s="330"/>
      <c r="BP11" s="323"/>
      <c r="BQ11" s="323"/>
      <c r="BR11" s="323"/>
      <c r="BS11" s="324"/>
      <c r="BT11" s="325"/>
      <c r="BU11" s="323"/>
      <c r="BV11" s="323"/>
      <c r="BW11" s="323"/>
      <c r="BX11" s="326"/>
      <c r="BY11" s="330"/>
      <c r="BZ11" s="323"/>
      <c r="CA11" s="323"/>
      <c r="CB11" s="323"/>
      <c r="CC11" s="324"/>
      <c r="CD11" s="325"/>
      <c r="CE11" s="323"/>
      <c r="CF11" s="323"/>
      <c r="CG11" s="323"/>
      <c r="CH11" s="324"/>
      <c r="CI11" s="325"/>
      <c r="CJ11" s="323"/>
      <c r="CK11" s="323"/>
      <c r="CL11" s="323"/>
      <c r="CM11" s="326"/>
      <c r="CN11" s="46"/>
      <c r="CO11" s="45"/>
      <c r="CP11" s="45"/>
      <c r="CQ11" s="45"/>
      <c r="CR11" s="46"/>
      <c r="CS11" s="45"/>
      <c r="CT11" s="45"/>
      <c r="CU11" s="45"/>
      <c r="CV11" s="45"/>
      <c r="CW11" s="45"/>
      <c r="CX11" s="46"/>
      <c r="CY11" s="45"/>
      <c r="CZ11" s="45"/>
      <c r="DA11" s="46"/>
      <c r="DB11" s="47"/>
      <c r="DC11" s="46"/>
      <c r="DD11" s="46"/>
      <c r="DE11" s="45"/>
      <c r="DF11" s="46"/>
      <c r="DG11" s="46"/>
      <c r="DH11" s="45"/>
      <c r="DI11" s="45"/>
      <c r="DJ11" s="45"/>
      <c r="DK11" s="45"/>
      <c r="DL11" s="45"/>
      <c r="DM11" s="45"/>
      <c r="DN11" s="45"/>
    </row>
    <row r="12" spans="1:121" ht="25.5" customHeight="1">
      <c r="A12" s="321">
        <v>3855</v>
      </c>
      <c r="B12" s="322" t="s">
        <v>11</v>
      </c>
      <c r="C12" s="322" t="s">
        <v>44</v>
      </c>
      <c r="D12" s="322" t="s">
        <v>76</v>
      </c>
      <c r="E12" s="323" t="s">
        <v>53</v>
      </c>
      <c r="F12" s="322"/>
      <c r="G12" s="323" t="s">
        <v>278</v>
      </c>
      <c r="H12" s="324" t="s">
        <v>54</v>
      </c>
      <c r="I12" s="325"/>
      <c r="J12" s="323"/>
      <c r="K12" s="326"/>
      <c r="L12" s="327" t="s">
        <v>78</v>
      </c>
      <c r="M12" s="322" t="s">
        <v>77</v>
      </c>
      <c r="N12" s="322"/>
      <c r="O12" s="322" t="s">
        <v>77</v>
      </c>
      <c r="P12" s="328" t="s">
        <v>77</v>
      </c>
      <c r="Q12" s="327"/>
      <c r="R12" s="322"/>
      <c r="S12" s="322"/>
      <c r="T12" s="322"/>
      <c r="U12" s="329" t="s">
        <v>80</v>
      </c>
      <c r="V12" s="321"/>
      <c r="W12" s="323"/>
      <c r="X12" s="323"/>
      <c r="Y12" s="323"/>
      <c r="Z12" s="326"/>
      <c r="AA12" s="330"/>
      <c r="AB12" s="323"/>
      <c r="AC12" s="323"/>
      <c r="AD12" s="323"/>
      <c r="AE12" s="324"/>
      <c r="AF12" s="325"/>
      <c r="AG12" s="323"/>
      <c r="AH12" s="323"/>
      <c r="AI12" s="323"/>
      <c r="AJ12" s="326"/>
      <c r="AK12" s="330"/>
      <c r="AL12" s="323"/>
      <c r="AM12" s="323"/>
      <c r="AN12" s="323"/>
      <c r="AO12" s="324"/>
      <c r="AP12" s="325"/>
      <c r="AQ12" s="323"/>
      <c r="AR12" s="323"/>
      <c r="AS12" s="323"/>
      <c r="AT12" s="326"/>
      <c r="AU12" s="330"/>
      <c r="AV12" s="323"/>
      <c r="AW12" s="323"/>
      <c r="AX12" s="323"/>
      <c r="AY12" s="324"/>
      <c r="AZ12" s="325"/>
      <c r="BA12" s="323"/>
      <c r="BB12" s="323"/>
      <c r="BC12" s="323"/>
      <c r="BD12" s="326"/>
      <c r="BE12" s="330"/>
      <c r="BF12" s="323"/>
      <c r="BG12" s="323"/>
      <c r="BH12" s="323"/>
      <c r="BI12" s="324"/>
      <c r="BJ12" s="325"/>
      <c r="BK12" s="323"/>
      <c r="BL12" s="323"/>
      <c r="BM12" s="323"/>
      <c r="BN12" s="326"/>
      <c r="BO12" s="330"/>
      <c r="BP12" s="323"/>
      <c r="BQ12" s="323"/>
      <c r="BR12" s="323"/>
      <c r="BS12" s="324"/>
      <c r="BT12" s="325"/>
      <c r="BU12" s="323"/>
      <c r="BV12" s="323"/>
      <c r="BW12" s="323"/>
      <c r="BX12" s="326"/>
      <c r="BY12" s="330"/>
      <c r="BZ12" s="323"/>
      <c r="CA12" s="323"/>
      <c r="CB12" s="323"/>
      <c r="CC12" s="324"/>
      <c r="CD12" s="325"/>
      <c r="CE12" s="323"/>
      <c r="CF12" s="323"/>
      <c r="CG12" s="323"/>
      <c r="CH12" s="324"/>
      <c r="CI12" s="325"/>
      <c r="CJ12" s="323"/>
      <c r="CK12" s="323"/>
      <c r="CL12" s="323"/>
      <c r="CM12" s="326"/>
      <c r="CN12" s="45"/>
      <c r="CO12" s="45"/>
      <c r="CP12" s="45"/>
      <c r="CQ12" s="45"/>
      <c r="CR12" s="45"/>
      <c r="CS12" s="45"/>
      <c r="CT12" s="45"/>
      <c r="CU12" s="45"/>
      <c r="CV12" s="45"/>
      <c r="CW12" s="45"/>
      <c r="CX12" s="46"/>
      <c r="CY12" s="45"/>
      <c r="CZ12" s="45"/>
      <c r="DA12" s="46"/>
      <c r="DB12" s="45"/>
      <c r="DC12" s="46"/>
      <c r="DD12" s="46"/>
      <c r="DE12" s="45"/>
      <c r="DF12" s="46"/>
      <c r="DG12" s="46"/>
      <c r="DH12" s="45"/>
      <c r="DI12" s="45"/>
      <c r="DJ12" s="45"/>
      <c r="DK12" s="45"/>
      <c r="DL12" s="45"/>
      <c r="DM12" s="45"/>
      <c r="DN12" s="45"/>
    </row>
    <row r="13" spans="1:121" ht="25.5" hidden="1" customHeight="1">
      <c r="A13" s="321">
        <v>3856</v>
      </c>
      <c r="B13" s="322" t="s">
        <v>11</v>
      </c>
      <c r="C13" s="322" t="s">
        <v>44</v>
      </c>
      <c r="D13" s="322" t="s">
        <v>76</v>
      </c>
      <c r="E13" s="323" t="s">
        <v>53</v>
      </c>
      <c r="F13" s="322"/>
      <c r="G13" s="323" t="s">
        <v>280</v>
      </c>
      <c r="H13" s="324" t="s">
        <v>54</v>
      </c>
      <c r="I13" s="325"/>
      <c r="J13" s="323"/>
      <c r="K13" s="326"/>
      <c r="L13" s="327" t="s">
        <v>78</v>
      </c>
      <c r="M13" s="322" t="s">
        <v>77</v>
      </c>
      <c r="N13" s="322"/>
      <c r="O13" s="322" t="s">
        <v>77</v>
      </c>
      <c r="P13" s="328" t="s">
        <v>77</v>
      </c>
      <c r="Q13" s="327"/>
      <c r="R13" s="322"/>
      <c r="S13" s="322"/>
      <c r="T13" s="322"/>
      <c r="U13" s="329" t="s">
        <v>80</v>
      </c>
      <c r="V13" s="321"/>
      <c r="W13" s="323"/>
      <c r="X13" s="323"/>
      <c r="Y13" s="323"/>
      <c r="Z13" s="326"/>
      <c r="AA13" s="330"/>
      <c r="AB13" s="323"/>
      <c r="AC13" s="323"/>
      <c r="AD13" s="323"/>
      <c r="AE13" s="324"/>
      <c r="AF13" s="325"/>
      <c r="AG13" s="323"/>
      <c r="AH13" s="323"/>
      <c r="AI13" s="323"/>
      <c r="AJ13" s="326"/>
      <c r="AK13" s="330"/>
      <c r="AL13" s="323"/>
      <c r="AM13" s="323"/>
      <c r="AN13" s="323"/>
      <c r="AO13" s="324"/>
      <c r="AP13" s="325"/>
      <c r="AQ13" s="323"/>
      <c r="AR13" s="323"/>
      <c r="AS13" s="323"/>
      <c r="AT13" s="326"/>
      <c r="AU13" s="330"/>
      <c r="AV13" s="323"/>
      <c r="AW13" s="323"/>
      <c r="AX13" s="323"/>
      <c r="AY13" s="324"/>
      <c r="AZ13" s="325"/>
      <c r="BA13" s="323"/>
      <c r="BB13" s="323"/>
      <c r="BC13" s="323"/>
      <c r="BD13" s="326"/>
      <c r="BE13" s="330"/>
      <c r="BF13" s="323"/>
      <c r="BG13" s="323"/>
      <c r="BH13" s="323"/>
      <c r="BI13" s="324"/>
      <c r="BJ13" s="325"/>
      <c r="BK13" s="323"/>
      <c r="BL13" s="323"/>
      <c r="BM13" s="323"/>
      <c r="BN13" s="326"/>
      <c r="BO13" s="330"/>
      <c r="BP13" s="323"/>
      <c r="BQ13" s="323"/>
      <c r="BR13" s="323"/>
      <c r="BS13" s="324"/>
      <c r="BT13" s="325"/>
      <c r="BU13" s="323"/>
      <c r="BV13" s="323"/>
      <c r="BW13" s="323"/>
      <c r="BX13" s="326"/>
      <c r="BY13" s="330"/>
      <c r="BZ13" s="323"/>
      <c r="CA13" s="323"/>
      <c r="CB13" s="323"/>
      <c r="CC13" s="324"/>
      <c r="CD13" s="325"/>
      <c r="CE13" s="323"/>
      <c r="CF13" s="323"/>
      <c r="CG13" s="323"/>
      <c r="CH13" s="324"/>
      <c r="CI13" s="325"/>
      <c r="CJ13" s="323"/>
      <c r="CK13" s="323"/>
      <c r="CL13" s="323"/>
      <c r="CM13" s="326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  <c r="DA13" s="45"/>
      <c r="DB13" s="45"/>
      <c r="DC13" s="45"/>
      <c r="DD13" s="45"/>
      <c r="DE13" s="45"/>
      <c r="DF13" s="45"/>
      <c r="DG13" s="46"/>
      <c r="DH13" s="45"/>
      <c r="DI13" s="45"/>
      <c r="DJ13" s="45"/>
      <c r="DK13" s="45"/>
      <c r="DL13" s="45"/>
      <c r="DM13" s="45"/>
      <c r="DN13" s="45"/>
    </row>
    <row r="14" spans="1:121" ht="25.5" hidden="1" customHeight="1" thickBot="1">
      <c r="A14" s="331">
        <v>3857</v>
      </c>
      <c r="B14" s="332" t="s">
        <v>11</v>
      </c>
      <c r="C14" s="332" t="s">
        <v>44</v>
      </c>
      <c r="D14" s="332" t="s">
        <v>76</v>
      </c>
      <c r="E14" s="333" t="s">
        <v>53</v>
      </c>
      <c r="F14" s="332"/>
      <c r="G14" s="333" t="s">
        <v>282</v>
      </c>
      <c r="H14" s="334" t="s">
        <v>54</v>
      </c>
      <c r="I14" s="335"/>
      <c r="J14" s="333"/>
      <c r="K14" s="336"/>
      <c r="L14" s="337" t="s">
        <v>78</v>
      </c>
      <c r="M14" s="332" t="s">
        <v>77</v>
      </c>
      <c r="N14" s="332"/>
      <c r="O14" s="332" t="s">
        <v>77</v>
      </c>
      <c r="P14" s="338" t="s">
        <v>77</v>
      </c>
      <c r="Q14" s="337"/>
      <c r="R14" s="332"/>
      <c r="S14" s="332"/>
      <c r="T14" s="332"/>
      <c r="U14" s="339" t="s">
        <v>80</v>
      </c>
      <c r="V14" s="331"/>
      <c r="W14" s="333"/>
      <c r="X14" s="333"/>
      <c r="Y14" s="333"/>
      <c r="Z14" s="336"/>
      <c r="AA14" s="340"/>
      <c r="AB14" s="333"/>
      <c r="AC14" s="333"/>
      <c r="AD14" s="333"/>
      <c r="AE14" s="334"/>
      <c r="AF14" s="335"/>
      <c r="AG14" s="333"/>
      <c r="AH14" s="333"/>
      <c r="AI14" s="333"/>
      <c r="AJ14" s="336"/>
      <c r="AK14" s="340"/>
      <c r="AL14" s="333"/>
      <c r="AM14" s="333"/>
      <c r="AN14" s="333"/>
      <c r="AO14" s="334"/>
      <c r="AP14" s="335"/>
      <c r="AQ14" s="333"/>
      <c r="AR14" s="333"/>
      <c r="AS14" s="333"/>
      <c r="AT14" s="336"/>
      <c r="AU14" s="340"/>
      <c r="AV14" s="333"/>
      <c r="AW14" s="333"/>
      <c r="AX14" s="333"/>
      <c r="AY14" s="334"/>
      <c r="AZ14" s="335"/>
      <c r="BA14" s="333"/>
      <c r="BB14" s="333"/>
      <c r="BC14" s="333"/>
      <c r="BD14" s="336"/>
      <c r="BE14" s="340"/>
      <c r="BF14" s="333"/>
      <c r="BG14" s="333"/>
      <c r="BH14" s="333"/>
      <c r="BI14" s="334"/>
      <c r="BJ14" s="335"/>
      <c r="BK14" s="333"/>
      <c r="BL14" s="333"/>
      <c r="BM14" s="333"/>
      <c r="BN14" s="336"/>
      <c r="BO14" s="340"/>
      <c r="BP14" s="333"/>
      <c r="BQ14" s="333"/>
      <c r="BR14" s="333"/>
      <c r="BS14" s="334"/>
      <c r="BT14" s="335"/>
      <c r="BU14" s="333"/>
      <c r="BV14" s="333"/>
      <c r="BW14" s="333"/>
      <c r="BX14" s="336"/>
      <c r="BY14" s="340"/>
      <c r="BZ14" s="333"/>
      <c r="CA14" s="333"/>
      <c r="CB14" s="333"/>
      <c r="CC14" s="334"/>
      <c r="CD14" s="335"/>
      <c r="CE14" s="333"/>
      <c r="CF14" s="333"/>
      <c r="CG14" s="333"/>
      <c r="CH14" s="334"/>
      <c r="CI14" s="335"/>
      <c r="CJ14" s="333"/>
      <c r="CK14" s="333"/>
      <c r="CL14" s="333"/>
      <c r="CM14" s="336"/>
      <c r="CN14" s="45"/>
      <c r="CO14" s="45"/>
      <c r="CP14" s="45"/>
      <c r="CQ14" s="45"/>
      <c r="CR14" s="45"/>
      <c r="CS14" s="45"/>
      <c r="CT14" s="45"/>
      <c r="CU14" s="45"/>
      <c r="CV14" s="45"/>
      <c r="CW14" s="45"/>
      <c r="CX14" s="45"/>
      <c r="CY14" s="45"/>
      <c r="CZ14" s="45"/>
      <c r="DA14" s="45"/>
      <c r="DB14" s="45"/>
      <c r="DC14" s="45"/>
      <c r="DD14" s="45"/>
      <c r="DE14" s="45"/>
      <c r="DF14" s="45"/>
      <c r="DG14" s="46"/>
      <c r="DH14" s="45"/>
      <c r="DI14" s="45"/>
      <c r="DJ14" s="45"/>
      <c r="DK14" s="45"/>
      <c r="DL14" s="45"/>
      <c r="DM14" s="45"/>
      <c r="DN14" s="45"/>
    </row>
    <row r="15" spans="1:121" ht="25.5" customHeight="1">
      <c r="A15" s="341">
        <v>3858</v>
      </c>
      <c r="B15" s="342" t="s">
        <v>11</v>
      </c>
      <c r="C15" s="342" t="s">
        <v>44</v>
      </c>
      <c r="D15" s="342" t="s">
        <v>76</v>
      </c>
      <c r="E15" s="343" t="s">
        <v>53</v>
      </c>
      <c r="F15" s="342"/>
      <c r="G15" s="343" t="s">
        <v>284</v>
      </c>
      <c r="H15" s="344" t="s">
        <v>54</v>
      </c>
      <c r="I15" s="345"/>
      <c r="J15" s="343"/>
      <c r="K15" s="346"/>
      <c r="L15" s="347" t="s">
        <v>78</v>
      </c>
      <c r="M15" s="342" t="s">
        <v>77</v>
      </c>
      <c r="N15" s="342"/>
      <c r="O15" s="342" t="s">
        <v>77</v>
      </c>
      <c r="P15" s="348" t="s">
        <v>77</v>
      </c>
      <c r="Q15" s="347"/>
      <c r="R15" s="342"/>
      <c r="S15" s="342"/>
      <c r="T15" s="342"/>
      <c r="U15" s="349" t="s">
        <v>80</v>
      </c>
      <c r="V15" s="341"/>
      <c r="W15" s="343"/>
      <c r="X15" s="343"/>
      <c r="Y15" s="343"/>
      <c r="Z15" s="346"/>
      <c r="AA15" s="350"/>
      <c r="AB15" s="343"/>
      <c r="AC15" s="343"/>
      <c r="AD15" s="343"/>
      <c r="AE15" s="344"/>
      <c r="AF15" s="345"/>
      <c r="AG15" s="343"/>
      <c r="AH15" s="343"/>
      <c r="AI15" s="343"/>
      <c r="AJ15" s="346"/>
      <c r="AK15" s="350"/>
      <c r="AL15" s="343"/>
      <c r="AM15" s="343"/>
      <c r="AN15" s="343"/>
      <c r="AO15" s="344"/>
      <c r="AP15" s="345"/>
      <c r="AQ15" s="343"/>
      <c r="AR15" s="343"/>
      <c r="AS15" s="343"/>
      <c r="AT15" s="346"/>
      <c r="AU15" s="350"/>
      <c r="AV15" s="343"/>
      <c r="AW15" s="343"/>
      <c r="AX15" s="343"/>
      <c r="AY15" s="344"/>
      <c r="AZ15" s="345"/>
      <c r="BA15" s="343"/>
      <c r="BB15" s="343"/>
      <c r="BC15" s="343"/>
      <c r="BD15" s="346"/>
      <c r="BE15" s="350"/>
      <c r="BF15" s="343"/>
      <c r="BG15" s="343"/>
      <c r="BH15" s="343"/>
      <c r="BI15" s="344"/>
      <c r="BJ15" s="345"/>
      <c r="BK15" s="343"/>
      <c r="BL15" s="343"/>
      <c r="BM15" s="343"/>
      <c r="BN15" s="346"/>
      <c r="BO15" s="350"/>
      <c r="BP15" s="343"/>
      <c r="BQ15" s="343"/>
      <c r="BR15" s="343"/>
      <c r="BS15" s="344"/>
      <c r="BT15" s="345"/>
      <c r="BU15" s="343"/>
      <c r="BV15" s="343"/>
      <c r="BW15" s="343"/>
      <c r="BX15" s="346"/>
      <c r="BY15" s="350"/>
      <c r="BZ15" s="343"/>
      <c r="CA15" s="343"/>
      <c r="CB15" s="343"/>
      <c r="CC15" s="344"/>
      <c r="CD15" s="345"/>
      <c r="CE15" s="343"/>
      <c r="CF15" s="343"/>
      <c r="CG15" s="343"/>
      <c r="CH15" s="344"/>
      <c r="CI15" s="345"/>
      <c r="CJ15" s="343"/>
      <c r="CK15" s="343"/>
      <c r="CL15" s="343"/>
      <c r="CM15" s="346"/>
      <c r="CN15" s="45"/>
      <c r="CO15" s="45"/>
      <c r="CP15" s="46"/>
      <c r="CQ15" s="45"/>
      <c r="CR15" s="45"/>
      <c r="CS15" s="45"/>
      <c r="CT15" s="45"/>
      <c r="CU15" s="45"/>
      <c r="CV15" s="45"/>
      <c r="CW15" s="45"/>
      <c r="CX15" s="46"/>
      <c r="CY15" s="45"/>
      <c r="CZ15" s="45"/>
      <c r="DA15" s="46"/>
      <c r="DB15" s="45"/>
      <c r="DC15" s="46"/>
      <c r="DD15" s="46"/>
      <c r="DE15" s="45"/>
      <c r="DF15" s="46"/>
      <c r="DG15" s="46"/>
      <c r="DH15" s="45"/>
      <c r="DI15" s="46"/>
      <c r="DJ15" s="46"/>
      <c r="DK15" s="45"/>
      <c r="DL15" s="46"/>
      <c r="DM15" s="45"/>
      <c r="DN15" s="45"/>
    </row>
    <row r="16" spans="1:121" ht="25.5" customHeight="1">
      <c r="A16" s="321">
        <v>3859</v>
      </c>
      <c r="B16" s="322" t="s">
        <v>11</v>
      </c>
      <c r="C16" s="322" t="s">
        <v>44</v>
      </c>
      <c r="D16" s="322" t="s">
        <v>76</v>
      </c>
      <c r="E16" s="323" t="s">
        <v>53</v>
      </c>
      <c r="F16" s="322"/>
      <c r="G16" s="323" t="s">
        <v>286</v>
      </c>
      <c r="H16" s="324" t="s">
        <v>54</v>
      </c>
      <c r="I16" s="325"/>
      <c r="J16" s="323"/>
      <c r="K16" s="326"/>
      <c r="L16" s="327" t="s">
        <v>78</v>
      </c>
      <c r="M16" s="322" t="s">
        <v>77</v>
      </c>
      <c r="N16" s="322"/>
      <c r="O16" s="322" t="s">
        <v>77</v>
      </c>
      <c r="P16" s="328" t="s">
        <v>77</v>
      </c>
      <c r="Q16" s="327"/>
      <c r="R16" s="322"/>
      <c r="S16" s="322"/>
      <c r="T16" s="322"/>
      <c r="U16" s="329" t="s">
        <v>80</v>
      </c>
      <c r="V16" s="321"/>
      <c r="W16" s="323"/>
      <c r="X16" s="323"/>
      <c r="Y16" s="323"/>
      <c r="Z16" s="326"/>
      <c r="AA16" s="330"/>
      <c r="AB16" s="323"/>
      <c r="AC16" s="323"/>
      <c r="AD16" s="323"/>
      <c r="AE16" s="324"/>
      <c r="AF16" s="325"/>
      <c r="AG16" s="323"/>
      <c r="AH16" s="323"/>
      <c r="AI16" s="323"/>
      <c r="AJ16" s="326"/>
      <c r="AK16" s="330"/>
      <c r="AL16" s="323"/>
      <c r="AM16" s="323"/>
      <c r="AN16" s="323"/>
      <c r="AO16" s="324"/>
      <c r="AP16" s="325"/>
      <c r="AQ16" s="323"/>
      <c r="AR16" s="323"/>
      <c r="AS16" s="323"/>
      <c r="AT16" s="326"/>
      <c r="AU16" s="330"/>
      <c r="AV16" s="323"/>
      <c r="AW16" s="323"/>
      <c r="AX16" s="323"/>
      <c r="AY16" s="324"/>
      <c r="AZ16" s="325"/>
      <c r="BA16" s="323"/>
      <c r="BB16" s="323"/>
      <c r="BC16" s="323"/>
      <c r="BD16" s="326"/>
      <c r="BE16" s="330"/>
      <c r="BF16" s="323"/>
      <c r="BG16" s="323"/>
      <c r="BH16" s="323"/>
      <c r="BI16" s="324"/>
      <c r="BJ16" s="325"/>
      <c r="BK16" s="323"/>
      <c r="BL16" s="323"/>
      <c r="BM16" s="323"/>
      <c r="BN16" s="326"/>
      <c r="BO16" s="330"/>
      <c r="BP16" s="323"/>
      <c r="BQ16" s="323"/>
      <c r="BR16" s="323"/>
      <c r="BS16" s="324"/>
      <c r="BT16" s="325"/>
      <c r="BU16" s="323"/>
      <c r="BV16" s="323"/>
      <c r="BW16" s="323"/>
      <c r="BX16" s="326"/>
      <c r="BY16" s="330"/>
      <c r="BZ16" s="323"/>
      <c r="CA16" s="323"/>
      <c r="CB16" s="323"/>
      <c r="CC16" s="324"/>
      <c r="CD16" s="325"/>
      <c r="CE16" s="323"/>
      <c r="CF16" s="323"/>
      <c r="CG16" s="323"/>
      <c r="CH16" s="324"/>
      <c r="CI16" s="325"/>
      <c r="CJ16" s="323"/>
      <c r="CK16" s="323"/>
      <c r="CL16" s="323"/>
      <c r="CM16" s="326"/>
      <c r="CN16" s="45"/>
      <c r="CO16" s="45"/>
      <c r="CP16" s="45"/>
      <c r="CQ16" s="45"/>
      <c r="CR16" s="45"/>
      <c r="CS16" s="45"/>
      <c r="CT16" s="45"/>
      <c r="CU16" s="45"/>
      <c r="CV16" s="45"/>
      <c r="CW16" s="45"/>
      <c r="CX16" s="45"/>
      <c r="CY16" s="45"/>
      <c r="CZ16" s="45"/>
      <c r="DA16" s="45"/>
      <c r="DB16" s="45"/>
      <c r="DC16" s="45"/>
      <c r="DD16" s="45"/>
      <c r="DE16" s="45"/>
      <c r="DF16" s="45"/>
      <c r="DG16" s="45"/>
      <c r="DH16" s="45"/>
      <c r="DI16" s="45"/>
      <c r="DJ16" s="45"/>
      <c r="DK16" s="45"/>
      <c r="DL16" s="45"/>
      <c r="DM16" s="45"/>
      <c r="DN16" s="45"/>
    </row>
    <row r="17" spans="1:118" ht="25.5" customHeight="1">
      <c r="A17" s="321">
        <v>3860</v>
      </c>
      <c r="B17" s="322" t="s">
        <v>11</v>
      </c>
      <c r="C17" s="322" t="s">
        <v>44</v>
      </c>
      <c r="D17" s="322" t="s">
        <v>76</v>
      </c>
      <c r="E17" s="323" t="s">
        <v>53</v>
      </c>
      <c r="F17" s="322"/>
      <c r="G17" s="323" t="s">
        <v>288</v>
      </c>
      <c r="H17" s="324" t="s">
        <v>54</v>
      </c>
      <c r="I17" s="325"/>
      <c r="J17" s="323"/>
      <c r="K17" s="326"/>
      <c r="L17" s="327" t="s">
        <v>78</v>
      </c>
      <c r="M17" s="322" t="s">
        <v>77</v>
      </c>
      <c r="N17" s="322"/>
      <c r="O17" s="322" t="s">
        <v>77</v>
      </c>
      <c r="P17" s="328" t="s">
        <v>77</v>
      </c>
      <c r="Q17" s="327"/>
      <c r="R17" s="322"/>
      <c r="S17" s="322"/>
      <c r="T17" s="322"/>
      <c r="U17" s="329" t="s">
        <v>80</v>
      </c>
      <c r="V17" s="321"/>
      <c r="W17" s="323"/>
      <c r="X17" s="323"/>
      <c r="Y17" s="323"/>
      <c r="Z17" s="326"/>
      <c r="AA17" s="330"/>
      <c r="AB17" s="323"/>
      <c r="AC17" s="323"/>
      <c r="AD17" s="323"/>
      <c r="AE17" s="324"/>
      <c r="AF17" s="325"/>
      <c r="AG17" s="323"/>
      <c r="AH17" s="323"/>
      <c r="AI17" s="323"/>
      <c r="AJ17" s="326"/>
      <c r="AK17" s="330"/>
      <c r="AL17" s="323"/>
      <c r="AM17" s="323"/>
      <c r="AN17" s="323"/>
      <c r="AO17" s="324"/>
      <c r="AP17" s="325"/>
      <c r="AQ17" s="323"/>
      <c r="AR17" s="323"/>
      <c r="AS17" s="323"/>
      <c r="AT17" s="326"/>
      <c r="AU17" s="330"/>
      <c r="AV17" s="323"/>
      <c r="AW17" s="323"/>
      <c r="AX17" s="323"/>
      <c r="AY17" s="324"/>
      <c r="AZ17" s="325"/>
      <c r="BA17" s="323"/>
      <c r="BB17" s="323"/>
      <c r="BC17" s="323"/>
      <c r="BD17" s="326"/>
      <c r="BE17" s="330"/>
      <c r="BF17" s="323"/>
      <c r="BG17" s="323"/>
      <c r="BH17" s="323"/>
      <c r="BI17" s="324"/>
      <c r="BJ17" s="325"/>
      <c r="BK17" s="323"/>
      <c r="BL17" s="323"/>
      <c r="BM17" s="323"/>
      <c r="BN17" s="326"/>
      <c r="BO17" s="330"/>
      <c r="BP17" s="323"/>
      <c r="BQ17" s="323"/>
      <c r="BR17" s="323"/>
      <c r="BS17" s="324"/>
      <c r="BT17" s="325"/>
      <c r="BU17" s="323"/>
      <c r="BV17" s="323"/>
      <c r="BW17" s="323"/>
      <c r="BX17" s="326"/>
      <c r="BY17" s="330"/>
      <c r="BZ17" s="323"/>
      <c r="CA17" s="323"/>
      <c r="CB17" s="323"/>
      <c r="CC17" s="324"/>
      <c r="CD17" s="325"/>
      <c r="CE17" s="323"/>
      <c r="CF17" s="323"/>
      <c r="CG17" s="323"/>
      <c r="CH17" s="324"/>
      <c r="CI17" s="325"/>
      <c r="CJ17" s="323"/>
      <c r="CK17" s="323"/>
      <c r="CL17" s="323"/>
      <c r="CM17" s="326"/>
      <c r="CN17" s="45"/>
      <c r="CO17" s="45"/>
      <c r="CP17" s="45"/>
      <c r="CQ17" s="45"/>
      <c r="CR17" s="45"/>
      <c r="CS17" s="45"/>
      <c r="CT17" s="45"/>
      <c r="CU17" s="45"/>
      <c r="CV17" s="45"/>
      <c r="CW17" s="45"/>
      <c r="CX17" s="45"/>
      <c r="CY17" s="45"/>
      <c r="CZ17" s="45"/>
      <c r="DA17" s="45"/>
      <c r="DB17" s="45"/>
      <c r="DC17" s="45"/>
      <c r="DD17" s="45"/>
      <c r="DE17" s="45"/>
      <c r="DF17" s="45"/>
      <c r="DG17" s="45"/>
      <c r="DH17" s="45"/>
      <c r="DI17" s="45"/>
      <c r="DJ17" s="45"/>
      <c r="DK17" s="45"/>
      <c r="DL17" s="45"/>
      <c r="DM17" s="45"/>
      <c r="DN17" s="45"/>
    </row>
    <row r="18" spans="1:118" ht="25.5" customHeight="1">
      <c r="A18" s="321">
        <v>3861</v>
      </c>
      <c r="B18" s="322" t="s">
        <v>11</v>
      </c>
      <c r="C18" s="322" t="s">
        <v>44</v>
      </c>
      <c r="D18" s="322" t="s">
        <v>76</v>
      </c>
      <c r="E18" s="323" t="s">
        <v>53</v>
      </c>
      <c r="F18" s="322"/>
      <c r="G18" s="323" t="s">
        <v>290</v>
      </c>
      <c r="H18" s="324" t="s">
        <v>54</v>
      </c>
      <c r="I18" s="325"/>
      <c r="J18" s="323"/>
      <c r="K18" s="326"/>
      <c r="L18" s="327" t="s">
        <v>78</v>
      </c>
      <c r="M18" s="322" t="s">
        <v>77</v>
      </c>
      <c r="N18" s="322"/>
      <c r="O18" s="322" t="s">
        <v>77</v>
      </c>
      <c r="P18" s="328" t="s">
        <v>77</v>
      </c>
      <c r="Q18" s="327"/>
      <c r="R18" s="322"/>
      <c r="S18" s="322"/>
      <c r="T18" s="322"/>
      <c r="U18" s="329" t="s">
        <v>80</v>
      </c>
      <c r="V18" s="321"/>
      <c r="W18" s="323"/>
      <c r="X18" s="323"/>
      <c r="Y18" s="323"/>
      <c r="Z18" s="326"/>
      <c r="AA18" s="330"/>
      <c r="AB18" s="323"/>
      <c r="AC18" s="323"/>
      <c r="AD18" s="323"/>
      <c r="AE18" s="324"/>
      <c r="AF18" s="325"/>
      <c r="AG18" s="323"/>
      <c r="AH18" s="323"/>
      <c r="AI18" s="323"/>
      <c r="AJ18" s="326"/>
      <c r="AK18" s="330"/>
      <c r="AL18" s="323"/>
      <c r="AM18" s="323"/>
      <c r="AN18" s="323"/>
      <c r="AO18" s="324"/>
      <c r="AP18" s="325"/>
      <c r="AQ18" s="323"/>
      <c r="AR18" s="323"/>
      <c r="AS18" s="323"/>
      <c r="AT18" s="326"/>
      <c r="AU18" s="330"/>
      <c r="AV18" s="323"/>
      <c r="AW18" s="323"/>
      <c r="AX18" s="323"/>
      <c r="AY18" s="324"/>
      <c r="AZ18" s="325"/>
      <c r="BA18" s="323"/>
      <c r="BB18" s="323"/>
      <c r="BC18" s="323"/>
      <c r="BD18" s="326"/>
      <c r="BE18" s="330"/>
      <c r="BF18" s="323"/>
      <c r="BG18" s="323"/>
      <c r="BH18" s="323"/>
      <c r="BI18" s="324"/>
      <c r="BJ18" s="325"/>
      <c r="BK18" s="323"/>
      <c r="BL18" s="323"/>
      <c r="BM18" s="323"/>
      <c r="BN18" s="326"/>
      <c r="BO18" s="330"/>
      <c r="BP18" s="323"/>
      <c r="BQ18" s="323"/>
      <c r="BR18" s="323"/>
      <c r="BS18" s="324"/>
      <c r="BT18" s="325"/>
      <c r="BU18" s="323"/>
      <c r="BV18" s="323"/>
      <c r="BW18" s="323"/>
      <c r="BX18" s="326"/>
      <c r="BY18" s="330"/>
      <c r="BZ18" s="323"/>
      <c r="CA18" s="323"/>
      <c r="CB18" s="323"/>
      <c r="CC18" s="324"/>
      <c r="CD18" s="325"/>
      <c r="CE18" s="323"/>
      <c r="CF18" s="323"/>
      <c r="CG18" s="323"/>
      <c r="CH18" s="324"/>
      <c r="CI18" s="325"/>
      <c r="CJ18" s="323"/>
      <c r="CK18" s="323"/>
      <c r="CL18" s="323"/>
      <c r="CM18" s="326"/>
      <c r="CN18" s="45"/>
      <c r="CO18" s="45"/>
      <c r="CP18" s="45"/>
      <c r="CQ18" s="45"/>
      <c r="CR18" s="45"/>
      <c r="CS18" s="45"/>
      <c r="CT18" s="45"/>
      <c r="CU18" s="45"/>
      <c r="CV18" s="45"/>
      <c r="CW18" s="45"/>
      <c r="CX18" s="45"/>
      <c r="CY18" s="45"/>
      <c r="CZ18" s="45"/>
      <c r="DA18" s="45"/>
      <c r="DB18" s="45"/>
      <c r="DC18" s="45"/>
      <c r="DD18" s="45"/>
      <c r="DE18" s="45"/>
      <c r="DF18" s="45"/>
      <c r="DG18" s="45"/>
      <c r="DH18" s="45"/>
      <c r="DI18" s="45"/>
      <c r="DJ18" s="45"/>
      <c r="DK18" s="45"/>
      <c r="DL18" s="45"/>
      <c r="DM18" s="45"/>
      <c r="DN18" s="45"/>
    </row>
    <row r="19" spans="1:118" ht="25.5" customHeight="1" thickBot="1">
      <c r="A19" s="351">
        <v>3862</v>
      </c>
      <c r="B19" s="352" t="s">
        <v>11</v>
      </c>
      <c r="C19" s="352" t="s">
        <v>44</v>
      </c>
      <c r="D19" s="352" t="s">
        <v>76</v>
      </c>
      <c r="E19" s="353" t="s">
        <v>53</v>
      </c>
      <c r="F19" s="352"/>
      <c r="G19" s="353" t="s">
        <v>292</v>
      </c>
      <c r="H19" s="354" t="s">
        <v>54</v>
      </c>
      <c r="I19" s="355"/>
      <c r="J19" s="353"/>
      <c r="K19" s="356"/>
      <c r="L19" s="357" t="s">
        <v>78</v>
      </c>
      <c r="M19" s="352" t="s">
        <v>77</v>
      </c>
      <c r="N19" s="352"/>
      <c r="O19" s="352" t="s">
        <v>77</v>
      </c>
      <c r="P19" s="358" t="s">
        <v>77</v>
      </c>
      <c r="Q19" s="357"/>
      <c r="R19" s="352"/>
      <c r="S19" s="352"/>
      <c r="T19" s="352"/>
      <c r="U19" s="359" t="s">
        <v>80</v>
      </c>
      <c r="V19" s="351"/>
      <c r="W19" s="353"/>
      <c r="X19" s="353"/>
      <c r="Y19" s="353"/>
      <c r="Z19" s="356"/>
      <c r="AA19" s="360"/>
      <c r="AB19" s="353"/>
      <c r="AC19" s="353"/>
      <c r="AD19" s="353"/>
      <c r="AE19" s="354"/>
      <c r="AF19" s="355"/>
      <c r="AG19" s="353"/>
      <c r="AH19" s="353"/>
      <c r="AI19" s="353"/>
      <c r="AJ19" s="356"/>
      <c r="AK19" s="360"/>
      <c r="AL19" s="353"/>
      <c r="AM19" s="353"/>
      <c r="AN19" s="353"/>
      <c r="AO19" s="354"/>
      <c r="AP19" s="355"/>
      <c r="AQ19" s="353"/>
      <c r="AR19" s="353"/>
      <c r="AS19" s="353"/>
      <c r="AT19" s="356"/>
      <c r="AU19" s="360"/>
      <c r="AV19" s="353"/>
      <c r="AW19" s="353"/>
      <c r="AX19" s="353"/>
      <c r="AY19" s="354"/>
      <c r="AZ19" s="355"/>
      <c r="BA19" s="353"/>
      <c r="BB19" s="353"/>
      <c r="BC19" s="353"/>
      <c r="BD19" s="356"/>
      <c r="BE19" s="360"/>
      <c r="BF19" s="353"/>
      <c r="BG19" s="353"/>
      <c r="BH19" s="353"/>
      <c r="BI19" s="354"/>
      <c r="BJ19" s="355"/>
      <c r="BK19" s="353"/>
      <c r="BL19" s="353"/>
      <c r="BM19" s="353"/>
      <c r="BN19" s="356"/>
      <c r="BO19" s="360"/>
      <c r="BP19" s="353"/>
      <c r="BQ19" s="353"/>
      <c r="BR19" s="353"/>
      <c r="BS19" s="354"/>
      <c r="BT19" s="355"/>
      <c r="BU19" s="353"/>
      <c r="BV19" s="353"/>
      <c r="BW19" s="353"/>
      <c r="BX19" s="356"/>
      <c r="BY19" s="360"/>
      <c r="BZ19" s="353"/>
      <c r="CA19" s="353"/>
      <c r="CB19" s="353"/>
      <c r="CC19" s="354"/>
      <c r="CD19" s="355"/>
      <c r="CE19" s="353"/>
      <c r="CF19" s="353"/>
      <c r="CG19" s="353"/>
      <c r="CH19" s="354"/>
      <c r="CI19" s="355"/>
      <c r="CJ19" s="353"/>
      <c r="CK19" s="353"/>
      <c r="CL19" s="353"/>
      <c r="CM19" s="356"/>
      <c r="CN19" s="45"/>
      <c r="CO19" s="45"/>
      <c r="CP19" s="45"/>
      <c r="CQ19" s="45"/>
      <c r="CR19" s="45"/>
      <c r="CS19" s="45"/>
      <c r="CT19" s="45"/>
      <c r="CU19" s="45"/>
      <c r="CV19" s="45"/>
      <c r="CW19" s="45"/>
      <c r="CX19" s="45"/>
      <c r="CY19" s="45"/>
      <c r="CZ19" s="45"/>
      <c r="DA19" s="45"/>
      <c r="DB19" s="45"/>
      <c r="DC19" s="45"/>
      <c r="DD19" s="45"/>
      <c r="DE19" s="45"/>
      <c r="DF19" s="45"/>
      <c r="DG19" s="45"/>
      <c r="DH19" s="45"/>
      <c r="DI19" s="45"/>
      <c r="DJ19" s="45"/>
      <c r="DK19" s="45"/>
      <c r="DL19" s="45"/>
      <c r="DM19" s="45"/>
      <c r="DN19" s="45"/>
    </row>
    <row r="20" spans="1:118" ht="25.5" customHeight="1">
      <c r="A20" s="361">
        <v>3863</v>
      </c>
      <c r="B20" s="362" t="s">
        <v>11</v>
      </c>
      <c r="C20" s="362" t="s">
        <v>44</v>
      </c>
      <c r="D20" s="362" t="s">
        <v>76</v>
      </c>
      <c r="E20" s="363" t="s">
        <v>53</v>
      </c>
      <c r="F20" s="362"/>
      <c r="G20" s="363" t="s">
        <v>294</v>
      </c>
      <c r="H20" s="364" t="s">
        <v>54</v>
      </c>
      <c r="I20" s="365"/>
      <c r="J20" s="363"/>
      <c r="K20" s="366"/>
      <c r="L20" s="367" t="s">
        <v>78</v>
      </c>
      <c r="M20" s="362" t="s">
        <v>77</v>
      </c>
      <c r="N20" s="362"/>
      <c r="O20" s="362" t="s">
        <v>77</v>
      </c>
      <c r="P20" s="368" t="s">
        <v>77</v>
      </c>
      <c r="Q20" s="367"/>
      <c r="R20" s="362"/>
      <c r="S20" s="362"/>
      <c r="T20" s="362"/>
      <c r="U20" s="369" t="s">
        <v>80</v>
      </c>
      <c r="V20" s="361"/>
      <c r="W20" s="363"/>
      <c r="X20" s="363"/>
      <c r="Y20" s="363"/>
      <c r="Z20" s="366"/>
      <c r="AA20" s="370"/>
      <c r="AB20" s="363"/>
      <c r="AC20" s="363"/>
      <c r="AD20" s="363"/>
      <c r="AE20" s="364"/>
      <c r="AF20" s="365"/>
      <c r="AG20" s="363"/>
      <c r="AH20" s="363"/>
      <c r="AI20" s="363"/>
      <c r="AJ20" s="366"/>
      <c r="AK20" s="370"/>
      <c r="AL20" s="363"/>
      <c r="AM20" s="363"/>
      <c r="AN20" s="363"/>
      <c r="AO20" s="364"/>
      <c r="AP20" s="365"/>
      <c r="AQ20" s="363"/>
      <c r="AR20" s="363"/>
      <c r="AS20" s="363"/>
      <c r="AT20" s="366"/>
      <c r="AU20" s="370"/>
      <c r="AV20" s="363"/>
      <c r="AW20" s="363"/>
      <c r="AX20" s="363"/>
      <c r="AY20" s="364"/>
      <c r="AZ20" s="365"/>
      <c r="BA20" s="363"/>
      <c r="BB20" s="363"/>
      <c r="BC20" s="363"/>
      <c r="BD20" s="366"/>
      <c r="BE20" s="370"/>
      <c r="BF20" s="363"/>
      <c r="BG20" s="363"/>
      <c r="BH20" s="363"/>
      <c r="BI20" s="364"/>
      <c r="BJ20" s="365"/>
      <c r="BK20" s="363"/>
      <c r="BL20" s="363"/>
      <c r="BM20" s="363"/>
      <c r="BN20" s="366"/>
      <c r="BO20" s="370"/>
      <c r="BP20" s="363"/>
      <c r="BQ20" s="363"/>
      <c r="BR20" s="363"/>
      <c r="BS20" s="364"/>
      <c r="BT20" s="365"/>
      <c r="BU20" s="363"/>
      <c r="BV20" s="363"/>
      <c r="BW20" s="363"/>
      <c r="BX20" s="366"/>
      <c r="BY20" s="370"/>
      <c r="BZ20" s="363"/>
      <c r="CA20" s="363"/>
      <c r="CB20" s="363"/>
      <c r="CC20" s="364"/>
      <c r="CD20" s="365"/>
      <c r="CE20" s="363"/>
      <c r="CF20" s="363"/>
      <c r="CG20" s="363"/>
      <c r="CH20" s="364"/>
      <c r="CI20" s="365"/>
      <c r="CJ20" s="363"/>
      <c r="CK20" s="363"/>
      <c r="CL20" s="363"/>
      <c r="CM20" s="366"/>
      <c r="CN20" s="45"/>
      <c r="CO20" s="45"/>
      <c r="CP20" s="45"/>
      <c r="CQ20" s="45"/>
      <c r="CR20" s="45"/>
      <c r="CS20" s="45"/>
      <c r="CT20" s="45"/>
      <c r="CU20" s="45"/>
      <c r="CV20" s="45"/>
      <c r="CW20" s="45"/>
      <c r="CX20" s="46"/>
      <c r="CY20" s="45"/>
      <c r="CZ20" s="45"/>
      <c r="DA20" s="46"/>
      <c r="DB20" s="45"/>
      <c r="DC20" s="45"/>
      <c r="DD20" s="45"/>
      <c r="DE20" s="45"/>
      <c r="DF20" s="46"/>
      <c r="DG20" s="45"/>
      <c r="DH20" s="45"/>
      <c r="DI20" s="45"/>
      <c r="DJ20" s="45"/>
      <c r="DK20" s="45"/>
      <c r="DL20" s="45"/>
      <c r="DM20" s="45"/>
      <c r="DN20" s="45"/>
    </row>
    <row r="21" spans="1:118" ht="25.5" customHeight="1">
      <c r="A21" s="321">
        <v>3864</v>
      </c>
      <c r="B21" s="322" t="s">
        <v>11</v>
      </c>
      <c r="C21" s="322" t="s">
        <v>44</v>
      </c>
      <c r="D21" s="322" t="s">
        <v>76</v>
      </c>
      <c r="E21" s="323" t="s">
        <v>53</v>
      </c>
      <c r="F21" s="322"/>
      <c r="G21" s="323" t="s">
        <v>296</v>
      </c>
      <c r="H21" s="324" t="s">
        <v>54</v>
      </c>
      <c r="I21" s="325"/>
      <c r="J21" s="323"/>
      <c r="K21" s="326"/>
      <c r="L21" s="327" t="s">
        <v>78</v>
      </c>
      <c r="M21" s="322" t="s">
        <v>77</v>
      </c>
      <c r="N21" s="322"/>
      <c r="O21" s="322" t="s">
        <v>77</v>
      </c>
      <c r="P21" s="328" t="s">
        <v>77</v>
      </c>
      <c r="Q21" s="327"/>
      <c r="R21" s="322"/>
      <c r="S21" s="322"/>
      <c r="T21" s="322"/>
      <c r="U21" s="329" t="s">
        <v>80</v>
      </c>
      <c r="V21" s="321"/>
      <c r="W21" s="323"/>
      <c r="X21" s="323"/>
      <c r="Y21" s="323"/>
      <c r="Z21" s="326"/>
      <c r="AA21" s="330"/>
      <c r="AB21" s="323"/>
      <c r="AC21" s="323"/>
      <c r="AD21" s="323"/>
      <c r="AE21" s="324"/>
      <c r="AF21" s="325"/>
      <c r="AG21" s="323"/>
      <c r="AH21" s="323"/>
      <c r="AI21" s="323"/>
      <c r="AJ21" s="326"/>
      <c r="AK21" s="330"/>
      <c r="AL21" s="323"/>
      <c r="AM21" s="323"/>
      <c r="AN21" s="323"/>
      <c r="AO21" s="324"/>
      <c r="AP21" s="325"/>
      <c r="AQ21" s="323"/>
      <c r="AR21" s="323"/>
      <c r="AS21" s="323"/>
      <c r="AT21" s="326"/>
      <c r="AU21" s="330"/>
      <c r="AV21" s="323"/>
      <c r="AW21" s="323"/>
      <c r="AX21" s="323"/>
      <c r="AY21" s="324"/>
      <c r="AZ21" s="325"/>
      <c r="BA21" s="323"/>
      <c r="BB21" s="323"/>
      <c r="BC21" s="323"/>
      <c r="BD21" s="326"/>
      <c r="BE21" s="330"/>
      <c r="BF21" s="323"/>
      <c r="BG21" s="323"/>
      <c r="BH21" s="323"/>
      <c r="BI21" s="324"/>
      <c r="BJ21" s="325"/>
      <c r="BK21" s="323"/>
      <c r="BL21" s="323"/>
      <c r="BM21" s="323"/>
      <c r="BN21" s="326"/>
      <c r="BO21" s="330"/>
      <c r="BP21" s="323"/>
      <c r="BQ21" s="323"/>
      <c r="BR21" s="323"/>
      <c r="BS21" s="324"/>
      <c r="BT21" s="325"/>
      <c r="BU21" s="323"/>
      <c r="BV21" s="323"/>
      <c r="BW21" s="323"/>
      <c r="BX21" s="326"/>
      <c r="BY21" s="330"/>
      <c r="BZ21" s="323"/>
      <c r="CA21" s="323"/>
      <c r="CB21" s="323"/>
      <c r="CC21" s="324"/>
      <c r="CD21" s="325"/>
      <c r="CE21" s="323"/>
      <c r="CF21" s="323"/>
      <c r="CG21" s="323"/>
      <c r="CH21" s="324"/>
      <c r="CI21" s="325"/>
      <c r="CJ21" s="323"/>
      <c r="CK21" s="323"/>
      <c r="CL21" s="323"/>
      <c r="CM21" s="326"/>
    </row>
    <row r="22" spans="1:118" ht="25.5" customHeight="1">
      <c r="A22" s="321">
        <v>3865</v>
      </c>
      <c r="B22" s="322" t="s">
        <v>11</v>
      </c>
      <c r="C22" s="322" t="s">
        <v>44</v>
      </c>
      <c r="D22" s="322" t="s">
        <v>76</v>
      </c>
      <c r="E22" s="323" t="s">
        <v>53</v>
      </c>
      <c r="F22" s="322"/>
      <c r="G22" s="323" t="s">
        <v>298</v>
      </c>
      <c r="H22" s="371" t="s">
        <v>54</v>
      </c>
      <c r="I22" s="325"/>
      <c r="J22" s="323"/>
      <c r="K22" s="326"/>
      <c r="L22" s="327" t="s">
        <v>78</v>
      </c>
      <c r="M22" s="322" t="s">
        <v>77</v>
      </c>
      <c r="N22" s="322"/>
      <c r="O22" s="322" t="s">
        <v>77</v>
      </c>
      <c r="P22" s="328" t="s">
        <v>77</v>
      </c>
      <c r="Q22" s="327"/>
      <c r="R22" s="322"/>
      <c r="S22" s="322"/>
      <c r="T22" s="322"/>
      <c r="U22" s="329" t="s">
        <v>80</v>
      </c>
      <c r="V22" s="321"/>
      <c r="W22" s="372"/>
      <c r="X22" s="372"/>
      <c r="Y22" s="372"/>
      <c r="Z22" s="373"/>
      <c r="AA22" s="374"/>
      <c r="AB22" s="372"/>
      <c r="AC22" s="372"/>
      <c r="AD22" s="372"/>
      <c r="AE22" s="371"/>
      <c r="AF22" s="375"/>
      <c r="AG22" s="372"/>
      <c r="AH22" s="372"/>
      <c r="AI22" s="372"/>
      <c r="AJ22" s="373"/>
      <c r="AK22" s="374"/>
      <c r="AL22" s="372"/>
      <c r="AM22" s="372"/>
      <c r="AN22" s="372"/>
      <c r="AO22" s="371"/>
      <c r="AP22" s="375"/>
      <c r="AQ22" s="372"/>
      <c r="AR22" s="372"/>
      <c r="AS22" s="372"/>
      <c r="AT22" s="373"/>
      <c r="AU22" s="374"/>
      <c r="AV22" s="372"/>
      <c r="AW22" s="372"/>
      <c r="AX22" s="372"/>
      <c r="AY22" s="371"/>
      <c r="AZ22" s="375"/>
      <c r="BA22" s="372"/>
      <c r="BB22" s="372"/>
      <c r="BC22" s="372"/>
      <c r="BD22" s="373"/>
      <c r="BE22" s="374"/>
      <c r="BF22" s="372"/>
      <c r="BG22" s="372"/>
      <c r="BH22" s="372"/>
      <c r="BI22" s="371"/>
      <c r="BJ22" s="375"/>
      <c r="BK22" s="372"/>
      <c r="BL22" s="372"/>
      <c r="BM22" s="372"/>
      <c r="BN22" s="373"/>
      <c r="BO22" s="374"/>
      <c r="BP22" s="372"/>
      <c r="BQ22" s="372"/>
      <c r="BR22" s="372"/>
      <c r="BS22" s="371"/>
      <c r="BT22" s="375"/>
      <c r="BU22" s="372"/>
      <c r="BV22" s="372"/>
      <c r="BW22" s="372"/>
      <c r="BX22" s="373"/>
      <c r="BY22" s="374"/>
      <c r="BZ22" s="372"/>
      <c r="CA22" s="372"/>
      <c r="CB22" s="372"/>
      <c r="CC22" s="371"/>
      <c r="CD22" s="375"/>
      <c r="CE22" s="372"/>
      <c r="CF22" s="372"/>
      <c r="CG22" s="372"/>
      <c r="CH22" s="371"/>
      <c r="CI22" s="375"/>
      <c r="CJ22" s="372"/>
      <c r="CK22" s="372"/>
      <c r="CL22" s="372"/>
      <c r="CM22" s="373"/>
    </row>
    <row r="23" spans="1:118" ht="25.5" customHeight="1">
      <c r="A23" s="321">
        <v>3866</v>
      </c>
      <c r="B23" s="322" t="s">
        <v>11</v>
      </c>
      <c r="C23" s="322" t="s">
        <v>44</v>
      </c>
      <c r="D23" s="322" t="s">
        <v>76</v>
      </c>
      <c r="E23" s="323" t="s">
        <v>53</v>
      </c>
      <c r="F23" s="322"/>
      <c r="G23" s="323" t="s">
        <v>300</v>
      </c>
      <c r="H23" s="371" t="s">
        <v>54</v>
      </c>
      <c r="I23" s="325"/>
      <c r="J23" s="323"/>
      <c r="K23" s="326"/>
      <c r="L23" s="327" t="s">
        <v>78</v>
      </c>
      <c r="M23" s="322" t="s">
        <v>77</v>
      </c>
      <c r="N23" s="322"/>
      <c r="O23" s="322" t="s">
        <v>77</v>
      </c>
      <c r="P23" s="328" t="s">
        <v>77</v>
      </c>
      <c r="Q23" s="327"/>
      <c r="R23" s="322"/>
      <c r="S23" s="322"/>
      <c r="T23" s="322"/>
      <c r="U23" s="329" t="s">
        <v>80</v>
      </c>
      <c r="V23" s="321"/>
      <c r="W23" s="372"/>
      <c r="X23" s="372"/>
      <c r="Y23" s="372"/>
      <c r="Z23" s="373"/>
      <c r="AA23" s="374"/>
      <c r="AB23" s="372"/>
      <c r="AC23" s="372"/>
      <c r="AD23" s="372"/>
      <c r="AE23" s="371"/>
      <c r="AF23" s="375"/>
      <c r="AG23" s="372"/>
      <c r="AH23" s="372"/>
      <c r="AI23" s="372"/>
      <c r="AJ23" s="373"/>
      <c r="AK23" s="374"/>
      <c r="AL23" s="372"/>
      <c r="AM23" s="372"/>
      <c r="AN23" s="372"/>
      <c r="AO23" s="371"/>
      <c r="AP23" s="375"/>
      <c r="AQ23" s="372"/>
      <c r="AR23" s="372"/>
      <c r="AS23" s="372"/>
      <c r="AT23" s="373"/>
      <c r="AU23" s="374"/>
      <c r="AV23" s="372"/>
      <c r="AW23" s="372"/>
      <c r="AX23" s="372"/>
      <c r="AY23" s="371"/>
      <c r="AZ23" s="375"/>
      <c r="BA23" s="372"/>
      <c r="BB23" s="372"/>
      <c r="BC23" s="372"/>
      <c r="BD23" s="373"/>
      <c r="BE23" s="374"/>
      <c r="BF23" s="372"/>
      <c r="BG23" s="372"/>
      <c r="BH23" s="372"/>
      <c r="BI23" s="371"/>
      <c r="BJ23" s="375"/>
      <c r="BK23" s="372"/>
      <c r="BL23" s="372"/>
      <c r="BM23" s="372"/>
      <c r="BN23" s="373"/>
      <c r="BO23" s="374"/>
      <c r="BP23" s="372"/>
      <c r="BQ23" s="372"/>
      <c r="BR23" s="372"/>
      <c r="BS23" s="371"/>
      <c r="BT23" s="375"/>
      <c r="BU23" s="372"/>
      <c r="BV23" s="372"/>
      <c r="BW23" s="372"/>
      <c r="BX23" s="373"/>
      <c r="BY23" s="374"/>
      <c r="BZ23" s="372"/>
      <c r="CA23" s="372"/>
      <c r="CB23" s="372"/>
      <c r="CC23" s="371"/>
      <c r="CD23" s="375"/>
      <c r="CE23" s="372"/>
      <c r="CF23" s="372"/>
      <c r="CG23" s="372"/>
      <c r="CH23" s="371"/>
      <c r="CI23" s="375"/>
      <c r="CJ23" s="372"/>
      <c r="CK23" s="372"/>
      <c r="CL23" s="372"/>
      <c r="CM23" s="373"/>
    </row>
    <row r="24" spans="1:118" ht="25.5" customHeight="1" thickBot="1">
      <c r="A24" s="331">
        <v>3867</v>
      </c>
      <c r="B24" s="332" t="s">
        <v>11</v>
      </c>
      <c r="C24" s="332" t="s">
        <v>44</v>
      </c>
      <c r="D24" s="332" t="s">
        <v>76</v>
      </c>
      <c r="E24" s="333" t="s">
        <v>53</v>
      </c>
      <c r="F24" s="332"/>
      <c r="G24" s="333" t="s">
        <v>302</v>
      </c>
      <c r="H24" s="376" t="s">
        <v>54</v>
      </c>
      <c r="I24" s="335"/>
      <c r="J24" s="333"/>
      <c r="K24" s="336"/>
      <c r="L24" s="337" t="s">
        <v>78</v>
      </c>
      <c r="M24" s="332" t="s">
        <v>77</v>
      </c>
      <c r="N24" s="332"/>
      <c r="O24" s="332" t="s">
        <v>77</v>
      </c>
      <c r="P24" s="338" t="s">
        <v>77</v>
      </c>
      <c r="Q24" s="337"/>
      <c r="R24" s="332"/>
      <c r="S24" s="332"/>
      <c r="T24" s="332"/>
      <c r="U24" s="339" t="s">
        <v>80</v>
      </c>
      <c r="V24" s="331"/>
      <c r="W24" s="377"/>
      <c r="X24" s="377"/>
      <c r="Y24" s="377"/>
      <c r="Z24" s="378"/>
      <c r="AA24" s="379"/>
      <c r="AB24" s="377"/>
      <c r="AC24" s="377"/>
      <c r="AD24" s="377"/>
      <c r="AE24" s="376"/>
      <c r="AF24" s="380"/>
      <c r="AG24" s="377"/>
      <c r="AH24" s="377"/>
      <c r="AI24" s="377"/>
      <c r="AJ24" s="378"/>
      <c r="AK24" s="379"/>
      <c r="AL24" s="377"/>
      <c r="AM24" s="377"/>
      <c r="AN24" s="377"/>
      <c r="AO24" s="376"/>
      <c r="AP24" s="380"/>
      <c r="AQ24" s="377"/>
      <c r="AR24" s="377"/>
      <c r="AS24" s="377"/>
      <c r="AT24" s="378"/>
      <c r="AU24" s="379"/>
      <c r="AV24" s="377"/>
      <c r="AW24" s="377"/>
      <c r="AX24" s="377"/>
      <c r="AY24" s="376"/>
      <c r="AZ24" s="380"/>
      <c r="BA24" s="377"/>
      <c r="BB24" s="377"/>
      <c r="BC24" s="377"/>
      <c r="BD24" s="378"/>
      <c r="BE24" s="379"/>
      <c r="BF24" s="377"/>
      <c r="BG24" s="377"/>
      <c r="BH24" s="377"/>
      <c r="BI24" s="376"/>
      <c r="BJ24" s="380"/>
      <c r="BK24" s="377"/>
      <c r="BL24" s="377"/>
      <c r="BM24" s="377"/>
      <c r="BN24" s="378"/>
      <c r="BO24" s="379"/>
      <c r="BP24" s="377"/>
      <c r="BQ24" s="377"/>
      <c r="BR24" s="377"/>
      <c r="BS24" s="376"/>
      <c r="BT24" s="380"/>
      <c r="BU24" s="377"/>
      <c r="BV24" s="377"/>
      <c r="BW24" s="377"/>
      <c r="BX24" s="378"/>
      <c r="BY24" s="379"/>
      <c r="BZ24" s="377"/>
      <c r="CA24" s="377"/>
      <c r="CB24" s="377"/>
      <c r="CC24" s="376"/>
      <c r="CD24" s="380"/>
      <c r="CE24" s="377"/>
      <c r="CF24" s="377"/>
      <c r="CG24" s="377"/>
      <c r="CH24" s="376"/>
      <c r="CI24" s="380"/>
      <c r="CJ24" s="377"/>
      <c r="CK24" s="377"/>
      <c r="CL24" s="377"/>
      <c r="CM24" s="378"/>
    </row>
    <row r="25" spans="1:118" ht="25.5" customHeight="1">
      <c r="A25" s="341">
        <v>3868</v>
      </c>
      <c r="B25" s="342" t="s">
        <v>11</v>
      </c>
      <c r="C25" s="342" t="s">
        <v>44</v>
      </c>
      <c r="D25" s="342" t="s">
        <v>76</v>
      </c>
      <c r="E25" s="343" t="s">
        <v>53</v>
      </c>
      <c r="F25" s="342"/>
      <c r="G25" s="343" t="s">
        <v>304</v>
      </c>
      <c r="H25" s="344" t="s">
        <v>54</v>
      </c>
      <c r="I25" s="345"/>
      <c r="J25" s="343"/>
      <c r="K25" s="346"/>
      <c r="L25" s="347" t="s">
        <v>78</v>
      </c>
      <c r="M25" s="342" t="s">
        <v>77</v>
      </c>
      <c r="N25" s="342"/>
      <c r="O25" s="342" t="s">
        <v>77</v>
      </c>
      <c r="P25" s="348" t="s">
        <v>77</v>
      </c>
      <c r="Q25" s="347"/>
      <c r="R25" s="342"/>
      <c r="S25" s="342"/>
      <c r="T25" s="342"/>
      <c r="U25" s="349" t="s">
        <v>80</v>
      </c>
      <c r="V25" s="341"/>
      <c r="W25" s="381"/>
      <c r="X25" s="381"/>
      <c r="Y25" s="381"/>
      <c r="Z25" s="382"/>
      <c r="AA25" s="383"/>
      <c r="AB25" s="381"/>
      <c r="AC25" s="381"/>
      <c r="AD25" s="381"/>
      <c r="AE25" s="384"/>
      <c r="AF25" s="385"/>
      <c r="AG25" s="381"/>
      <c r="AH25" s="381"/>
      <c r="AI25" s="381"/>
      <c r="AJ25" s="382"/>
      <c r="AK25" s="383"/>
      <c r="AL25" s="381"/>
      <c r="AM25" s="381"/>
      <c r="AN25" s="381"/>
      <c r="AO25" s="384"/>
      <c r="AP25" s="385"/>
      <c r="AQ25" s="381"/>
      <c r="AR25" s="381"/>
      <c r="AS25" s="381"/>
      <c r="AT25" s="382"/>
      <c r="AU25" s="383"/>
      <c r="AV25" s="381"/>
      <c r="AW25" s="381"/>
      <c r="AX25" s="381"/>
      <c r="AY25" s="384"/>
      <c r="AZ25" s="385"/>
      <c r="BA25" s="381"/>
      <c r="BB25" s="381"/>
      <c r="BC25" s="381"/>
      <c r="BD25" s="382"/>
      <c r="BE25" s="383"/>
      <c r="BF25" s="381"/>
      <c r="BG25" s="381"/>
      <c r="BH25" s="381"/>
      <c r="BI25" s="384"/>
      <c r="BJ25" s="385"/>
      <c r="BK25" s="381"/>
      <c r="BL25" s="381"/>
      <c r="BM25" s="381"/>
      <c r="BN25" s="382"/>
      <c r="BO25" s="383"/>
      <c r="BP25" s="381"/>
      <c r="BQ25" s="381"/>
      <c r="BR25" s="381"/>
      <c r="BS25" s="384"/>
      <c r="BT25" s="385"/>
      <c r="BU25" s="381"/>
      <c r="BV25" s="381"/>
      <c r="BW25" s="381"/>
      <c r="BX25" s="382"/>
      <c r="BY25" s="383"/>
      <c r="BZ25" s="381"/>
      <c r="CA25" s="381"/>
      <c r="CB25" s="381"/>
      <c r="CC25" s="384"/>
      <c r="CD25" s="385"/>
      <c r="CE25" s="381"/>
      <c r="CF25" s="381"/>
      <c r="CG25" s="381"/>
      <c r="CH25" s="384"/>
      <c r="CI25" s="385"/>
      <c r="CJ25" s="381"/>
      <c r="CK25" s="381"/>
      <c r="CL25" s="381"/>
      <c r="CM25" s="382"/>
    </row>
    <row r="26" spans="1:118" ht="25.5" customHeight="1">
      <c r="A26" s="386">
        <v>3869</v>
      </c>
      <c r="B26" s="387" t="s">
        <v>11</v>
      </c>
      <c r="C26" s="387" t="s">
        <v>44</v>
      </c>
      <c r="D26" s="387" t="s">
        <v>76</v>
      </c>
      <c r="E26" s="372" t="s">
        <v>53</v>
      </c>
      <c r="F26" s="387"/>
      <c r="G26" s="372" t="s">
        <v>306</v>
      </c>
      <c r="H26" s="371" t="s">
        <v>54</v>
      </c>
      <c r="I26" s="375"/>
      <c r="J26" s="372"/>
      <c r="K26" s="373"/>
      <c r="L26" s="388" t="s">
        <v>78</v>
      </c>
      <c r="M26" s="387" t="s">
        <v>77</v>
      </c>
      <c r="N26" s="387"/>
      <c r="O26" s="387" t="s">
        <v>77</v>
      </c>
      <c r="P26" s="389" t="s">
        <v>77</v>
      </c>
      <c r="Q26" s="388"/>
      <c r="R26" s="387"/>
      <c r="S26" s="387"/>
      <c r="T26" s="387"/>
      <c r="U26" s="390" t="s">
        <v>80</v>
      </c>
      <c r="V26" s="386"/>
      <c r="W26" s="372"/>
      <c r="X26" s="372"/>
      <c r="Y26" s="372"/>
      <c r="Z26" s="373"/>
      <c r="AA26" s="374"/>
      <c r="AB26" s="372"/>
      <c r="AC26" s="372"/>
      <c r="AD26" s="372"/>
      <c r="AE26" s="371"/>
      <c r="AF26" s="375"/>
      <c r="AG26" s="372"/>
      <c r="AH26" s="372"/>
      <c r="AI26" s="372"/>
      <c r="AJ26" s="373"/>
      <c r="AK26" s="374"/>
      <c r="AL26" s="372"/>
      <c r="AM26" s="372"/>
      <c r="AN26" s="372"/>
      <c r="AO26" s="371"/>
      <c r="AP26" s="375"/>
      <c r="AQ26" s="372"/>
      <c r="AR26" s="372"/>
      <c r="AS26" s="372"/>
      <c r="AT26" s="373"/>
      <c r="AU26" s="374"/>
      <c r="AV26" s="372"/>
      <c r="AW26" s="372"/>
      <c r="AX26" s="372"/>
      <c r="AY26" s="371"/>
      <c r="AZ26" s="375"/>
      <c r="BA26" s="372"/>
      <c r="BB26" s="372"/>
      <c r="BC26" s="372"/>
      <c r="BD26" s="373"/>
      <c r="BE26" s="374"/>
      <c r="BF26" s="372"/>
      <c r="BG26" s="372"/>
      <c r="BH26" s="372"/>
      <c r="BI26" s="371"/>
      <c r="BJ26" s="375"/>
      <c r="BK26" s="372"/>
      <c r="BL26" s="372"/>
      <c r="BM26" s="372"/>
      <c r="BN26" s="373"/>
      <c r="BO26" s="374"/>
      <c r="BP26" s="372"/>
      <c r="BQ26" s="372"/>
      <c r="BR26" s="372"/>
      <c r="BS26" s="371"/>
      <c r="BT26" s="375"/>
      <c r="BU26" s="372"/>
      <c r="BV26" s="372"/>
      <c r="BW26" s="372"/>
      <c r="BX26" s="373"/>
      <c r="BY26" s="374"/>
      <c r="BZ26" s="372"/>
      <c r="CA26" s="372"/>
      <c r="CB26" s="372"/>
      <c r="CC26" s="371"/>
      <c r="CD26" s="375"/>
      <c r="CE26" s="372"/>
      <c r="CF26" s="372"/>
      <c r="CG26" s="372"/>
      <c r="CH26" s="371"/>
      <c r="CI26" s="375"/>
      <c r="CJ26" s="372"/>
      <c r="CK26" s="372"/>
      <c r="CL26" s="372"/>
      <c r="CM26" s="373"/>
    </row>
    <row r="27" spans="1:118" ht="25.5" customHeight="1">
      <c r="A27" s="386">
        <v>3870</v>
      </c>
      <c r="B27" s="387" t="s">
        <v>11</v>
      </c>
      <c r="C27" s="387" t="s">
        <v>44</v>
      </c>
      <c r="D27" s="387" t="s">
        <v>76</v>
      </c>
      <c r="E27" s="372" t="s">
        <v>53</v>
      </c>
      <c r="F27" s="387"/>
      <c r="G27" s="372" t="s">
        <v>308</v>
      </c>
      <c r="H27" s="371" t="s">
        <v>54</v>
      </c>
      <c r="I27" s="375"/>
      <c r="J27" s="372"/>
      <c r="K27" s="373"/>
      <c r="L27" s="388" t="s">
        <v>78</v>
      </c>
      <c r="M27" s="387" t="s">
        <v>77</v>
      </c>
      <c r="N27" s="387"/>
      <c r="O27" s="387" t="s">
        <v>77</v>
      </c>
      <c r="P27" s="389" t="s">
        <v>77</v>
      </c>
      <c r="Q27" s="388"/>
      <c r="R27" s="387"/>
      <c r="S27" s="387"/>
      <c r="T27" s="387"/>
      <c r="U27" s="390" t="s">
        <v>80</v>
      </c>
      <c r="V27" s="386"/>
      <c r="W27" s="372"/>
      <c r="X27" s="372"/>
      <c r="Y27" s="372"/>
      <c r="Z27" s="373"/>
      <c r="AA27" s="374"/>
      <c r="AB27" s="372"/>
      <c r="AC27" s="372"/>
      <c r="AD27" s="372"/>
      <c r="AE27" s="371"/>
      <c r="AF27" s="375"/>
      <c r="AG27" s="372"/>
      <c r="AH27" s="372"/>
      <c r="AI27" s="372"/>
      <c r="AJ27" s="373"/>
      <c r="AK27" s="374"/>
      <c r="AL27" s="372"/>
      <c r="AM27" s="372"/>
      <c r="AN27" s="372"/>
      <c r="AO27" s="371"/>
      <c r="AP27" s="375"/>
      <c r="AQ27" s="372"/>
      <c r="AR27" s="372"/>
      <c r="AS27" s="372"/>
      <c r="AT27" s="373"/>
      <c r="AU27" s="374"/>
      <c r="AV27" s="372"/>
      <c r="AW27" s="372"/>
      <c r="AX27" s="372"/>
      <c r="AY27" s="371"/>
      <c r="AZ27" s="375"/>
      <c r="BA27" s="372"/>
      <c r="BB27" s="372"/>
      <c r="BC27" s="372"/>
      <c r="BD27" s="373"/>
      <c r="BE27" s="374"/>
      <c r="BF27" s="372"/>
      <c r="BG27" s="372"/>
      <c r="BH27" s="372"/>
      <c r="BI27" s="371"/>
      <c r="BJ27" s="375"/>
      <c r="BK27" s="372"/>
      <c r="BL27" s="372"/>
      <c r="BM27" s="372"/>
      <c r="BN27" s="373"/>
      <c r="BO27" s="374"/>
      <c r="BP27" s="372"/>
      <c r="BQ27" s="372"/>
      <c r="BR27" s="372"/>
      <c r="BS27" s="371"/>
      <c r="BT27" s="375"/>
      <c r="BU27" s="372"/>
      <c r="BV27" s="372"/>
      <c r="BW27" s="372"/>
      <c r="BX27" s="373"/>
      <c r="BY27" s="374"/>
      <c r="BZ27" s="372"/>
      <c r="CA27" s="372"/>
      <c r="CB27" s="372"/>
      <c r="CC27" s="371"/>
      <c r="CD27" s="375"/>
      <c r="CE27" s="372"/>
      <c r="CF27" s="372"/>
      <c r="CG27" s="372"/>
      <c r="CH27" s="371"/>
      <c r="CI27" s="375"/>
      <c r="CJ27" s="372"/>
      <c r="CK27" s="372"/>
      <c r="CL27" s="372"/>
      <c r="CM27" s="373"/>
    </row>
    <row r="28" spans="1:118" ht="25.5" customHeight="1">
      <c r="A28" s="386">
        <v>3871</v>
      </c>
      <c r="B28" s="387" t="s">
        <v>11</v>
      </c>
      <c r="C28" s="387" t="s">
        <v>44</v>
      </c>
      <c r="D28" s="387" t="s">
        <v>76</v>
      </c>
      <c r="E28" s="372" t="s">
        <v>53</v>
      </c>
      <c r="F28" s="387"/>
      <c r="G28" s="372" t="s">
        <v>310</v>
      </c>
      <c r="H28" s="371" t="s">
        <v>54</v>
      </c>
      <c r="I28" s="375"/>
      <c r="J28" s="372"/>
      <c r="K28" s="373"/>
      <c r="L28" s="388" t="s">
        <v>78</v>
      </c>
      <c r="M28" s="387" t="s">
        <v>77</v>
      </c>
      <c r="N28" s="387"/>
      <c r="O28" s="387" t="s">
        <v>77</v>
      </c>
      <c r="P28" s="389" t="s">
        <v>77</v>
      </c>
      <c r="Q28" s="388"/>
      <c r="R28" s="387"/>
      <c r="S28" s="387"/>
      <c r="T28" s="387"/>
      <c r="U28" s="390" t="s">
        <v>80</v>
      </c>
      <c r="V28" s="386"/>
      <c r="W28" s="372"/>
      <c r="X28" s="372"/>
      <c r="Y28" s="372"/>
      <c r="Z28" s="373"/>
      <c r="AA28" s="374"/>
      <c r="AB28" s="372"/>
      <c r="AC28" s="372"/>
      <c r="AD28" s="372"/>
      <c r="AE28" s="371"/>
      <c r="AF28" s="375"/>
      <c r="AG28" s="372"/>
      <c r="AH28" s="372"/>
      <c r="AI28" s="372"/>
      <c r="AJ28" s="373"/>
      <c r="AK28" s="374"/>
      <c r="AL28" s="372"/>
      <c r="AM28" s="372"/>
      <c r="AN28" s="372"/>
      <c r="AO28" s="371"/>
      <c r="AP28" s="375"/>
      <c r="AQ28" s="372"/>
      <c r="AR28" s="372"/>
      <c r="AS28" s="372"/>
      <c r="AT28" s="373"/>
      <c r="AU28" s="374"/>
      <c r="AV28" s="372"/>
      <c r="AW28" s="372"/>
      <c r="AX28" s="372"/>
      <c r="AY28" s="371"/>
      <c r="AZ28" s="375"/>
      <c r="BA28" s="372"/>
      <c r="BB28" s="372"/>
      <c r="BC28" s="372"/>
      <c r="BD28" s="373"/>
      <c r="BE28" s="374"/>
      <c r="BF28" s="372"/>
      <c r="BG28" s="372"/>
      <c r="BH28" s="372"/>
      <c r="BI28" s="371"/>
      <c r="BJ28" s="375"/>
      <c r="BK28" s="372"/>
      <c r="BL28" s="372"/>
      <c r="BM28" s="372"/>
      <c r="BN28" s="373"/>
      <c r="BO28" s="374"/>
      <c r="BP28" s="372"/>
      <c r="BQ28" s="372"/>
      <c r="BR28" s="372"/>
      <c r="BS28" s="371"/>
      <c r="BT28" s="375"/>
      <c r="BU28" s="372"/>
      <c r="BV28" s="372"/>
      <c r="BW28" s="372"/>
      <c r="BX28" s="373"/>
      <c r="BY28" s="374"/>
      <c r="BZ28" s="372"/>
      <c r="CA28" s="372"/>
      <c r="CB28" s="372"/>
      <c r="CC28" s="371"/>
      <c r="CD28" s="375"/>
      <c r="CE28" s="372"/>
      <c r="CF28" s="372"/>
      <c r="CG28" s="372"/>
      <c r="CH28" s="371"/>
      <c r="CI28" s="375"/>
      <c r="CJ28" s="372"/>
      <c r="CK28" s="372"/>
      <c r="CL28" s="372"/>
      <c r="CM28" s="373"/>
    </row>
    <row r="29" spans="1:118" ht="25.5" customHeight="1" thickBot="1">
      <c r="A29" s="391">
        <v>3872</v>
      </c>
      <c r="B29" s="392" t="s">
        <v>11</v>
      </c>
      <c r="C29" s="392" t="s">
        <v>44</v>
      </c>
      <c r="D29" s="392" t="s">
        <v>76</v>
      </c>
      <c r="E29" s="393" t="s">
        <v>53</v>
      </c>
      <c r="F29" s="392"/>
      <c r="G29" s="393" t="s">
        <v>312</v>
      </c>
      <c r="H29" s="394" t="s">
        <v>54</v>
      </c>
      <c r="I29" s="395"/>
      <c r="J29" s="393"/>
      <c r="K29" s="396"/>
      <c r="L29" s="397" t="s">
        <v>78</v>
      </c>
      <c r="M29" s="392" t="s">
        <v>77</v>
      </c>
      <c r="N29" s="392"/>
      <c r="O29" s="392" t="s">
        <v>77</v>
      </c>
      <c r="P29" s="398" t="s">
        <v>77</v>
      </c>
      <c r="Q29" s="397"/>
      <c r="R29" s="392"/>
      <c r="S29" s="392"/>
      <c r="T29" s="392"/>
      <c r="U29" s="399" t="s">
        <v>80</v>
      </c>
      <c r="V29" s="391"/>
      <c r="W29" s="393"/>
      <c r="X29" s="393"/>
      <c r="Y29" s="393"/>
      <c r="Z29" s="396"/>
      <c r="AA29" s="400"/>
      <c r="AB29" s="393"/>
      <c r="AC29" s="393"/>
      <c r="AD29" s="393"/>
      <c r="AE29" s="394"/>
      <c r="AF29" s="395"/>
      <c r="AG29" s="393"/>
      <c r="AH29" s="393"/>
      <c r="AI29" s="393"/>
      <c r="AJ29" s="396"/>
      <c r="AK29" s="400"/>
      <c r="AL29" s="393"/>
      <c r="AM29" s="393"/>
      <c r="AN29" s="393"/>
      <c r="AO29" s="394"/>
      <c r="AP29" s="395"/>
      <c r="AQ29" s="393"/>
      <c r="AR29" s="393"/>
      <c r="AS29" s="393"/>
      <c r="AT29" s="396"/>
      <c r="AU29" s="400"/>
      <c r="AV29" s="393"/>
      <c r="AW29" s="393"/>
      <c r="AX29" s="393"/>
      <c r="AY29" s="394"/>
      <c r="AZ29" s="395"/>
      <c r="BA29" s="393"/>
      <c r="BB29" s="393"/>
      <c r="BC29" s="393"/>
      <c r="BD29" s="396"/>
      <c r="BE29" s="400"/>
      <c r="BF29" s="393"/>
      <c r="BG29" s="393"/>
      <c r="BH29" s="393"/>
      <c r="BI29" s="394"/>
      <c r="BJ29" s="395"/>
      <c r="BK29" s="393"/>
      <c r="BL29" s="393"/>
      <c r="BM29" s="393"/>
      <c r="BN29" s="396"/>
      <c r="BO29" s="400"/>
      <c r="BP29" s="393"/>
      <c r="BQ29" s="393"/>
      <c r="BR29" s="393"/>
      <c r="BS29" s="394"/>
      <c r="BT29" s="395"/>
      <c r="BU29" s="393"/>
      <c r="BV29" s="393"/>
      <c r="BW29" s="393"/>
      <c r="BX29" s="396"/>
      <c r="BY29" s="400"/>
      <c r="BZ29" s="393"/>
      <c r="CA29" s="393"/>
      <c r="CB29" s="393"/>
      <c r="CC29" s="394"/>
      <c r="CD29" s="395"/>
      <c r="CE29" s="393"/>
      <c r="CF29" s="393"/>
      <c r="CG29" s="393"/>
      <c r="CH29" s="394"/>
      <c r="CI29" s="395"/>
      <c r="CJ29" s="393"/>
      <c r="CK29" s="393"/>
      <c r="CL29" s="393"/>
      <c r="CM29" s="396"/>
    </row>
    <row r="30" spans="1:118" ht="25.5" customHeight="1">
      <c r="A30" s="401">
        <v>3873</v>
      </c>
      <c r="B30" s="402" t="s">
        <v>11</v>
      </c>
      <c r="C30" s="402" t="s">
        <v>44</v>
      </c>
      <c r="D30" s="402" t="s">
        <v>76</v>
      </c>
      <c r="E30" s="403" t="s">
        <v>53</v>
      </c>
      <c r="F30" s="402"/>
      <c r="G30" s="403" t="s">
        <v>314</v>
      </c>
      <c r="H30" s="404" t="s">
        <v>54</v>
      </c>
      <c r="I30" s="405"/>
      <c r="J30" s="403"/>
      <c r="K30" s="406"/>
      <c r="L30" s="407" t="s">
        <v>78</v>
      </c>
      <c r="M30" s="402" t="s">
        <v>77</v>
      </c>
      <c r="N30" s="402"/>
      <c r="O30" s="402" t="s">
        <v>77</v>
      </c>
      <c r="P30" s="408" t="s">
        <v>77</v>
      </c>
      <c r="Q30" s="407"/>
      <c r="R30" s="402"/>
      <c r="S30" s="402"/>
      <c r="T30" s="402"/>
      <c r="U30" s="409" t="s">
        <v>80</v>
      </c>
      <c r="V30" s="401"/>
      <c r="W30" s="403"/>
      <c r="X30" s="403"/>
      <c r="Y30" s="403"/>
      <c r="Z30" s="406"/>
      <c r="AA30" s="410"/>
      <c r="AB30" s="403"/>
      <c r="AC30" s="403"/>
      <c r="AD30" s="403"/>
      <c r="AE30" s="404"/>
      <c r="AF30" s="405"/>
      <c r="AG30" s="403"/>
      <c r="AH30" s="403"/>
      <c r="AI30" s="403"/>
      <c r="AJ30" s="406"/>
      <c r="AK30" s="410"/>
      <c r="AL30" s="403"/>
      <c r="AM30" s="403"/>
      <c r="AN30" s="403"/>
      <c r="AO30" s="404"/>
      <c r="AP30" s="405"/>
      <c r="AQ30" s="403"/>
      <c r="AR30" s="403"/>
      <c r="AS30" s="403"/>
      <c r="AT30" s="406"/>
      <c r="AU30" s="410"/>
      <c r="AV30" s="403"/>
      <c r="AW30" s="403"/>
      <c r="AX30" s="403"/>
      <c r="AY30" s="404"/>
      <c r="AZ30" s="405"/>
      <c r="BA30" s="403"/>
      <c r="BB30" s="403"/>
      <c r="BC30" s="403"/>
      <c r="BD30" s="406"/>
      <c r="BE30" s="410"/>
      <c r="BF30" s="403"/>
      <c r="BG30" s="403"/>
      <c r="BH30" s="403"/>
      <c r="BI30" s="404"/>
      <c r="BJ30" s="405"/>
      <c r="BK30" s="403"/>
      <c r="BL30" s="403"/>
      <c r="BM30" s="403"/>
      <c r="BN30" s="406"/>
      <c r="BO30" s="410"/>
      <c r="BP30" s="403"/>
      <c r="BQ30" s="403"/>
      <c r="BR30" s="403"/>
      <c r="BS30" s="404"/>
      <c r="BT30" s="405"/>
      <c r="BU30" s="403"/>
      <c r="BV30" s="403"/>
      <c r="BW30" s="403"/>
      <c r="BX30" s="406"/>
      <c r="BY30" s="410"/>
      <c r="BZ30" s="403"/>
      <c r="CA30" s="403"/>
      <c r="CB30" s="403"/>
      <c r="CC30" s="404"/>
      <c r="CD30" s="405"/>
      <c r="CE30" s="403"/>
      <c r="CF30" s="403"/>
      <c r="CG30" s="403"/>
      <c r="CH30" s="404"/>
      <c r="CI30" s="405"/>
      <c r="CJ30" s="403"/>
      <c r="CK30" s="403"/>
      <c r="CL30" s="403"/>
      <c r="CM30" s="406"/>
    </row>
    <row r="31" spans="1:118" ht="25.5" customHeight="1">
      <c r="A31" s="386">
        <v>3874</v>
      </c>
      <c r="B31" s="387" t="s">
        <v>11</v>
      </c>
      <c r="C31" s="387" t="s">
        <v>44</v>
      </c>
      <c r="D31" s="387" t="s">
        <v>76</v>
      </c>
      <c r="E31" s="372" t="s">
        <v>53</v>
      </c>
      <c r="F31" s="387"/>
      <c r="G31" s="372" t="s">
        <v>316</v>
      </c>
      <c r="H31" s="371" t="s">
        <v>54</v>
      </c>
      <c r="I31" s="375"/>
      <c r="J31" s="372"/>
      <c r="K31" s="373"/>
      <c r="L31" s="388" t="s">
        <v>78</v>
      </c>
      <c r="M31" s="387" t="s">
        <v>77</v>
      </c>
      <c r="N31" s="387"/>
      <c r="O31" s="387" t="s">
        <v>77</v>
      </c>
      <c r="P31" s="389" t="s">
        <v>77</v>
      </c>
      <c r="Q31" s="388"/>
      <c r="R31" s="387"/>
      <c r="S31" s="387"/>
      <c r="T31" s="387"/>
      <c r="U31" s="390" t="s">
        <v>80</v>
      </c>
      <c r="V31" s="386"/>
      <c r="W31" s="372"/>
      <c r="X31" s="372"/>
      <c r="Y31" s="372"/>
      <c r="Z31" s="373"/>
      <c r="AA31" s="374"/>
      <c r="AB31" s="372"/>
      <c r="AC31" s="372"/>
      <c r="AD31" s="372"/>
      <c r="AE31" s="371"/>
      <c r="AF31" s="375"/>
      <c r="AG31" s="372"/>
      <c r="AH31" s="372"/>
      <c r="AI31" s="372"/>
      <c r="AJ31" s="373"/>
      <c r="AK31" s="374"/>
      <c r="AL31" s="372"/>
      <c r="AM31" s="372"/>
      <c r="AN31" s="372"/>
      <c r="AO31" s="371"/>
      <c r="AP31" s="375"/>
      <c r="AQ31" s="372"/>
      <c r="AR31" s="372"/>
      <c r="AS31" s="372"/>
      <c r="AT31" s="373"/>
      <c r="AU31" s="374"/>
      <c r="AV31" s="372"/>
      <c r="AW31" s="372"/>
      <c r="AX31" s="372"/>
      <c r="AY31" s="371"/>
      <c r="AZ31" s="375"/>
      <c r="BA31" s="372"/>
      <c r="BB31" s="372"/>
      <c r="BC31" s="372"/>
      <c r="BD31" s="373"/>
      <c r="BE31" s="374"/>
      <c r="BF31" s="372"/>
      <c r="BG31" s="372"/>
      <c r="BH31" s="372"/>
      <c r="BI31" s="371"/>
      <c r="BJ31" s="375"/>
      <c r="BK31" s="372"/>
      <c r="BL31" s="372"/>
      <c r="BM31" s="372"/>
      <c r="BN31" s="373"/>
      <c r="BO31" s="374"/>
      <c r="BP31" s="372"/>
      <c r="BQ31" s="372"/>
      <c r="BR31" s="372"/>
      <c r="BS31" s="371"/>
      <c r="BT31" s="375"/>
      <c r="BU31" s="372"/>
      <c r="BV31" s="372"/>
      <c r="BW31" s="372"/>
      <c r="BX31" s="373"/>
      <c r="BY31" s="374"/>
      <c r="BZ31" s="372"/>
      <c r="CA31" s="372"/>
      <c r="CB31" s="372"/>
      <c r="CC31" s="371"/>
      <c r="CD31" s="375"/>
      <c r="CE31" s="372"/>
      <c r="CF31" s="372"/>
      <c r="CG31" s="372"/>
      <c r="CH31" s="371"/>
      <c r="CI31" s="375"/>
      <c r="CJ31" s="372"/>
      <c r="CK31" s="372"/>
      <c r="CL31" s="372"/>
      <c r="CM31" s="373"/>
    </row>
    <row r="32" spans="1:118" ht="25.5" customHeight="1">
      <c r="A32" s="386">
        <v>3875</v>
      </c>
      <c r="B32" s="387" t="s">
        <v>11</v>
      </c>
      <c r="C32" s="387" t="s">
        <v>44</v>
      </c>
      <c r="D32" s="387" t="s">
        <v>76</v>
      </c>
      <c r="E32" s="372" t="s">
        <v>53</v>
      </c>
      <c r="F32" s="387"/>
      <c r="G32" s="372" t="s">
        <v>318</v>
      </c>
      <c r="H32" s="371" t="s">
        <v>54</v>
      </c>
      <c r="I32" s="375"/>
      <c r="J32" s="372"/>
      <c r="K32" s="373"/>
      <c r="L32" s="388" t="s">
        <v>78</v>
      </c>
      <c r="M32" s="387" t="s">
        <v>77</v>
      </c>
      <c r="N32" s="387"/>
      <c r="O32" s="387" t="s">
        <v>77</v>
      </c>
      <c r="P32" s="389" t="s">
        <v>77</v>
      </c>
      <c r="Q32" s="388"/>
      <c r="R32" s="387"/>
      <c r="S32" s="387"/>
      <c r="T32" s="387"/>
      <c r="U32" s="390" t="s">
        <v>80</v>
      </c>
      <c r="V32" s="386"/>
      <c r="W32" s="372"/>
      <c r="X32" s="372"/>
      <c r="Y32" s="372"/>
      <c r="Z32" s="373"/>
      <c r="AA32" s="374"/>
      <c r="AB32" s="372"/>
      <c r="AC32" s="372"/>
      <c r="AD32" s="372"/>
      <c r="AE32" s="371"/>
      <c r="AF32" s="375"/>
      <c r="AG32" s="372"/>
      <c r="AH32" s="372"/>
      <c r="AI32" s="372"/>
      <c r="AJ32" s="373"/>
      <c r="AK32" s="374"/>
      <c r="AL32" s="372"/>
      <c r="AM32" s="372"/>
      <c r="AN32" s="372"/>
      <c r="AO32" s="371"/>
      <c r="AP32" s="375"/>
      <c r="AQ32" s="372"/>
      <c r="AR32" s="372"/>
      <c r="AS32" s="372"/>
      <c r="AT32" s="373"/>
      <c r="AU32" s="374"/>
      <c r="AV32" s="372"/>
      <c r="AW32" s="372"/>
      <c r="AX32" s="372"/>
      <c r="AY32" s="371"/>
      <c r="AZ32" s="375"/>
      <c r="BA32" s="372"/>
      <c r="BB32" s="372"/>
      <c r="BC32" s="372"/>
      <c r="BD32" s="373"/>
      <c r="BE32" s="374"/>
      <c r="BF32" s="372"/>
      <c r="BG32" s="372"/>
      <c r="BH32" s="372"/>
      <c r="BI32" s="371"/>
      <c r="BJ32" s="375"/>
      <c r="BK32" s="372"/>
      <c r="BL32" s="372"/>
      <c r="BM32" s="372"/>
      <c r="BN32" s="373"/>
      <c r="BO32" s="374"/>
      <c r="BP32" s="372"/>
      <c r="BQ32" s="372"/>
      <c r="BR32" s="372"/>
      <c r="BS32" s="371"/>
      <c r="BT32" s="375"/>
      <c r="BU32" s="372"/>
      <c r="BV32" s="372"/>
      <c r="BW32" s="372"/>
      <c r="BX32" s="373"/>
      <c r="BY32" s="374"/>
      <c r="BZ32" s="372"/>
      <c r="CA32" s="372"/>
      <c r="CB32" s="372"/>
      <c r="CC32" s="371"/>
      <c r="CD32" s="375"/>
      <c r="CE32" s="372"/>
      <c r="CF32" s="372"/>
      <c r="CG32" s="372"/>
      <c r="CH32" s="371"/>
      <c r="CI32" s="375"/>
      <c r="CJ32" s="372"/>
      <c r="CK32" s="372"/>
      <c r="CL32" s="372"/>
      <c r="CM32" s="373"/>
    </row>
    <row r="33" spans="1:91" ht="25.5" customHeight="1">
      <c r="A33" s="386">
        <v>3876</v>
      </c>
      <c r="B33" s="387" t="s">
        <v>11</v>
      </c>
      <c r="C33" s="387" t="s">
        <v>44</v>
      </c>
      <c r="D33" s="387" t="s">
        <v>76</v>
      </c>
      <c r="E33" s="372" t="s">
        <v>53</v>
      </c>
      <c r="F33" s="387"/>
      <c r="G33" s="372" t="s">
        <v>320</v>
      </c>
      <c r="H33" s="371" t="s">
        <v>54</v>
      </c>
      <c r="I33" s="375"/>
      <c r="J33" s="372"/>
      <c r="K33" s="373"/>
      <c r="L33" s="388" t="s">
        <v>78</v>
      </c>
      <c r="M33" s="387" t="s">
        <v>77</v>
      </c>
      <c r="N33" s="387"/>
      <c r="O33" s="387" t="s">
        <v>77</v>
      </c>
      <c r="P33" s="389" t="s">
        <v>77</v>
      </c>
      <c r="Q33" s="388"/>
      <c r="R33" s="387"/>
      <c r="S33" s="387"/>
      <c r="T33" s="387"/>
      <c r="U33" s="390" t="s">
        <v>80</v>
      </c>
      <c r="V33" s="386"/>
      <c r="W33" s="372"/>
      <c r="X33" s="372"/>
      <c r="Y33" s="372"/>
      <c r="Z33" s="373"/>
      <c r="AA33" s="374"/>
      <c r="AB33" s="372"/>
      <c r="AC33" s="372"/>
      <c r="AD33" s="372"/>
      <c r="AE33" s="371"/>
      <c r="AF33" s="375"/>
      <c r="AG33" s="372"/>
      <c r="AH33" s="372"/>
      <c r="AI33" s="372"/>
      <c r="AJ33" s="373"/>
      <c r="AK33" s="374"/>
      <c r="AL33" s="372"/>
      <c r="AM33" s="372"/>
      <c r="AN33" s="372"/>
      <c r="AO33" s="371"/>
      <c r="AP33" s="375"/>
      <c r="AQ33" s="372"/>
      <c r="AR33" s="372"/>
      <c r="AS33" s="372"/>
      <c r="AT33" s="373"/>
      <c r="AU33" s="374"/>
      <c r="AV33" s="372"/>
      <c r="AW33" s="372"/>
      <c r="AX33" s="372"/>
      <c r="AY33" s="371"/>
      <c r="AZ33" s="375"/>
      <c r="BA33" s="372"/>
      <c r="BB33" s="372"/>
      <c r="BC33" s="372"/>
      <c r="BD33" s="373"/>
      <c r="BE33" s="374"/>
      <c r="BF33" s="372"/>
      <c r="BG33" s="372"/>
      <c r="BH33" s="372"/>
      <c r="BI33" s="371"/>
      <c r="BJ33" s="375"/>
      <c r="BK33" s="372"/>
      <c r="BL33" s="372"/>
      <c r="BM33" s="372"/>
      <c r="BN33" s="373"/>
      <c r="BO33" s="374"/>
      <c r="BP33" s="372"/>
      <c r="BQ33" s="372"/>
      <c r="BR33" s="372"/>
      <c r="BS33" s="371"/>
      <c r="BT33" s="375"/>
      <c r="BU33" s="372"/>
      <c r="BV33" s="372"/>
      <c r="BW33" s="372"/>
      <c r="BX33" s="373"/>
      <c r="BY33" s="374"/>
      <c r="BZ33" s="372"/>
      <c r="CA33" s="372"/>
      <c r="CB33" s="372"/>
      <c r="CC33" s="371"/>
      <c r="CD33" s="375"/>
      <c r="CE33" s="372"/>
      <c r="CF33" s="372"/>
      <c r="CG33" s="372"/>
      <c r="CH33" s="371"/>
      <c r="CI33" s="375"/>
      <c r="CJ33" s="372"/>
      <c r="CK33" s="372"/>
      <c r="CL33" s="372"/>
      <c r="CM33" s="373"/>
    </row>
    <row r="34" spans="1:91" ht="25.5" customHeight="1" thickBot="1">
      <c r="A34" s="411">
        <v>3877</v>
      </c>
      <c r="B34" s="412" t="s">
        <v>11</v>
      </c>
      <c r="C34" s="412" t="s">
        <v>44</v>
      </c>
      <c r="D34" s="412" t="s">
        <v>76</v>
      </c>
      <c r="E34" s="377" t="s">
        <v>53</v>
      </c>
      <c r="F34" s="412"/>
      <c r="G34" s="377" t="s">
        <v>322</v>
      </c>
      <c r="H34" s="376" t="s">
        <v>54</v>
      </c>
      <c r="I34" s="380"/>
      <c r="J34" s="377"/>
      <c r="K34" s="378"/>
      <c r="L34" s="413" t="s">
        <v>78</v>
      </c>
      <c r="M34" s="412" t="s">
        <v>77</v>
      </c>
      <c r="N34" s="412"/>
      <c r="O34" s="412" t="s">
        <v>77</v>
      </c>
      <c r="P34" s="414" t="s">
        <v>77</v>
      </c>
      <c r="Q34" s="413"/>
      <c r="R34" s="412"/>
      <c r="S34" s="412"/>
      <c r="T34" s="412"/>
      <c r="U34" s="415" t="s">
        <v>80</v>
      </c>
      <c r="V34" s="411"/>
      <c r="W34" s="377"/>
      <c r="X34" s="377"/>
      <c r="Y34" s="377"/>
      <c r="Z34" s="378"/>
      <c r="AA34" s="379"/>
      <c r="AB34" s="377"/>
      <c r="AC34" s="377"/>
      <c r="AD34" s="377"/>
      <c r="AE34" s="376"/>
      <c r="AF34" s="380"/>
      <c r="AG34" s="377"/>
      <c r="AH34" s="377"/>
      <c r="AI34" s="377"/>
      <c r="AJ34" s="378"/>
      <c r="AK34" s="379"/>
      <c r="AL34" s="377"/>
      <c r="AM34" s="377"/>
      <c r="AN34" s="377"/>
      <c r="AO34" s="376"/>
      <c r="AP34" s="380"/>
      <c r="AQ34" s="377"/>
      <c r="AR34" s="377"/>
      <c r="AS34" s="377"/>
      <c r="AT34" s="378"/>
      <c r="AU34" s="379"/>
      <c r="AV34" s="377"/>
      <c r="AW34" s="377"/>
      <c r="AX34" s="377"/>
      <c r="AY34" s="376"/>
      <c r="AZ34" s="380"/>
      <c r="BA34" s="377"/>
      <c r="BB34" s="377"/>
      <c r="BC34" s="377"/>
      <c r="BD34" s="378"/>
      <c r="BE34" s="379"/>
      <c r="BF34" s="377"/>
      <c r="BG34" s="377"/>
      <c r="BH34" s="377"/>
      <c r="BI34" s="376"/>
      <c r="BJ34" s="380"/>
      <c r="BK34" s="377"/>
      <c r="BL34" s="377"/>
      <c r="BM34" s="377"/>
      <c r="BN34" s="378"/>
      <c r="BO34" s="379"/>
      <c r="BP34" s="377"/>
      <c r="BQ34" s="377"/>
      <c r="BR34" s="377"/>
      <c r="BS34" s="376"/>
      <c r="BT34" s="380"/>
      <c r="BU34" s="377"/>
      <c r="BV34" s="377"/>
      <c r="BW34" s="377"/>
      <c r="BX34" s="378"/>
      <c r="BY34" s="379"/>
      <c r="BZ34" s="377"/>
      <c r="CA34" s="377"/>
      <c r="CB34" s="377"/>
      <c r="CC34" s="376"/>
      <c r="CD34" s="380"/>
      <c r="CE34" s="377"/>
      <c r="CF34" s="377"/>
      <c r="CG34" s="377"/>
      <c r="CH34" s="376"/>
      <c r="CI34" s="380"/>
      <c r="CJ34" s="377"/>
      <c r="CK34" s="377"/>
      <c r="CL34" s="377"/>
      <c r="CM34" s="378"/>
    </row>
    <row r="35" spans="1:91" ht="25.5" customHeight="1">
      <c r="A35" s="416">
        <v>3878</v>
      </c>
      <c r="B35" s="417" t="s">
        <v>11</v>
      </c>
      <c r="C35" s="417" t="s">
        <v>44</v>
      </c>
      <c r="D35" s="417" t="s">
        <v>76</v>
      </c>
      <c r="E35" s="381" t="s">
        <v>53</v>
      </c>
      <c r="F35" s="417"/>
      <c r="G35" s="381" t="s">
        <v>324</v>
      </c>
      <c r="H35" s="384" t="s">
        <v>54</v>
      </c>
      <c r="I35" s="385"/>
      <c r="J35" s="381"/>
      <c r="K35" s="382"/>
      <c r="L35" s="418" t="s">
        <v>78</v>
      </c>
      <c r="M35" s="417" t="s">
        <v>77</v>
      </c>
      <c r="N35" s="417"/>
      <c r="O35" s="417" t="s">
        <v>77</v>
      </c>
      <c r="P35" s="419" t="s">
        <v>77</v>
      </c>
      <c r="Q35" s="418"/>
      <c r="R35" s="417"/>
      <c r="S35" s="417"/>
      <c r="T35" s="417"/>
      <c r="U35" s="420" t="s">
        <v>80</v>
      </c>
      <c r="V35" s="416"/>
      <c r="W35" s="381"/>
      <c r="X35" s="381"/>
      <c r="Y35" s="381"/>
      <c r="Z35" s="382"/>
      <c r="AA35" s="383"/>
      <c r="AB35" s="381"/>
      <c r="AC35" s="381"/>
      <c r="AD35" s="381"/>
      <c r="AE35" s="384"/>
      <c r="AF35" s="385"/>
      <c r="AG35" s="381"/>
      <c r="AH35" s="381"/>
      <c r="AI35" s="381"/>
      <c r="AJ35" s="382"/>
      <c r="AK35" s="383"/>
      <c r="AL35" s="381"/>
      <c r="AM35" s="381"/>
      <c r="AN35" s="381"/>
      <c r="AO35" s="384"/>
      <c r="AP35" s="385"/>
      <c r="AQ35" s="381"/>
      <c r="AR35" s="381"/>
      <c r="AS35" s="381"/>
      <c r="AT35" s="382"/>
      <c r="AU35" s="383"/>
      <c r="AV35" s="381"/>
      <c r="AW35" s="381"/>
      <c r="AX35" s="381"/>
      <c r="AY35" s="384"/>
      <c r="AZ35" s="385"/>
      <c r="BA35" s="381"/>
      <c r="BB35" s="381"/>
      <c r="BC35" s="381"/>
      <c r="BD35" s="382"/>
      <c r="BE35" s="383"/>
      <c r="BF35" s="381"/>
      <c r="BG35" s="381"/>
      <c r="BH35" s="381"/>
      <c r="BI35" s="384"/>
      <c r="BJ35" s="385"/>
      <c r="BK35" s="381"/>
      <c r="BL35" s="381"/>
      <c r="BM35" s="381"/>
      <c r="BN35" s="382"/>
      <c r="BO35" s="383"/>
      <c r="BP35" s="381"/>
      <c r="BQ35" s="381"/>
      <c r="BR35" s="381"/>
      <c r="BS35" s="384"/>
      <c r="BT35" s="385"/>
      <c r="BU35" s="381"/>
      <c r="BV35" s="381"/>
      <c r="BW35" s="381"/>
      <c r="BX35" s="382"/>
      <c r="BY35" s="383"/>
      <c r="BZ35" s="381"/>
      <c r="CA35" s="381"/>
      <c r="CB35" s="381"/>
      <c r="CC35" s="384"/>
      <c r="CD35" s="385"/>
      <c r="CE35" s="381"/>
      <c r="CF35" s="381"/>
      <c r="CG35" s="381"/>
      <c r="CH35" s="384"/>
      <c r="CI35" s="385"/>
      <c r="CJ35" s="381"/>
      <c r="CK35" s="381"/>
      <c r="CL35" s="381"/>
      <c r="CM35" s="382"/>
    </row>
    <row r="36" spans="1:91" ht="25.5" customHeight="1">
      <c r="A36" s="386">
        <v>3879</v>
      </c>
      <c r="B36" s="387" t="s">
        <v>11</v>
      </c>
      <c r="C36" s="387" t="s">
        <v>44</v>
      </c>
      <c r="D36" s="387" t="s">
        <v>76</v>
      </c>
      <c r="E36" s="372" t="s">
        <v>53</v>
      </c>
      <c r="F36" s="387"/>
      <c r="G36" s="372" t="s">
        <v>326</v>
      </c>
      <c r="H36" s="371" t="s">
        <v>54</v>
      </c>
      <c r="I36" s="375"/>
      <c r="J36" s="372"/>
      <c r="K36" s="373"/>
      <c r="L36" s="388" t="s">
        <v>78</v>
      </c>
      <c r="M36" s="387" t="s">
        <v>77</v>
      </c>
      <c r="N36" s="387"/>
      <c r="O36" s="387" t="s">
        <v>77</v>
      </c>
      <c r="P36" s="389" t="s">
        <v>77</v>
      </c>
      <c r="Q36" s="388"/>
      <c r="R36" s="387"/>
      <c r="S36" s="387"/>
      <c r="T36" s="387"/>
      <c r="U36" s="390" t="s">
        <v>80</v>
      </c>
      <c r="V36" s="386"/>
      <c r="W36" s="372"/>
      <c r="X36" s="372"/>
      <c r="Y36" s="372"/>
      <c r="Z36" s="373"/>
      <c r="AA36" s="374"/>
      <c r="AB36" s="372"/>
      <c r="AC36" s="372"/>
      <c r="AD36" s="372"/>
      <c r="AE36" s="371"/>
      <c r="AF36" s="375"/>
      <c r="AG36" s="372"/>
      <c r="AH36" s="372"/>
      <c r="AI36" s="372"/>
      <c r="AJ36" s="373"/>
      <c r="AK36" s="374"/>
      <c r="AL36" s="372"/>
      <c r="AM36" s="372"/>
      <c r="AN36" s="372"/>
      <c r="AO36" s="371"/>
      <c r="AP36" s="375"/>
      <c r="AQ36" s="372"/>
      <c r="AR36" s="372"/>
      <c r="AS36" s="372"/>
      <c r="AT36" s="373"/>
      <c r="AU36" s="374"/>
      <c r="AV36" s="372"/>
      <c r="AW36" s="372"/>
      <c r="AX36" s="372"/>
      <c r="AY36" s="371"/>
      <c r="AZ36" s="375"/>
      <c r="BA36" s="372"/>
      <c r="BB36" s="372"/>
      <c r="BC36" s="372"/>
      <c r="BD36" s="373"/>
      <c r="BE36" s="374"/>
      <c r="BF36" s="372"/>
      <c r="BG36" s="372"/>
      <c r="BH36" s="372"/>
      <c r="BI36" s="371"/>
      <c r="BJ36" s="375"/>
      <c r="BK36" s="372"/>
      <c r="BL36" s="372"/>
      <c r="BM36" s="372"/>
      <c r="BN36" s="373"/>
      <c r="BO36" s="374"/>
      <c r="BP36" s="372"/>
      <c r="BQ36" s="372"/>
      <c r="BR36" s="372"/>
      <c r="BS36" s="371"/>
      <c r="BT36" s="375"/>
      <c r="BU36" s="372"/>
      <c r="BV36" s="372"/>
      <c r="BW36" s="372"/>
      <c r="BX36" s="373"/>
      <c r="BY36" s="374"/>
      <c r="BZ36" s="372"/>
      <c r="CA36" s="372"/>
      <c r="CB36" s="372"/>
      <c r="CC36" s="371"/>
      <c r="CD36" s="375"/>
      <c r="CE36" s="372"/>
      <c r="CF36" s="372"/>
      <c r="CG36" s="372"/>
      <c r="CH36" s="371"/>
      <c r="CI36" s="375"/>
      <c r="CJ36" s="372"/>
      <c r="CK36" s="372"/>
      <c r="CL36" s="372"/>
      <c r="CM36" s="373"/>
    </row>
    <row r="37" spans="1:91" ht="25.5" customHeight="1">
      <c r="A37" s="386">
        <v>3880</v>
      </c>
      <c r="B37" s="387" t="s">
        <v>11</v>
      </c>
      <c r="C37" s="387" t="s">
        <v>44</v>
      </c>
      <c r="D37" s="387" t="s">
        <v>76</v>
      </c>
      <c r="E37" s="372" t="s">
        <v>53</v>
      </c>
      <c r="F37" s="387"/>
      <c r="G37" s="372" t="s">
        <v>328</v>
      </c>
      <c r="H37" s="371" t="s">
        <v>54</v>
      </c>
      <c r="I37" s="375"/>
      <c r="J37" s="372"/>
      <c r="K37" s="373"/>
      <c r="L37" s="388" t="s">
        <v>78</v>
      </c>
      <c r="M37" s="387" t="s">
        <v>77</v>
      </c>
      <c r="N37" s="387"/>
      <c r="O37" s="387" t="s">
        <v>77</v>
      </c>
      <c r="P37" s="389" t="s">
        <v>77</v>
      </c>
      <c r="Q37" s="388"/>
      <c r="R37" s="387"/>
      <c r="S37" s="387"/>
      <c r="T37" s="387"/>
      <c r="U37" s="390" t="s">
        <v>80</v>
      </c>
      <c r="V37" s="386"/>
      <c r="W37" s="372"/>
      <c r="X37" s="372"/>
      <c r="Y37" s="372"/>
      <c r="Z37" s="373"/>
      <c r="AA37" s="374"/>
      <c r="AB37" s="372"/>
      <c r="AC37" s="372"/>
      <c r="AD37" s="372"/>
      <c r="AE37" s="371"/>
      <c r="AF37" s="375"/>
      <c r="AG37" s="372"/>
      <c r="AH37" s="372"/>
      <c r="AI37" s="372"/>
      <c r="AJ37" s="373"/>
      <c r="AK37" s="374"/>
      <c r="AL37" s="372"/>
      <c r="AM37" s="372"/>
      <c r="AN37" s="372"/>
      <c r="AO37" s="371"/>
      <c r="AP37" s="375"/>
      <c r="AQ37" s="372"/>
      <c r="AR37" s="372"/>
      <c r="AS37" s="372"/>
      <c r="AT37" s="373"/>
      <c r="AU37" s="374"/>
      <c r="AV37" s="372"/>
      <c r="AW37" s="372"/>
      <c r="AX37" s="372"/>
      <c r="AY37" s="371"/>
      <c r="AZ37" s="375"/>
      <c r="BA37" s="372"/>
      <c r="BB37" s="372"/>
      <c r="BC37" s="372"/>
      <c r="BD37" s="373"/>
      <c r="BE37" s="374"/>
      <c r="BF37" s="372"/>
      <c r="BG37" s="372"/>
      <c r="BH37" s="372"/>
      <c r="BI37" s="371"/>
      <c r="BJ37" s="375"/>
      <c r="BK37" s="372"/>
      <c r="BL37" s="372"/>
      <c r="BM37" s="372"/>
      <c r="BN37" s="373"/>
      <c r="BO37" s="374"/>
      <c r="BP37" s="372"/>
      <c r="BQ37" s="372"/>
      <c r="BR37" s="372"/>
      <c r="BS37" s="371"/>
      <c r="BT37" s="375"/>
      <c r="BU37" s="372"/>
      <c r="BV37" s="372"/>
      <c r="BW37" s="372"/>
      <c r="BX37" s="373"/>
      <c r="BY37" s="374"/>
      <c r="BZ37" s="372"/>
      <c r="CA37" s="372"/>
      <c r="CB37" s="372"/>
      <c r="CC37" s="371"/>
      <c r="CD37" s="375"/>
      <c r="CE37" s="372"/>
      <c r="CF37" s="372"/>
      <c r="CG37" s="372"/>
      <c r="CH37" s="371"/>
      <c r="CI37" s="375"/>
      <c r="CJ37" s="372"/>
      <c r="CK37" s="372"/>
      <c r="CL37" s="372"/>
      <c r="CM37" s="373"/>
    </row>
    <row r="38" spans="1:91" ht="25.5" customHeight="1">
      <c r="A38" s="386">
        <v>3881</v>
      </c>
      <c r="B38" s="387" t="s">
        <v>11</v>
      </c>
      <c r="C38" s="387" t="s">
        <v>44</v>
      </c>
      <c r="D38" s="387" t="s">
        <v>76</v>
      </c>
      <c r="E38" s="372" t="s">
        <v>53</v>
      </c>
      <c r="F38" s="387"/>
      <c r="G38" s="372" t="s">
        <v>330</v>
      </c>
      <c r="H38" s="371" t="s">
        <v>54</v>
      </c>
      <c r="I38" s="375"/>
      <c r="J38" s="372"/>
      <c r="K38" s="373"/>
      <c r="L38" s="388" t="s">
        <v>78</v>
      </c>
      <c r="M38" s="387" t="s">
        <v>77</v>
      </c>
      <c r="N38" s="387"/>
      <c r="O38" s="387" t="s">
        <v>77</v>
      </c>
      <c r="P38" s="389" t="s">
        <v>77</v>
      </c>
      <c r="Q38" s="388"/>
      <c r="R38" s="387"/>
      <c r="S38" s="387"/>
      <c r="T38" s="387"/>
      <c r="U38" s="390" t="s">
        <v>80</v>
      </c>
      <c r="V38" s="386"/>
      <c r="W38" s="372"/>
      <c r="X38" s="372"/>
      <c r="Y38" s="372"/>
      <c r="Z38" s="373"/>
      <c r="AA38" s="374"/>
      <c r="AB38" s="372"/>
      <c r="AC38" s="372"/>
      <c r="AD38" s="372"/>
      <c r="AE38" s="371"/>
      <c r="AF38" s="375"/>
      <c r="AG38" s="372"/>
      <c r="AH38" s="372"/>
      <c r="AI38" s="372"/>
      <c r="AJ38" s="373"/>
      <c r="AK38" s="374"/>
      <c r="AL38" s="372"/>
      <c r="AM38" s="372"/>
      <c r="AN38" s="372"/>
      <c r="AO38" s="371"/>
      <c r="AP38" s="375"/>
      <c r="AQ38" s="372"/>
      <c r="AR38" s="372"/>
      <c r="AS38" s="372"/>
      <c r="AT38" s="373"/>
      <c r="AU38" s="374"/>
      <c r="AV38" s="372"/>
      <c r="AW38" s="372"/>
      <c r="AX38" s="372"/>
      <c r="AY38" s="371"/>
      <c r="AZ38" s="375"/>
      <c r="BA38" s="372"/>
      <c r="BB38" s="372"/>
      <c r="BC38" s="372"/>
      <c r="BD38" s="373"/>
      <c r="BE38" s="374"/>
      <c r="BF38" s="372"/>
      <c r="BG38" s="372"/>
      <c r="BH38" s="372"/>
      <c r="BI38" s="371"/>
      <c r="BJ38" s="375"/>
      <c r="BK38" s="372"/>
      <c r="BL38" s="372"/>
      <c r="BM38" s="372"/>
      <c r="BN38" s="373"/>
      <c r="BO38" s="374"/>
      <c r="BP38" s="372"/>
      <c r="BQ38" s="372"/>
      <c r="BR38" s="372"/>
      <c r="BS38" s="371"/>
      <c r="BT38" s="375"/>
      <c r="BU38" s="372"/>
      <c r="BV38" s="372"/>
      <c r="BW38" s="372"/>
      <c r="BX38" s="373"/>
      <c r="BY38" s="374"/>
      <c r="BZ38" s="372"/>
      <c r="CA38" s="372"/>
      <c r="CB38" s="372"/>
      <c r="CC38" s="371"/>
      <c r="CD38" s="375"/>
      <c r="CE38" s="372"/>
      <c r="CF38" s="372"/>
      <c r="CG38" s="372"/>
      <c r="CH38" s="371"/>
      <c r="CI38" s="375"/>
      <c r="CJ38" s="372"/>
      <c r="CK38" s="372"/>
      <c r="CL38" s="372"/>
      <c r="CM38" s="373"/>
    </row>
    <row r="39" spans="1:91" ht="25.5" customHeight="1" thickBot="1">
      <c r="A39" s="391">
        <v>3882</v>
      </c>
      <c r="B39" s="392" t="s">
        <v>11</v>
      </c>
      <c r="C39" s="392" t="s">
        <v>44</v>
      </c>
      <c r="D39" s="392" t="s">
        <v>76</v>
      </c>
      <c r="E39" s="393" t="s">
        <v>53</v>
      </c>
      <c r="F39" s="392"/>
      <c r="G39" s="393" t="s">
        <v>332</v>
      </c>
      <c r="H39" s="394" t="s">
        <v>54</v>
      </c>
      <c r="I39" s="395"/>
      <c r="J39" s="393"/>
      <c r="K39" s="396"/>
      <c r="L39" s="397" t="s">
        <v>78</v>
      </c>
      <c r="M39" s="392" t="s">
        <v>77</v>
      </c>
      <c r="N39" s="392"/>
      <c r="O39" s="392" t="s">
        <v>77</v>
      </c>
      <c r="P39" s="398" t="s">
        <v>77</v>
      </c>
      <c r="Q39" s="397"/>
      <c r="R39" s="392"/>
      <c r="S39" s="392"/>
      <c r="T39" s="392"/>
      <c r="U39" s="399" t="s">
        <v>80</v>
      </c>
      <c r="V39" s="391"/>
      <c r="W39" s="393"/>
      <c r="X39" s="393"/>
      <c r="Y39" s="393"/>
      <c r="Z39" s="396"/>
      <c r="AA39" s="400"/>
      <c r="AB39" s="393"/>
      <c r="AC39" s="393"/>
      <c r="AD39" s="393"/>
      <c r="AE39" s="394"/>
      <c r="AF39" s="395"/>
      <c r="AG39" s="393"/>
      <c r="AH39" s="393"/>
      <c r="AI39" s="393"/>
      <c r="AJ39" s="396"/>
      <c r="AK39" s="400"/>
      <c r="AL39" s="393"/>
      <c r="AM39" s="393"/>
      <c r="AN39" s="393"/>
      <c r="AO39" s="394"/>
      <c r="AP39" s="395"/>
      <c r="AQ39" s="393"/>
      <c r="AR39" s="393"/>
      <c r="AS39" s="393"/>
      <c r="AT39" s="396"/>
      <c r="AU39" s="400"/>
      <c r="AV39" s="393"/>
      <c r="AW39" s="393"/>
      <c r="AX39" s="393"/>
      <c r="AY39" s="394"/>
      <c r="AZ39" s="395"/>
      <c r="BA39" s="393"/>
      <c r="BB39" s="393"/>
      <c r="BC39" s="393"/>
      <c r="BD39" s="396"/>
      <c r="BE39" s="400"/>
      <c r="BF39" s="393"/>
      <c r="BG39" s="393"/>
      <c r="BH39" s="393"/>
      <c r="BI39" s="394"/>
      <c r="BJ39" s="395"/>
      <c r="BK39" s="393"/>
      <c r="BL39" s="393"/>
      <c r="BM39" s="393"/>
      <c r="BN39" s="396"/>
      <c r="BO39" s="400"/>
      <c r="BP39" s="393"/>
      <c r="BQ39" s="393"/>
      <c r="BR39" s="393"/>
      <c r="BS39" s="394"/>
      <c r="BT39" s="395"/>
      <c r="BU39" s="393"/>
      <c r="BV39" s="393"/>
      <c r="BW39" s="393"/>
      <c r="BX39" s="396"/>
      <c r="BY39" s="400"/>
      <c r="BZ39" s="393"/>
      <c r="CA39" s="393"/>
      <c r="CB39" s="393"/>
      <c r="CC39" s="394"/>
      <c r="CD39" s="395"/>
      <c r="CE39" s="393"/>
      <c r="CF39" s="393"/>
      <c r="CG39" s="393"/>
      <c r="CH39" s="394"/>
      <c r="CI39" s="395"/>
      <c r="CJ39" s="393"/>
      <c r="CK39" s="393"/>
      <c r="CL39" s="393"/>
      <c r="CM39" s="396"/>
    </row>
    <row r="40" spans="1:91" ht="25.5" customHeight="1">
      <c r="A40" s="401">
        <v>3883</v>
      </c>
      <c r="B40" s="402" t="s">
        <v>11</v>
      </c>
      <c r="C40" s="402" t="s">
        <v>44</v>
      </c>
      <c r="D40" s="402" t="s">
        <v>76</v>
      </c>
      <c r="E40" s="403" t="s">
        <v>53</v>
      </c>
      <c r="F40" s="402"/>
      <c r="G40" s="403" t="s">
        <v>334</v>
      </c>
      <c r="H40" s="404" t="s">
        <v>54</v>
      </c>
      <c r="I40" s="405"/>
      <c r="J40" s="403"/>
      <c r="K40" s="406"/>
      <c r="L40" s="407" t="s">
        <v>78</v>
      </c>
      <c r="M40" s="402" t="s">
        <v>77</v>
      </c>
      <c r="N40" s="402"/>
      <c r="O40" s="402" t="s">
        <v>77</v>
      </c>
      <c r="P40" s="408" t="s">
        <v>77</v>
      </c>
      <c r="Q40" s="407"/>
      <c r="R40" s="402"/>
      <c r="S40" s="402"/>
      <c r="T40" s="402"/>
      <c r="U40" s="409" t="s">
        <v>80</v>
      </c>
      <c r="V40" s="401"/>
      <c r="W40" s="403"/>
      <c r="X40" s="403"/>
      <c r="Y40" s="403"/>
      <c r="Z40" s="406"/>
      <c r="AA40" s="410"/>
      <c r="AB40" s="403"/>
      <c r="AC40" s="403"/>
      <c r="AD40" s="403"/>
      <c r="AE40" s="404"/>
      <c r="AF40" s="405"/>
      <c r="AG40" s="403"/>
      <c r="AH40" s="403"/>
      <c r="AI40" s="403"/>
      <c r="AJ40" s="406"/>
      <c r="AK40" s="410"/>
      <c r="AL40" s="403"/>
      <c r="AM40" s="403"/>
      <c r="AN40" s="403"/>
      <c r="AO40" s="404"/>
      <c r="AP40" s="405"/>
      <c r="AQ40" s="403"/>
      <c r="AR40" s="403"/>
      <c r="AS40" s="403"/>
      <c r="AT40" s="406"/>
      <c r="AU40" s="410"/>
      <c r="AV40" s="403"/>
      <c r="AW40" s="403"/>
      <c r="AX40" s="403"/>
      <c r="AY40" s="404"/>
      <c r="AZ40" s="405"/>
      <c r="BA40" s="403"/>
      <c r="BB40" s="403"/>
      <c r="BC40" s="403"/>
      <c r="BD40" s="406"/>
      <c r="BE40" s="410"/>
      <c r="BF40" s="403"/>
      <c r="BG40" s="403"/>
      <c r="BH40" s="403"/>
      <c r="BI40" s="404"/>
      <c r="BJ40" s="405"/>
      <c r="BK40" s="403"/>
      <c r="BL40" s="403"/>
      <c r="BM40" s="403"/>
      <c r="BN40" s="406"/>
      <c r="BO40" s="410"/>
      <c r="BP40" s="403"/>
      <c r="BQ40" s="403"/>
      <c r="BR40" s="403"/>
      <c r="BS40" s="404"/>
      <c r="BT40" s="405"/>
      <c r="BU40" s="403"/>
      <c r="BV40" s="403"/>
      <c r="BW40" s="403"/>
      <c r="BX40" s="406"/>
      <c r="BY40" s="410"/>
      <c r="BZ40" s="403"/>
      <c r="CA40" s="403"/>
      <c r="CB40" s="403"/>
      <c r="CC40" s="404"/>
      <c r="CD40" s="405"/>
      <c r="CE40" s="403"/>
      <c r="CF40" s="403"/>
      <c r="CG40" s="403"/>
      <c r="CH40" s="404"/>
      <c r="CI40" s="405"/>
      <c r="CJ40" s="403"/>
      <c r="CK40" s="403"/>
      <c r="CL40" s="403"/>
      <c r="CM40" s="406"/>
    </row>
    <row r="41" spans="1:91" ht="25.5" customHeight="1">
      <c r="A41" s="386">
        <v>3884</v>
      </c>
      <c r="B41" s="387" t="s">
        <v>11</v>
      </c>
      <c r="C41" s="387" t="s">
        <v>44</v>
      </c>
      <c r="D41" s="387" t="s">
        <v>76</v>
      </c>
      <c r="E41" s="372" t="s">
        <v>53</v>
      </c>
      <c r="F41" s="387"/>
      <c r="G41" s="372" t="s">
        <v>336</v>
      </c>
      <c r="H41" s="371" t="s">
        <v>54</v>
      </c>
      <c r="I41" s="375"/>
      <c r="J41" s="372"/>
      <c r="K41" s="373"/>
      <c r="L41" s="388" t="s">
        <v>78</v>
      </c>
      <c r="M41" s="387" t="s">
        <v>77</v>
      </c>
      <c r="N41" s="387"/>
      <c r="O41" s="387" t="s">
        <v>77</v>
      </c>
      <c r="P41" s="389" t="s">
        <v>77</v>
      </c>
      <c r="Q41" s="388"/>
      <c r="R41" s="387"/>
      <c r="S41" s="387"/>
      <c r="T41" s="387"/>
      <c r="U41" s="390" t="s">
        <v>80</v>
      </c>
      <c r="V41" s="386"/>
      <c r="W41" s="372"/>
      <c r="X41" s="372"/>
      <c r="Y41" s="372"/>
      <c r="Z41" s="373"/>
      <c r="AA41" s="374"/>
      <c r="AB41" s="372"/>
      <c r="AC41" s="372"/>
      <c r="AD41" s="372"/>
      <c r="AE41" s="371"/>
      <c r="AF41" s="375"/>
      <c r="AG41" s="372"/>
      <c r="AH41" s="372"/>
      <c r="AI41" s="372"/>
      <c r="AJ41" s="373"/>
      <c r="AK41" s="374"/>
      <c r="AL41" s="372"/>
      <c r="AM41" s="372"/>
      <c r="AN41" s="372"/>
      <c r="AO41" s="371"/>
      <c r="AP41" s="375"/>
      <c r="AQ41" s="372"/>
      <c r="AR41" s="372"/>
      <c r="AS41" s="372"/>
      <c r="AT41" s="373"/>
      <c r="AU41" s="374"/>
      <c r="AV41" s="372"/>
      <c r="AW41" s="372"/>
      <c r="AX41" s="372"/>
      <c r="AY41" s="371"/>
      <c r="AZ41" s="375"/>
      <c r="BA41" s="372"/>
      <c r="BB41" s="372"/>
      <c r="BC41" s="372"/>
      <c r="BD41" s="373"/>
      <c r="BE41" s="374"/>
      <c r="BF41" s="372"/>
      <c r="BG41" s="372"/>
      <c r="BH41" s="372"/>
      <c r="BI41" s="371"/>
      <c r="BJ41" s="375"/>
      <c r="BK41" s="372"/>
      <c r="BL41" s="372"/>
      <c r="BM41" s="372"/>
      <c r="BN41" s="373"/>
      <c r="BO41" s="374"/>
      <c r="BP41" s="372"/>
      <c r="BQ41" s="372"/>
      <c r="BR41" s="372"/>
      <c r="BS41" s="371"/>
      <c r="BT41" s="375"/>
      <c r="BU41" s="372"/>
      <c r="BV41" s="372"/>
      <c r="BW41" s="372"/>
      <c r="BX41" s="373"/>
      <c r="BY41" s="374"/>
      <c r="BZ41" s="372"/>
      <c r="CA41" s="372"/>
      <c r="CB41" s="372"/>
      <c r="CC41" s="371"/>
      <c r="CD41" s="375"/>
      <c r="CE41" s="372"/>
      <c r="CF41" s="372"/>
      <c r="CG41" s="372"/>
      <c r="CH41" s="371"/>
      <c r="CI41" s="375"/>
      <c r="CJ41" s="372"/>
      <c r="CK41" s="372"/>
      <c r="CL41" s="372"/>
      <c r="CM41" s="373"/>
    </row>
    <row r="42" spans="1:91" ht="25.5" customHeight="1">
      <c r="A42" s="386">
        <v>3885</v>
      </c>
      <c r="B42" s="387" t="s">
        <v>11</v>
      </c>
      <c r="C42" s="387" t="s">
        <v>44</v>
      </c>
      <c r="D42" s="387" t="s">
        <v>76</v>
      </c>
      <c r="E42" s="372" t="s">
        <v>53</v>
      </c>
      <c r="F42" s="387"/>
      <c r="G42" s="372" t="s">
        <v>338</v>
      </c>
      <c r="H42" s="371" t="s">
        <v>54</v>
      </c>
      <c r="I42" s="375"/>
      <c r="J42" s="372"/>
      <c r="K42" s="373"/>
      <c r="L42" s="388" t="s">
        <v>78</v>
      </c>
      <c r="M42" s="387" t="s">
        <v>77</v>
      </c>
      <c r="N42" s="387"/>
      <c r="O42" s="387" t="s">
        <v>77</v>
      </c>
      <c r="P42" s="389" t="s">
        <v>77</v>
      </c>
      <c r="Q42" s="388"/>
      <c r="R42" s="387"/>
      <c r="S42" s="387"/>
      <c r="T42" s="387"/>
      <c r="U42" s="390" t="s">
        <v>80</v>
      </c>
      <c r="V42" s="386"/>
      <c r="W42" s="372"/>
      <c r="X42" s="372"/>
      <c r="Y42" s="372"/>
      <c r="Z42" s="373"/>
      <c r="AA42" s="374"/>
      <c r="AB42" s="372"/>
      <c r="AC42" s="372"/>
      <c r="AD42" s="372"/>
      <c r="AE42" s="371"/>
      <c r="AF42" s="375"/>
      <c r="AG42" s="372"/>
      <c r="AH42" s="372"/>
      <c r="AI42" s="372"/>
      <c r="AJ42" s="373"/>
      <c r="AK42" s="374"/>
      <c r="AL42" s="372"/>
      <c r="AM42" s="372"/>
      <c r="AN42" s="372"/>
      <c r="AO42" s="371"/>
      <c r="AP42" s="375"/>
      <c r="AQ42" s="372"/>
      <c r="AR42" s="372"/>
      <c r="AS42" s="372"/>
      <c r="AT42" s="373"/>
      <c r="AU42" s="374"/>
      <c r="AV42" s="372"/>
      <c r="AW42" s="372"/>
      <c r="AX42" s="372"/>
      <c r="AY42" s="371"/>
      <c r="AZ42" s="375"/>
      <c r="BA42" s="372"/>
      <c r="BB42" s="372"/>
      <c r="BC42" s="372"/>
      <c r="BD42" s="373"/>
      <c r="BE42" s="374"/>
      <c r="BF42" s="372"/>
      <c r="BG42" s="372"/>
      <c r="BH42" s="372"/>
      <c r="BI42" s="371"/>
      <c r="BJ42" s="375"/>
      <c r="BK42" s="372"/>
      <c r="BL42" s="372"/>
      <c r="BM42" s="372"/>
      <c r="BN42" s="373"/>
      <c r="BO42" s="374"/>
      <c r="BP42" s="372"/>
      <c r="BQ42" s="372"/>
      <c r="BR42" s="372"/>
      <c r="BS42" s="371"/>
      <c r="BT42" s="375"/>
      <c r="BU42" s="372"/>
      <c r="BV42" s="372"/>
      <c r="BW42" s="372"/>
      <c r="BX42" s="373"/>
      <c r="BY42" s="374"/>
      <c r="BZ42" s="372"/>
      <c r="CA42" s="372"/>
      <c r="CB42" s="372"/>
      <c r="CC42" s="371"/>
      <c r="CD42" s="375"/>
      <c r="CE42" s="372"/>
      <c r="CF42" s="372"/>
      <c r="CG42" s="372"/>
      <c r="CH42" s="371"/>
      <c r="CI42" s="375"/>
      <c r="CJ42" s="372"/>
      <c r="CK42" s="372"/>
      <c r="CL42" s="372"/>
      <c r="CM42" s="373"/>
    </row>
    <row r="43" spans="1:91" ht="25.5" customHeight="1">
      <c r="A43" s="386">
        <v>3886</v>
      </c>
      <c r="B43" s="387" t="s">
        <v>11</v>
      </c>
      <c r="C43" s="387" t="s">
        <v>44</v>
      </c>
      <c r="D43" s="387" t="s">
        <v>76</v>
      </c>
      <c r="E43" s="372" t="s">
        <v>53</v>
      </c>
      <c r="F43" s="387"/>
      <c r="G43" s="372" t="s">
        <v>340</v>
      </c>
      <c r="H43" s="371" t="s">
        <v>54</v>
      </c>
      <c r="I43" s="375"/>
      <c r="J43" s="372"/>
      <c r="K43" s="373"/>
      <c r="L43" s="388" t="s">
        <v>78</v>
      </c>
      <c r="M43" s="387" t="s">
        <v>77</v>
      </c>
      <c r="N43" s="387"/>
      <c r="O43" s="387" t="s">
        <v>77</v>
      </c>
      <c r="P43" s="389" t="s">
        <v>77</v>
      </c>
      <c r="Q43" s="388"/>
      <c r="R43" s="387"/>
      <c r="S43" s="387"/>
      <c r="T43" s="387"/>
      <c r="U43" s="390" t="s">
        <v>80</v>
      </c>
      <c r="V43" s="386"/>
      <c r="W43" s="372"/>
      <c r="X43" s="372"/>
      <c r="Y43" s="372"/>
      <c r="Z43" s="373"/>
      <c r="AA43" s="374"/>
      <c r="AB43" s="372"/>
      <c r="AC43" s="372"/>
      <c r="AD43" s="372"/>
      <c r="AE43" s="371"/>
      <c r="AF43" s="375"/>
      <c r="AG43" s="372"/>
      <c r="AH43" s="372"/>
      <c r="AI43" s="372"/>
      <c r="AJ43" s="373"/>
      <c r="AK43" s="374"/>
      <c r="AL43" s="372"/>
      <c r="AM43" s="372"/>
      <c r="AN43" s="372"/>
      <c r="AO43" s="371"/>
      <c r="AP43" s="375"/>
      <c r="AQ43" s="372"/>
      <c r="AR43" s="372"/>
      <c r="AS43" s="372"/>
      <c r="AT43" s="373"/>
      <c r="AU43" s="374"/>
      <c r="AV43" s="372"/>
      <c r="AW43" s="372"/>
      <c r="AX43" s="372"/>
      <c r="AY43" s="371"/>
      <c r="AZ43" s="375"/>
      <c r="BA43" s="372"/>
      <c r="BB43" s="372"/>
      <c r="BC43" s="372"/>
      <c r="BD43" s="373"/>
      <c r="BE43" s="374"/>
      <c r="BF43" s="372"/>
      <c r="BG43" s="372"/>
      <c r="BH43" s="372"/>
      <c r="BI43" s="371"/>
      <c r="BJ43" s="375"/>
      <c r="BK43" s="372"/>
      <c r="BL43" s="372"/>
      <c r="BM43" s="372"/>
      <c r="BN43" s="373"/>
      <c r="BO43" s="374"/>
      <c r="BP43" s="372"/>
      <c r="BQ43" s="372"/>
      <c r="BR43" s="372"/>
      <c r="BS43" s="371"/>
      <c r="BT43" s="375"/>
      <c r="BU43" s="372"/>
      <c r="BV43" s="372"/>
      <c r="BW43" s="372"/>
      <c r="BX43" s="373"/>
      <c r="BY43" s="374"/>
      <c r="BZ43" s="372"/>
      <c r="CA43" s="372"/>
      <c r="CB43" s="372"/>
      <c r="CC43" s="371"/>
      <c r="CD43" s="375"/>
      <c r="CE43" s="372"/>
      <c r="CF43" s="372"/>
      <c r="CG43" s="372"/>
      <c r="CH43" s="371"/>
      <c r="CI43" s="375"/>
      <c r="CJ43" s="372"/>
      <c r="CK43" s="372"/>
      <c r="CL43" s="372"/>
      <c r="CM43" s="373"/>
    </row>
    <row r="44" spans="1:91" ht="25.5" customHeight="1" thickBot="1">
      <c r="A44" s="411">
        <v>3887</v>
      </c>
      <c r="B44" s="412" t="s">
        <v>11</v>
      </c>
      <c r="C44" s="412" t="s">
        <v>44</v>
      </c>
      <c r="D44" s="412" t="s">
        <v>76</v>
      </c>
      <c r="E44" s="377" t="s">
        <v>53</v>
      </c>
      <c r="F44" s="412"/>
      <c r="G44" s="377" t="s">
        <v>342</v>
      </c>
      <c r="H44" s="376" t="s">
        <v>54</v>
      </c>
      <c r="I44" s="380"/>
      <c r="J44" s="377"/>
      <c r="K44" s="378"/>
      <c r="L44" s="413" t="s">
        <v>78</v>
      </c>
      <c r="M44" s="412" t="s">
        <v>77</v>
      </c>
      <c r="N44" s="412"/>
      <c r="O44" s="412" t="s">
        <v>77</v>
      </c>
      <c r="P44" s="414" t="s">
        <v>77</v>
      </c>
      <c r="Q44" s="413"/>
      <c r="R44" s="412"/>
      <c r="S44" s="412"/>
      <c r="T44" s="412"/>
      <c r="U44" s="415" t="s">
        <v>80</v>
      </c>
      <c r="V44" s="411"/>
      <c r="W44" s="377"/>
      <c r="X44" s="377"/>
      <c r="Y44" s="377"/>
      <c r="Z44" s="378"/>
      <c r="AA44" s="379"/>
      <c r="AB44" s="377"/>
      <c r="AC44" s="377"/>
      <c r="AD44" s="377"/>
      <c r="AE44" s="376"/>
      <c r="AF44" s="380"/>
      <c r="AG44" s="377"/>
      <c r="AH44" s="377"/>
      <c r="AI44" s="377"/>
      <c r="AJ44" s="378"/>
      <c r="AK44" s="379"/>
      <c r="AL44" s="377"/>
      <c r="AM44" s="377"/>
      <c r="AN44" s="377"/>
      <c r="AO44" s="376"/>
      <c r="AP44" s="380"/>
      <c r="AQ44" s="377"/>
      <c r="AR44" s="377"/>
      <c r="AS44" s="377"/>
      <c r="AT44" s="378"/>
      <c r="AU44" s="379"/>
      <c r="AV44" s="377"/>
      <c r="AW44" s="377"/>
      <c r="AX44" s="377"/>
      <c r="AY44" s="376"/>
      <c r="AZ44" s="380"/>
      <c r="BA44" s="377"/>
      <c r="BB44" s="377"/>
      <c r="BC44" s="377"/>
      <c r="BD44" s="378"/>
      <c r="BE44" s="379"/>
      <c r="BF44" s="377"/>
      <c r="BG44" s="377"/>
      <c r="BH44" s="377"/>
      <c r="BI44" s="376"/>
      <c r="BJ44" s="380"/>
      <c r="BK44" s="377"/>
      <c r="BL44" s="377"/>
      <c r="BM44" s="377"/>
      <c r="BN44" s="378"/>
      <c r="BO44" s="379"/>
      <c r="BP44" s="377"/>
      <c r="BQ44" s="377"/>
      <c r="BR44" s="377"/>
      <c r="BS44" s="376"/>
      <c r="BT44" s="380"/>
      <c r="BU44" s="377"/>
      <c r="BV44" s="377"/>
      <c r="BW44" s="377"/>
      <c r="BX44" s="378"/>
      <c r="BY44" s="379"/>
      <c r="BZ44" s="377"/>
      <c r="CA44" s="377"/>
      <c r="CB44" s="377"/>
      <c r="CC44" s="376"/>
      <c r="CD44" s="380"/>
      <c r="CE44" s="377"/>
      <c r="CF44" s="377"/>
      <c r="CG44" s="377"/>
      <c r="CH44" s="376"/>
      <c r="CI44" s="380"/>
      <c r="CJ44" s="377"/>
      <c r="CK44" s="377"/>
      <c r="CL44" s="377"/>
      <c r="CM44" s="378"/>
    </row>
    <row r="45" spans="1:91" ht="25.5" customHeight="1">
      <c r="A45" s="416">
        <v>3888</v>
      </c>
      <c r="B45" s="417" t="s">
        <v>11</v>
      </c>
      <c r="C45" s="417" t="s">
        <v>44</v>
      </c>
      <c r="D45" s="417" t="s">
        <v>76</v>
      </c>
      <c r="E45" s="381" t="s">
        <v>53</v>
      </c>
      <c r="F45" s="417"/>
      <c r="G45" s="381" t="s">
        <v>344</v>
      </c>
      <c r="H45" s="384" t="s">
        <v>54</v>
      </c>
      <c r="I45" s="385"/>
      <c r="J45" s="381"/>
      <c r="K45" s="382"/>
      <c r="L45" s="418" t="s">
        <v>78</v>
      </c>
      <c r="M45" s="417" t="s">
        <v>77</v>
      </c>
      <c r="N45" s="417"/>
      <c r="O45" s="417" t="s">
        <v>77</v>
      </c>
      <c r="P45" s="419" t="s">
        <v>77</v>
      </c>
      <c r="Q45" s="418"/>
      <c r="R45" s="417"/>
      <c r="S45" s="417"/>
      <c r="T45" s="417"/>
      <c r="U45" s="420" t="s">
        <v>80</v>
      </c>
      <c r="V45" s="416"/>
      <c r="W45" s="381"/>
      <c r="X45" s="381"/>
      <c r="Y45" s="381"/>
      <c r="Z45" s="382"/>
      <c r="AA45" s="383"/>
      <c r="AB45" s="381"/>
      <c r="AC45" s="381"/>
      <c r="AD45" s="381"/>
      <c r="AE45" s="384"/>
      <c r="AF45" s="385"/>
      <c r="AG45" s="381"/>
      <c r="AH45" s="381"/>
      <c r="AI45" s="381"/>
      <c r="AJ45" s="382"/>
      <c r="AK45" s="383"/>
      <c r="AL45" s="381"/>
      <c r="AM45" s="381"/>
      <c r="AN45" s="381"/>
      <c r="AO45" s="384"/>
      <c r="AP45" s="385"/>
      <c r="AQ45" s="381"/>
      <c r="AR45" s="381"/>
      <c r="AS45" s="381"/>
      <c r="AT45" s="382"/>
      <c r="AU45" s="383"/>
      <c r="AV45" s="381"/>
      <c r="AW45" s="381"/>
      <c r="AX45" s="381"/>
      <c r="AY45" s="384"/>
      <c r="AZ45" s="385"/>
      <c r="BA45" s="381"/>
      <c r="BB45" s="381"/>
      <c r="BC45" s="381"/>
      <c r="BD45" s="382"/>
      <c r="BE45" s="383"/>
      <c r="BF45" s="381"/>
      <c r="BG45" s="381"/>
      <c r="BH45" s="381"/>
      <c r="BI45" s="384"/>
      <c r="BJ45" s="385"/>
      <c r="BK45" s="381"/>
      <c r="BL45" s="381"/>
      <c r="BM45" s="381"/>
      <c r="BN45" s="382"/>
      <c r="BO45" s="383"/>
      <c r="BP45" s="381"/>
      <c r="BQ45" s="381"/>
      <c r="BR45" s="381"/>
      <c r="BS45" s="384"/>
      <c r="BT45" s="385"/>
      <c r="BU45" s="381"/>
      <c r="BV45" s="381"/>
      <c r="BW45" s="381"/>
      <c r="BX45" s="382"/>
      <c r="BY45" s="383"/>
      <c r="BZ45" s="381"/>
      <c r="CA45" s="381"/>
      <c r="CB45" s="381"/>
      <c r="CC45" s="384"/>
      <c r="CD45" s="385"/>
      <c r="CE45" s="381"/>
      <c r="CF45" s="381"/>
      <c r="CG45" s="381"/>
      <c r="CH45" s="384"/>
      <c r="CI45" s="385"/>
      <c r="CJ45" s="381"/>
      <c r="CK45" s="381"/>
      <c r="CL45" s="381"/>
      <c r="CM45" s="382"/>
    </row>
    <row r="46" spans="1:91" ht="25.5" customHeight="1">
      <c r="A46" s="386">
        <v>3889</v>
      </c>
      <c r="B46" s="387" t="s">
        <v>11</v>
      </c>
      <c r="C46" s="387" t="s">
        <v>44</v>
      </c>
      <c r="D46" s="387" t="s">
        <v>76</v>
      </c>
      <c r="E46" s="372" t="s">
        <v>53</v>
      </c>
      <c r="F46" s="387"/>
      <c r="G46" s="372" t="s">
        <v>346</v>
      </c>
      <c r="H46" s="371" t="s">
        <v>54</v>
      </c>
      <c r="I46" s="375"/>
      <c r="J46" s="372"/>
      <c r="K46" s="373"/>
      <c r="L46" s="388" t="s">
        <v>78</v>
      </c>
      <c r="M46" s="387" t="s">
        <v>77</v>
      </c>
      <c r="N46" s="387"/>
      <c r="O46" s="387" t="s">
        <v>77</v>
      </c>
      <c r="P46" s="389" t="s">
        <v>77</v>
      </c>
      <c r="Q46" s="388"/>
      <c r="R46" s="387"/>
      <c r="S46" s="387"/>
      <c r="T46" s="387"/>
      <c r="U46" s="390" t="s">
        <v>80</v>
      </c>
      <c r="V46" s="386"/>
      <c r="W46" s="372"/>
      <c r="X46" s="372"/>
      <c r="Y46" s="372"/>
      <c r="Z46" s="373"/>
      <c r="AA46" s="374"/>
      <c r="AB46" s="372"/>
      <c r="AC46" s="372"/>
      <c r="AD46" s="372"/>
      <c r="AE46" s="371"/>
      <c r="AF46" s="375"/>
      <c r="AG46" s="372"/>
      <c r="AH46" s="372"/>
      <c r="AI46" s="372"/>
      <c r="AJ46" s="373"/>
      <c r="AK46" s="374"/>
      <c r="AL46" s="372"/>
      <c r="AM46" s="372"/>
      <c r="AN46" s="372"/>
      <c r="AO46" s="371"/>
      <c r="AP46" s="375"/>
      <c r="AQ46" s="372"/>
      <c r="AR46" s="372"/>
      <c r="AS46" s="372"/>
      <c r="AT46" s="373"/>
      <c r="AU46" s="374"/>
      <c r="AV46" s="372"/>
      <c r="AW46" s="372"/>
      <c r="AX46" s="372"/>
      <c r="AY46" s="371"/>
      <c r="AZ46" s="375"/>
      <c r="BA46" s="372"/>
      <c r="BB46" s="372"/>
      <c r="BC46" s="372"/>
      <c r="BD46" s="373"/>
      <c r="BE46" s="374"/>
      <c r="BF46" s="372"/>
      <c r="BG46" s="372"/>
      <c r="BH46" s="372"/>
      <c r="BI46" s="371"/>
      <c r="BJ46" s="375"/>
      <c r="BK46" s="372"/>
      <c r="BL46" s="372"/>
      <c r="BM46" s="372"/>
      <c r="BN46" s="373"/>
      <c r="BO46" s="374"/>
      <c r="BP46" s="372"/>
      <c r="BQ46" s="372"/>
      <c r="BR46" s="372"/>
      <c r="BS46" s="371"/>
      <c r="BT46" s="375"/>
      <c r="BU46" s="372"/>
      <c r="BV46" s="372"/>
      <c r="BW46" s="372"/>
      <c r="BX46" s="373"/>
      <c r="BY46" s="374"/>
      <c r="BZ46" s="372"/>
      <c r="CA46" s="372"/>
      <c r="CB46" s="372"/>
      <c r="CC46" s="371"/>
      <c r="CD46" s="375"/>
      <c r="CE46" s="372"/>
      <c r="CF46" s="372"/>
      <c r="CG46" s="372"/>
      <c r="CH46" s="371"/>
      <c r="CI46" s="375"/>
      <c r="CJ46" s="372"/>
      <c r="CK46" s="372"/>
      <c r="CL46" s="372"/>
      <c r="CM46" s="373"/>
    </row>
    <row r="47" spans="1:91" ht="25.5" customHeight="1">
      <c r="A47" s="386">
        <v>3890</v>
      </c>
      <c r="B47" s="387" t="s">
        <v>11</v>
      </c>
      <c r="C47" s="387" t="s">
        <v>44</v>
      </c>
      <c r="D47" s="387" t="s">
        <v>76</v>
      </c>
      <c r="E47" s="372" t="s">
        <v>53</v>
      </c>
      <c r="F47" s="387"/>
      <c r="G47" s="372" t="s">
        <v>348</v>
      </c>
      <c r="H47" s="371" t="s">
        <v>54</v>
      </c>
      <c r="I47" s="375"/>
      <c r="J47" s="372"/>
      <c r="K47" s="373"/>
      <c r="L47" s="388" t="s">
        <v>78</v>
      </c>
      <c r="M47" s="387" t="s">
        <v>77</v>
      </c>
      <c r="N47" s="387"/>
      <c r="O47" s="387" t="s">
        <v>77</v>
      </c>
      <c r="P47" s="389" t="s">
        <v>77</v>
      </c>
      <c r="Q47" s="388"/>
      <c r="R47" s="387"/>
      <c r="S47" s="387"/>
      <c r="T47" s="387"/>
      <c r="U47" s="390" t="s">
        <v>80</v>
      </c>
      <c r="V47" s="386"/>
      <c r="W47" s="372"/>
      <c r="X47" s="372"/>
      <c r="Y47" s="372"/>
      <c r="Z47" s="373"/>
      <c r="AA47" s="374"/>
      <c r="AB47" s="372"/>
      <c r="AC47" s="372"/>
      <c r="AD47" s="372"/>
      <c r="AE47" s="371"/>
      <c r="AF47" s="375"/>
      <c r="AG47" s="372"/>
      <c r="AH47" s="372"/>
      <c r="AI47" s="372"/>
      <c r="AJ47" s="373"/>
      <c r="AK47" s="374"/>
      <c r="AL47" s="372"/>
      <c r="AM47" s="372"/>
      <c r="AN47" s="372"/>
      <c r="AO47" s="371"/>
      <c r="AP47" s="375"/>
      <c r="AQ47" s="372"/>
      <c r="AR47" s="372"/>
      <c r="AS47" s="372"/>
      <c r="AT47" s="373"/>
      <c r="AU47" s="374"/>
      <c r="AV47" s="372"/>
      <c r="AW47" s="372"/>
      <c r="AX47" s="372"/>
      <c r="AY47" s="371"/>
      <c r="AZ47" s="375"/>
      <c r="BA47" s="372"/>
      <c r="BB47" s="372"/>
      <c r="BC47" s="372"/>
      <c r="BD47" s="373"/>
      <c r="BE47" s="374"/>
      <c r="BF47" s="372"/>
      <c r="BG47" s="372"/>
      <c r="BH47" s="372"/>
      <c r="BI47" s="371"/>
      <c r="BJ47" s="375"/>
      <c r="BK47" s="372"/>
      <c r="BL47" s="372"/>
      <c r="BM47" s="372"/>
      <c r="BN47" s="373"/>
      <c r="BO47" s="374"/>
      <c r="BP47" s="372"/>
      <c r="BQ47" s="372"/>
      <c r="BR47" s="372"/>
      <c r="BS47" s="371"/>
      <c r="BT47" s="375"/>
      <c r="BU47" s="372"/>
      <c r="BV47" s="372"/>
      <c r="BW47" s="372"/>
      <c r="BX47" s="373"/>
      <c r="BY47" s="374"/>
      <c r="BZ47" s="372"/>
      <c r="CA47" s="372"/>
      <c r="CB47" s="372"/>
      <c r="CC47" s="371"/>
      <c r="CD47" s="375"/>
      <c r="CE47" s="372"/>
      <c r="CF47" s="372"/>
      <c r="CG47" s="372"/>
      <c r="CH47" s="371"/>
      <c r="CI47" s="375"/>
      <c r="CJ47" s="372"/>
      <c r="CK47" s="372"/>
      <c r="CL47" s="372"/>
      <c r="CM47" s="373"/>
    </row>
    <row r="48" spans="1:91" ht="25.5" customHeight="1">
      <c r="A48" s="386">
        <v>3891</v>
      </c>
      <c r="B48" s="387" t="s">
        <v>11</v>
      </c>
      <c r="C48" s="387" t="s">
        <v>44</v>
      </c>
      <c r="D48" s="387" t="s">
        <v>76</v>
      </c>
      <c r="E48" s="372" t="s">
        <v>53</v>
      </c>
      <c r="F48" s="387"/>
      <c r="G48" s="372" t="s">
        <v>350</v>
      </c>
      <c r="H48" s="371" t="s">
        <v>54</v>
      </c>
      <c r="I48" s="375"/>
      <c r="J48" s="372"/>
      <c r="K48" s="373"/>
      <c r="L48" s="388" t="s">
        <v>78</v>
      </c>
      <c r="M48" s="387" t="s">
        <v>77</v>
      </c>
      <c r="N48" s="387"/>
      <c r="O48" s="387" t="s">
        <v>77</v>
      </c>
      <c r="P48" s="389" t="s">
        <v>77</v>
      </c>
      <c r="Q48" s="388"/>
      <c r="R48" s="387"/>
      <c r="S48" s="387"/>
      <c r="T48" s="387"/>
      <c r="U48" s="390" t="s">
        <v>80</v>
      </c>
      <c r="V48" s="386"/>
      <c r="W48" s="372"/>
      <c r="X48" s="372"/>
      <c r="Y48" s="372"/>
      <c r="Z48" s="373"/>
      <c r="AA48" s="374"/>
      <c r="AB48" s="372"/>
      <c r="AC48" s="372"/>
      <c r="AD48" s="372"/>
      <c r="AE48" s="371"/>
      <c r="AF48" s="375"/>
      <c r="AG48" s="372"/>
      <c r="AH48" s="372"/>
      <c r="AI48" s="372"/>
      <c r="AJ48" s="373"/>
      <c r="AK48" s="374"/>
      <c r="AL48" s="372"/>
      <c r="AM48" s="372"/>
      <c r="AN48" s="372"/>
      <c r="AO48" s="371"/>
      <c r="AP48" s="375"/>
      <c r="AQ48" s="372"/>
      <c r="AR48" s="372"/>
      <c r="AS48" s="372"/>
      <c r="AT48" s="373"/>
      <c r="AU48" s="374"/>
      <c r="AV48" s="372"/>
      <c r="AW48" s="372"/>
      <c r="AX48" s="372"/>
      <c r="AY48" s="371"/>
      <c r="AZ48" s="375"/>
      <c r="BA48" s="372"/>
      <c r="BB48" s="372"/>
      <c r="BC48" s="372"/>
      <c r="BD48" s="373"/>
      <c r="BE48" s="374"/>
      <c r="BF48" s="372"/>
      <c r="BG48" s="372"/>
      <c r="BH48" s="372"/>
      <c r="BI48" s="371"/>
      <c r="BJ48" s="375"/>
      <c r="BK48" s="372"/>
      <c r="BL48" s="372"/>
      <c r="BM48" s="372"/>
      <c r="BN48" s="373"/>
      <c r="BO48" s="374"/>
      <c r="BP48" s="372"/>
      <c r="BQ48" s="372"/>
      <c r="BR48" s="372"/>
      <c r="BS48" s="371"/>
      <c r="BT48" s="375"/>
      <c r="BU48" s="372"/>
      <c r="BV48" s="372"/>
      <c r="BW48" s="372"/>
      <c r="BX48" s="373"/>
      <c r="BY48" s="374"/>
      <c r="BZ48" s="372"/>
      <c r="CA48" s="372"/>
      <c r="CB48" s="372"/>
      <c r="CC48" s="371"/>
      <c r="CD48" s="375"/>
      <c r="CE48" s="372"/>
      <c r="CF48" s="372"/>
      <c r="CG48" s="372"/>
      <c r="CH48" s="371"/>
      <c r="CI48" s="375"/>
      <c r="CJ48" s="372"/>
      <c r="CK48" s="372"/>
      <c r="CL48" s="372"/>
      <c r="CM48" s="373"/>
    </row>
    <row r="49" spans="1:91" ht="25.5" customHeight="1" thickBot="1">
      <c r="A49" s="391">
        <v>3892</v>
      </c>
      <c r="B49" s="392" t="s">
        <v>11</v>
      </c>
      <c r="C49" s="392" t="s">
        <v>44</v>
      </c>
      <c r="D49" s="392" t="s">
        <v>76</v>
      </c>
      <c r="E49" s="393" t="s">
        <v>53</v>
      </c>
      <c r="F49" s="392"/>
      <c r="G49" s="393" t="s">
        <v>352</v>
      </c>
      <c r="H49" s="394" t="s">
        <v>54</v>
      </c>
      <c r="I49" s="395"/>
      <c r="J49" s="393"/>
      <c r="K49" s="396"/>
      <c r="L49" s="397" t="s">
        <v>78</v>
      </c>
      <c r="M49" s="392" t="s">
        <v>77</v>
      </c>
      <c r="N49" s="392"/>
      <c r="O49" s="392" t="s">
        <v>77</v>
      </c>
      <c r="P49" s="398" t="s">
        <v>77</v>
      </c>
      <c r="Q49" s="397"/>
      <c r="R49" s="392"/>
      <c r="S49" s="392"/>
      <c r="T49" s="392"/>
      <c r="U49" s="399" t="s">
        <v>80</v>
      </c>
      <c r="V49" s="391"/>
      <c r="W49" s="393"/>
      <c r="X49" s="393"/>
      <c r="Y49" s="393"/>
      <c r="Z49" s="396"/>
      <c r="AA49" s="400"/>
      <c r="AB49" s="393"/>
      <c r="AC49" s="393"/>
      <c r="AD49" s="393"/>
      <c r="AE49" s="394"/>
      <c r="AF49" s="395"/>
      <c r="AG49" s="393"/>
      <c r="AH49" s="393"/>
      <c r="AI49" s="393"/>
      <c r="AJ49" s="396"/>
      <c r="AK49" s="400"/>
      <c r="AL49" s="393"/>
      <c r="AM49" s="393"/>
      <c r="AN49" s="393"/>
      <c r="AO49" s="394"/>
      <c r="AP49" s="395"/>
      <c r="AQ49" s="393"/>
      <c r="AR49" s="393"/>
      <c r="AS49" s="393"/>
      <c r="AT49" s="396"/>
      <c r="AU49" s="400"/>
      <c r="AV49" s="393"/>
      <c r="AW49" s="393"/>
      <c r="AX49" s="393"/>
      <c r="AY49" s="394"/>
      <c r="AZ49" s="395"/>
      <c r="BA49" s="393"/>
      <c r="BB49" s="393"/>
      <c r="BC49" s="393"/>
      <c r="BD49" s="396"/>
      <c r="BE49" s="400"/>
      <c r="BF49" s="393"/>
      <c r="BG49" s="393"/>
      <c r="BH49" s="393"/>
      <c r="BI49" s="394"/>
      <c r="BJ49" s="395"/>
      <c r="BK49" s="393"/>
      <c r="BL49" s="393"/>
      <c r="BM49" s="393"/>
      <c r="BN49" s="396"/>
      <c r="BO49" s="400"/>
      <c r="BP49" s="393"/>
      <c r="BQ49" s="393"/>
      <c r="BR49" s="393"/>
      <c r="BS49" s="394"/>
      <c r="BT49" s="395"/>
      <c r="BU49" s="393"/>
      <c r="BV49" s="393"/>
      <c r="BW49" s="393"/>
      <c r="BX49" s="396"/>
      <c r="BY49" s="400"/>
      <c r="BZ49" s="393"/>
      <c r="CA49" s="393"/>
      <c r="CB49" s="393"/>
      <c r="CC49" s="394"/>
      <c r="CD49" s="395"/>
      <c r="CE49" s="393"/>
      <c r="CF49" s="393"/>
      <c r="CG49" s="393"/>
      <c r="CH49" s="394"/>
      <c r="CI49" s="395"/>
      <c r="CJ49" s="393"/>
      <c r="CK49" s="393"/>
      <c r="CL49" s="393"/>
      <c r="CM49" s="396"/>
    </row>
    <row r="50" spans="1:91" ht="25.5" customHeight="1">
      <c r="A50" s="401">
        <v>3893</v>
      </c>
      <c r="B50" s="402" t="s">
        <v>11</v>
      </c>
      <c r="C50" s="402" t="s">
        <v>44</v>
      </c>
      <c r="D50" s="402" t="s">
        <v>76</v>
      </c>
      <c r="E50" s="403" t="s">
        <v>53</v>
      </c>
      <c r="F50" s="402"/>
      <c r="G50" s="403" t="s">
        <v>354</v>
      </c>
      <c r="H50" s="404" t="s">
        <v>54</v>
      </c>
      <c r="I50" s="405"/>
      <c r="J50" s="403"/>
      <c r="K50" s="406"/>
      <c r="L50" s="407" t="s">
        <v>78</v>
      </c>
      <c r="M50" s="402" t="s">
        <v>77</v>
      </c>
      <c r="N50" s="402"/>
      <c r="O50" s="402" t="s">
        <v>77</v>
      </c>
      <c r="P50" s="408" t="s">
        <v>77</v>
      </c>
      <c r="Q50" s="407"/>
      <c r="R50" s="402"/>
      <c r="S50" s="402"/>
      <c r="T50" s="402"/>
      <c r="U50" s="409" t="s">
        <v>80</v>
      </c>
      <c r="V50" s="401"/>
      <c r="W50" s="403"/>
      <c r="X50" s="403"/>
      <c r="Y50" s="403"/>
      <c r="Z50" s="406"/>
      <c r="AA50" s="410"/>
      <c r="AB50" s="403"/>
      <c r="AC50" s="403"/>
      <c r="AD50" s="403"/>
      <c r="AE50" s="404"/>
      <c r="AF50" s="405"/>
      <c r="AG50" s="403"/>
      <c r="AH50" s="403"/>
      <c r="AI50" s="403"/>
      <c r="AJ50" s="406"/>
      <c r="AK50" s="410"/>
      <c r="AL50" s="403"/>
      <c r="AM50" s="403"/>
      <c r="AN50" s="403"/>
      <c r="AO50" s="404"/>
      <c r="AP50" s="405"/>
      <c r="AQ50" s="403"/>
      <c r="AR50" s="403"/>
      <c r="AS50" s="403"/>
      <c r="AT50" s="406"/>
      <c r="AU50" s="410"/>
      <c r="AV50" s="403"/>
      <c r="AW50" s="403"/>
      <c r="AX50" s="403"/>
      <c r="AY50" s="404"/>
      <c r="AZ50" s="405"/>
      <c r="BA50" s="403"/>
      <c r="BB50" s="403"/>
      <c r="BC50" s="403"/>
      <c r="BD50" s="406"/>
      <c r="BE50" s="410"/>
      <c r="BF50" s="403"/>
      <c r="BG50" s="403"/>
      <c r="BH50" s="403"/>
      <c r="BI50" s="404"/>
      <c r="BJ50" s="405"/>
      <c r="BK50" s="403"/>
      <c r="BL50" s="403"/>
      <c r="BM50" s="403"/>
      <c r="BN50" s="406"/>
      <c r="BO50" s="410"/>
      <c r="BP50" s="403"/>
      <c r="BQ50" s="403"/>
      <c r="BR50" s="403"/>
      <c r="BS50" s="404"/>
      <c r="BT50" s="405"/>
      <c r="BU50" s="403"/>
      <c r="BV50" s="403"/>
      <c r="BW50" s="403"/>
      <c r="BX50" s="406"/>
      <c r="BY50" s="410"/>
      <c r="BZ50" s="403"/>
      <c r="CA50" s="403"/>
      <c r="CB50" s="403"/>
      <c r="CC50" s="404"/>
      <c r="CD50" s="405"/>
      <c r="CE50" s="403"/>
      <c r="CF50" s="403"/>
      <c r="CG50" s="403"/>
      <c r="CH50" s="404"/>
      <c r="CI50" s="405"/>
      <c r="CJ50" s="403"/>
      <c r="CK50" s="403"/>
      <c r="CL50" s="403"/>
      <c r="CM50" s="406"/>
    </row>
    <row r="51" spans="1:91" ht="25.5" customHeight="1">
      <c r="A51" s="386">
        <v>3894</v>
      </c>
      <c r="B51" s="387" t="s">
        <v>11</v>
      </c>
      <c r="C51" s="387" t="s">
        <v>44</v>
      </c>
      <c r="D51" s="387" t="s">
        <v>76</v>
      </c>
      <c r="E51" s="372" t="s">
        <v>53</v>
      </c>
      <c r="F51" s="387"/>
      <c r="G51" s="372" t="s">
        <v>356</v>
      </c>
      <c r="H51" s="371" t="s">
        <v>54</v>
      </c>
      <c r="I51" s="375"/>
      <c r="J51" s="372"/>
      <c r="K51" s="373"/>
      <c r="L51" s="388" t="s">
        <v>78</v>
      </c>
      <c r="M51" s="387" t="s">
        <v>77</v>
      </c>
      <c r="N51" s="387"/>
      <c r="O51" s="387" t="s">
        <v>77</v>
      </c>
      <c r="P51" s="389" t="s">
        <v>77</v>
      </c>
      <c r="Q51" s="388"/>
      <c r="R51" s="387"/>
      <c r="S51" s="387"/>
      <c r="T51" s="387"/>
      <c r="U51" s="390" t="s">
        <v>80</v>
      </c>
      <c r="V51" s="386"/>
      <c r="W51" s="372"/>
      <c r="X51" s="372"/>
      <c r="Y51" s="372"/>
      <c r="Z51" s="373"/>
      <c r="AA51" s="374"/>
      <c r="AB51" s="372"/>
      <c r="AC51" s="372"/>
      <c r="AD51" s="372"/>
      <c r="AE51" s="371"/>
      <c r="AF51" s="375"/>
      <c r="AG51" s="372"/>
      <c r="AH51" s="372"/>
      <c r="AI51" s="372"/>
      <c r="AJ51" s="373"/>
      <c r="AK51" s="374"/>
      <c r="AL51" s="372"/>
      <c r="AM51" s="372"/>
      <c r="AN51" s="372"/>
      <c r="AO51" s="371"/>
      <c r="AP51" s="375"/>
      <c r="AQ51" s="372"/>
      <c r="AR51" s="372"/>
      <c r="AS51" s="372"/>
      <c r="AT51" s="373"/>
      <c r="AU51" s="374"/>
      <c r="AV51" s="372"/>
      <c r="AW51" s="372"/>
      <c r="AX51" s="372"/>
      <c r="AY51" s="371"/>
      <c r="AZ51" s="375"/>
      <c r="BA51" s="372"/>
      <c r="BB51" s="372"/>
      <c r="BC51" s="372"/>
      <c r="BD51" s="373"/>
      <c r="BE51" s="374"/>
      <c r="BF51" s="372"/>
      <c r="BG51" s="372"/>
      <c r="BH51" s="372"/>
      <c r="BI51" s="371"/>
      <c r="BJ51" s="375"/>
      <c r="BK51" s="372"/>
      <c r="BL51" s="372"/>
      <c r="BM51" s="372"/>
      <c r="BN51" s="373"/>
      <c r="BO51" s="374"/>
      <c r="BP51" s="372"/>
      <c r="BQ51" s="372"/>
      <c r="BR51" s="372"/>
      <c r="BS51" s="371"/>
      <c r="BT51" s="375"/>
      <c r="BU51" s="372"/>
      <c r="BV51" s="372"/>
      <c r="BW51" s="372"/>
      <c r="BX51" s="373"/>
      <c r="BY51" s="374"/>
      <c r="BZ51" s="372"/>
      <c r="CA51" s="372"/>
      <c r="CB51" s="372"/>
      <c r="CC51" s="371"/>
      <c r="CD51" s="375"/>
      <c r="CE51" s="372"/>
      <c r="CF51" s="372"/>
      <c r="CG51" s="372"/>
      <c r="CH51" s="371"/>
      <c r="CI51" s="375"/>
      <c r="CJ51" s="372"/>
      <c r="CK51" s="372"/>
      <c r="CL51" s="372"/>
      <c r="CM51" s="373"/>
    </row>
    <row r="52" spans="1:91" ht="25.5" customHeight="1">
      <c r="A52" s="386">
        <v>3895</v>
      </c>
      <c r="B52" s="387" t="s">
        <v>11</v>
      </c>
      <c r="C52" s="387" t="s">
        <v>44</v>
      </c>
      <c r="D52" s="387" t="s">
        <v>76</v>
      </c>
      <c r="E52" s="372" t="s">
        <v>53</v>
      </c>
      <c r="F52" s="387"/>
      <c r="G52" s="372" t="s">
        <v>358</v>
      </c>
      <c r="H52" s="371" t="s">
        <v>54</v>
      </c>
      <c r="I52" s="375"/>
      <c r="J52" s="372"/>
      <c r="K52" s="373"/>
      <c r="L52" s="388" t="s">
        <v>78</v>
      </c>
      <c r="M52" s="387" t="s">
        <v>77</v>
      </c>
      <c r="N52" s="387"/>
      <c r="O52" s="387" t="s">
        <v>77</v>
      </c>
      <c r="P52" s="389" t="s">
        <v>77</v>
      </c>
      <c r="Q52" s="388"/>
      <c r="R52" s="387"/>
      <c r="S52" s="387"/>
      <c r="T52" s="387"/>
      <c r="U52" s="390" t="s">
        <v>80</v>
      </c>
      <c r="V52" s="386"/>
      <c r="W52" s="372"/>
      <c r="X52" s="372"/>
      <c r="Y52" s="372"/>
      <c r="Z52" s="373"/>
      <c r="AA52" s="374"/>
      <c r="AB52" s="372"/>
      <c r="AC52" s="372"/>
      <c r="AD52" s="372"/>
      <c r="AE52" s="371"/>
      <c r="AF52" s="375"/>
      <c r="AG52" s="372"/>
      <c r="AH52" s="372"/>
      <c r="AI52" s="372"/>
      <c r="AJ52" s="373"/>
      <c r="AK52" s="374"/>
      <c r="AL52" s="372"/>
      <c r="AM52" s="372"/>
      <c r="AN52" s="372"/>
      <c r="AO52" s="371"/>
      <c r="AP52" s="375"/>
      <c r="AQ52" s="372"/>
      <c r="AR52" s="372"/>
      <c r="AS52" s="372"/>
      <c r="AT52" s="373"/>
      <c r="AU52" s="374"/>
      <c r="AV52" s="372"/>
      <c r="AW52" s="372"/>
      <c r="AX52" s="372"/>
      <c r="AY52" s="371"/>
      <c r="AZ52" s="375"/>
      <c r="BA52" s="372"/>
      <c r="BB52" s="372"/>
      <c r="BC52" s="372"/>
      <c r="BD52" s="373"/>
      <c r="BE52" s="374"/>
      <c r="BF52" s="372"/>
      <c r="BG52" s="372"/>
      <c r="BH52" s="372"/>
      <c r="BI52" s="371"/>
      <c r="BJ52" s="375"/>
      <c r="BK52" s="372"/>
      <c r="BL52" s="372"/>
      <c r="BM52" s="372"/>
      <c r="BN52" s="373"/>
      <c r="BO52" s="374"/>
      <c r="BP52" s="372"/>
      <c r="BQ52" s="372"/>
      <c r="BR52" s="372"/>
      <c r="BS52" s="371"/>
      <c r="BT52" s="375"/>
      <c r="BU52" s="372"/>
      <c r="BV52" s="372"/>
      <c r="BW52" s="372"/>
      <c r="BX52" s="373"/>
      <c r="BY52" s="374"/>
      <c r="BZ52" s="372"/>
      <c r="CA52" s="372"/>
      <c r="CB52" s="372"/>
      <c r="CC52" s="371"/>
      <c r="CD52" s="375"/>
      <c r="CE52" s="372"/>
      <c r="CF52" s="372"/>
      <c r="CG52" s="372"/>
      <c r="CH52" s="371"/>
      <c r="CI52" s="375"/>
      <c r="CJ52" s="372"/>
      <c r="CK52" s="372"/>
      <c r="CL52" s="372"/>
      <c r="CM52" s="373"/>
    </row>
    <row r="53" spans="1:91" ht="25.5" customHeight="1">
      <c r="A53" s="386">
        <v>3896</v>
      </c>
      <c r="B53" s="387" t="s">
        <v>11</v>
      </c>
      <c r="C53" s="387" t="s">
        <v>44</v>
      </c>
      <c r="D53" s="387" t="s">
        <v>76</v>
      </c>
      <c r="E53" s="372" t="s">
        <v>53</v>
      </c>
      <c r="F53" s="387"/>
      <c r="G53" s="372" t="s">
        <v>360</v>
      </c>
      <c r="H53" s="371" t="s">
        <v>54</v>
      </c>
      <c r="I53" s="375"/>
      <c r="J53" s="372"/>
      <c r="K53" s="373"/>
      <c r="L53" s="388" t="s">
        <v>78</v>
      </c>
      <c r="M53" s="387" t="s">
        <v>77</v>
      </c>
      <c r="N53" s="387"/>
      <c r="O53" s="387" t="s">
        <v>77</v>
      </c>
      <c r="P53" s="389" t="s">
        <v>77</v>
      </c>
      <c r="Q53" s="388"/>
      <c r="R53" s="387"/>
      <c r="S53" s="387"/>
      <c r="T53" s="387"/>
      <c r="U53" s="390" t="s">
        <v>80</v>
      </c>
      <c r="V53" s="386"/>
      <c r="W53" s="372"/>
      <c r="X53" s="372"/>
      <c r="Y53" s="372"/>
      <c r="Z53" s="373"/>
      <c r="AA53" s="374"/>
      <c r="AB53" s="372"/>
      <c r="AC53" s="372"/>
      <c r="AD53" s="372"/>
      <c r="AE53" s="371"/>
      <c r="AF53" s="375"/>
      <c r="AG53" s="372"/>
      <c r="AH53" s="372"/>
      <c r="AI53" s="372"/>
      <c r="AJ53" s="373"/>
      <c r="AK53" s="374"/>
      <c r="AL53" s="372"/>
      <c r="AM53" s="372"/>
      <c r="AN53" s="372"/>
      <c r="AO53" s="371"/>
      <c r="AP53" s="375"/>
      <c r="AQ53" s="372"/>
      <c r="AR53" s="372"/>
      <c r="AS53" s="372"/>
      <c r="AT53" s="373"/>
      <c r="AU53" s="374"/>
      <c r="AV53" s="372"/>
      <c r="AW53" s="372"/>
      <c r="AX53" s="372"/>
      <c r="AY53" s="371"/>
      <c r="AZ53" s="375"/>
      <c r="BA53" s="372"/>
      <c r="BB53" s="372"/>
      <c r="BC53" s="372"/>
      <c r="BD53" s="373"/>
      <c r="BE53" s="374"/>
      <c r="BF53" s="372"/>
      <c r="BG53" s="372"/>
      <c r="BH53" s="372"/>
      <c r="BI53" s="371"/>
      <c r="BJ53" s="375"/>
      <c r="BK53" s="372"/>
      <c r="BL53" s="372"/>
      <c r="BM53" s="372"/>
      <c r="BN53" s="373"/>
      <c r="BO53" s="374"/>
      <c r="BP53" s="372"/>
      <c r="BQ53" s="372"/>
      <c r="BR53" s="372"/>
      <c r="BS53" s="371"/>
      <c r="BT53" s="375"/>
      <c r="BU53" s="372"/>
      <c r="BV53" s="372"/>
      <c r="BW53" s="372"/>
      <c r="BX53" s="373"/>
      <c r="BY53" s="374"/>
      <c r="BZ53" s="372"/>
      <c r="CA53" s="372"/>
      <c r="CB53" s="372"/>
      <c r="CC53" s="371"/>
      <c r="CD53" s="375"/>
      <c r="CE53" s="372"/>
      <c r="CF53" s="372"/>
      <c r="CG53" s="372"/>
      <c r="CH53" s="371"/>
      <c r="CI53" s="375"/>
      <c r="CJ53" s="372"/>
      <c r="CK53" s="372"/>
      <c r="CL53" s="372"/>
      <c r="CM53" s="373"/>
    </row>
    <row r="54" spans="1:91" ht="25.5" customHeight="1" thickBot="1">
      <c r="A54" s="411">
        <v>3897</v>
      </c>
      <c r="B54" s="412" t="s">
        <v>11</v>
      </c>
      <c r="C54" s="412" t="s">
        <v>44</v>
      </c>
      <c r="D54" s="412" t="s">
        <v>76</v>
      </c>
      <c r="E54" s="377" t="s">
        <v>53</v>
      </c>
      <c r="F54" s="412"/>
      <c r="G54" s="377" t="s">
        <v>362</v>
      </c>
      <c r="H54" s="376" t="s">
        <v>54</v>
      </c>
      <c r="I54" s="380"/>
      <c r="J54" s="377"/>
      <c r="K54" s="378"/>
      <c r="L54" s="413" t="s">
        <v>78</v>
      </c>
      <c r="M54" s="412" t="s">
        <v>77</v>
      </c>
      <c r="N54" s="412"/>
      <c r="O54" s="412" t="s">
        <v>77</v>
      </c>
      <c r="P54" s="414" t="s">
        <v>77</v>
      </c>
      <c r="Q54" s="413"/>
      <c r="R54" s="412"/>
      <c r="S54" s="412"/>
      <c r="T54" s="412"/>
      <c r="U54" s="415" t="s">
        <v>80</v>
      </c>
      <c r="V54" s="411"/>
      <c r="W54" s="377"/>
      <c r="X54" s="377"/>
      <c r="Y54" s="377"/>
      <c r="Z54" s="378"/>
      <c r="AA54" s="379"/>
      <c r="AB54" s="377"/>
      <c r="AC54" s="377"/>
      <c r="AD54" s="377"/>
      <c r="AE54" s="376"/>
      <c r="AF54" s="380"/>
      <c r="AG54" s="377"/>
      <c r="AH54" s="377"/>
      <c r="AI54" s="377"/>
      <c r="AJ54" s="378"/>
      <c r="AK54" s="379"/>
      <c r="AL54" s="377"/>
      <c r="AM54" s="377"/>
      <c r="AN54" s="377"/>
      <c r="AO54" s="376"/>
      <c r="AP54" s="380"/>
      <c r="AQ54" s="377"/>
      <c r="AR54" s="377"/>
      <c r="AS54" s="377"/>
      <c r="AT54" s="378"/>
      <c r="AU54" s="379"/>
      <c r="AV54" s="377"/>
      <c r="AW54" s="377"/>
      <c r="AX54" s="377"/>
      <c r="AY54" s="376"/>
      <c r="AZ54" s="380"/>
      <c r="BA54" s="377"/>
      <c r="BB54" s="377"/>
      <c r="BC54" s="377"/>
      <c r="BD54" s="378"/>
      <c r="BE54" s="379"/>
      <c r="BF54" s="377"/>
      <c r="BG54" s="377"/>
      <c r="BH54" s="377"/>
      <c r="BI54" s="376"/>
      <c r="BJ54" s="380"/>
      <c r="BK54" s="377"/>
      <c r="BL54" s="377"/>
      <c r="BM54" s="377"/>
      <c r="BN54" s="378"/>
      <c r="BO54" s="379"/>
      <c r="BP54" s="377"/>
      <c r="BQ54" s="377"/>
      <c r="BR54" s="377"/>
      <c r="BS54" s="376"/>
      <c r="BT54" s="380"/>
      <c r="BU54" s="377"/>
      <c r="BV54" s="377"/>
      <c r="BW54" s="377"/>
      <c r="BX54" s="378"/>
      <c r="BY54" s="379"/>
      <c r="BZ54" s="377"/>
      <c r="CA54" s="377"/>
      <c r="CB54" s="377"/>
      <c r="CC54" s="376"/>
      <c r="CD54" s="380"/>
      <c r="CE54" s="377"/>
      <c r="CF54" s="377"/>
      <c r="CG54" s="377"/>
      <c r="CH54" s="376"/>
      <c r="CI54" s="380"/>
      <c r="CJ54" s="377"/>
      <c r="CK54" s="377"/>
      <c r="CL54" s="377"/>
      <c r="CM54" s="378"/>
    </row>
    <row r="55" spans="1:91" ht="25.5" customHeight="1">
      <c r="A55" s="416">
        <v>3898</v>
      </c>
      <c r="B55" s="417" t="s">
        <v>11</v>
      </c>
      <c r="C55" s="417" t="s">
        <v>44</v>
      </c>
      <c r="D55" s="417" t="s">
        <v>76</v>
      </c>
      <c r="E55" s="381" t="s">
        <v>53</v>
      </c>
      <c r="F55" s="417"/>
      <c r="G55" s="381" t="s">
        <v>364</v>
      </c>
      <c r="H55" s="384" t="s">
        <v>54</v>
      </c>
      <c r="I55" s="385"/>
      <c r="J55" s="381"/>
      <c r="K55" s="382"/>
      <c r="L55" s="418" t="s">
        <v>78</v>
      </c>
      <c r="M55" s="417" t="s">
        <v>77</v>
      </c>
      <c r="N55" s="417"/>
      <c r="O55" s="417" t="s">
        <v>77</v>
      </c>
      <c r="P55" s="419" t="s">
        <v>77</v>
      </c>
      <c r="Q55" s="418"/>
      <c r="R55" s="417"/>
      <c r="S55" s="417"/>
      <c r="T55" s="417"/>
      <c r="U55" s="420" t="s">
        <v>80</v>
      </c>
      <c r="V55" s="416"/>
      <c r="W55" s="381"/>
      <c r="X55" s="381"/>
      <c r="Y55" s="381"/>
      <c r="Z55" s="382"/>
      <c r="AA55" s="383"/>
      <c r="AB55" s="381"/>
      <c r="AC55" s="381"/>
      <c r="AD55" s="381"/>
      <c r="AE55" s="384"/>
      <c r="AF55" s="385"/>
      <c r="AG55" s="381"/>
      <c r="AH55" s="381"/>
      <c r="AI55" s="381"/>
      <c r="AJ55" s="382"/>
      <c r="AK55" s="383"/>
      <c r="AL55" s="381"/>
      <c r="AM55" s="381"/>
      <c r="AN55" s="381"/>
      <c r="AO55" s="384"/>
      <c r="AP55" s="385"/>
      <c r="AQ55" s="381"/>
      <c r="AR55" s="381"/>
      <c r="AS55" s="381"/>
      <c r="AT55" s="382"/>
      <c r="AU55" s="383"/>
      <c r="AV55" s="381"/>
      <c r="AW55" s="381"/>
      <c r="AX55" s="381"/>
      <c r="AY55" s="384"/>
      <c r="AZ55" s="385"/>
      <c r="BA55" s="381"/>
      <c r="BB55" s="381"/>
      <c r="BC55" s="381"/>
      <c r="BD55" s="382"/>
      <c r="BE55" s="383"/>
      <c r="BF55" s="381"/>
      <c r="BG55" s="381"/>
      <c r="BH55" s="381"/>
      <c r="BI55" s="384"/>
      <c r="BJ55" s="385"/>
      <c r="BK55" s="381"/>
      <c r="BL55" s="381"/>
      <c r="BM55" s="381"/>
      <c r="BN55" s="382"/>
      <c r="BO55" s="383"/>
      <c r="BP55" s="381"/>
      <c r="BQ55" s="381"/>
      <c r="BR55" s="381"/>
      <c r="BS55" s="384"/>
      <c r="BT55" s="385"/>
      <c r="BU55" s="381"/>
      <c r="BV55" s="381"/>
      <c r="BW55" s="381"/>
      <c r="BX55" s="382"/>
      <c r="BY55" s="383"/>
      <c r="BZ55" s="381"/>
      <c r="CA55" s="381"/>
      <c r="CB55" s="381"/>
      <c r="CC55" s="384"/>
      <c r="CD55" s="385"/>
      <c r="CE55" s="381"/>
      <c r="CF55" s="381"/>
      <c r="CG55" s="381"/>
      <c r="CH55" s="384"/>
      <c r="CI55" s="385"/>
      <c r="CJ55" s="381"/>
      <c r="CK55" s="381"/>
      <c r="CL55" s="381"/>
      <c r="CM55" s="382"/>
    </row>
    <row r="56" spans="1:91" ht="25.5" customHeight="1">
      <c r="A56" s="386">
        <v>3899</v>
      </c>
      <c r="B56" s="387" t="s">
        <v>11</v>
      </c>
      <c r="C56" s="387" t="s">
        <v>44</v>
      </c>
      <c r="D56" s="387" t="s">
        <v>76</v>
      </c>
      <c r="E56" s="372" t="s">
        <v>53</v>
      </c>
      <c r="F56" s="387"/>
      <c r="G56" s="372" t="s">
        <v>366</v>
      </c>
      <c r="H56" s="371" t="s">
        <v>54</v>
      </c>
      <c r="I56" s="375"/>
      <c r="J56" s="372"/>
      <c r="K56" s="373"/>
      <c r="L56" s="388" t="s">
        <v>78</v>
      </c>
      <c r="M56" s="387" t="s">
        <v>77</v>
      </c>
      <c r="N56" s="387"/>
      <c r="O56" s="387" t="s">
        <v>77</v>
      </c>
      <c r="P56" s="389" t="s">
        <v>77</v>
      </c>
      <c r="Q56" s="388"/>
      <c r="R56" s="387"/>
      <c r="S56" s="387"/>
      <c r="T56" s="387"/>
      <c r="U56" s="390" t="s">
        <v>80</v>
      </c>
      <c r="V56" s="386"/>
      <c r="W56" s="372"/>
      <c r="X56" s="372"/>
      <c r="Y56" s="372"/>
      <c r="Z56" s="373"/>
      <c r="AA56" s="374"/>
      <c r="AB56" s="372"/>
      <c r="AC56" s="372"/>
      <c r="AD56" s="372"/>
      <c r="AE56" s="371"/>
      <c r="AF56" s="375"/>
      <c r="AG56" s="372"/>
      <c r="AH56" s="372"/>
      <c r="AI56" s="372"/>
      <c r="AJ56" s="373"/>
      <c r="AK56" s="374"/>
      <c r="AL56" s="372"/>
      <c r="AM56" s="372"/>
      <c r="AN56" s="372"/>
      <c r="AO56" s="371"/>
      <c r="AP56" s="375"/>
      <c r="AQ56" s="372"/>
      <c r="AR56" s="372"/>
      <c r="AS56" s="372"/>
      <c r="AT56" s="373"/>
      <c r="AU56" s="374"/>
      <c r="AV56" s="372"/>
      <c r="AW56" s="372"/>
      <c r="AX56" s="372"/>
      <c r="AY56" s="371"/>
      <c r="AZ56" s="375"/>
      <c r="BA56" s="372"/>
      <c r="BB56" s="372"/>
      <c r="BC56" s="372"/>
      <c r="BD56" s="373"/>
      <c r="BE56" s="374"/>
      <c r="BF56" s="372"/>
      <c r="BG56" s="372"/>
      <c r="BH56" s="372"/>
      <c r="BI56" s="371"/>
      <c r="BJ56" s="375"/>
      <c r="BK56" s="372"/>
      <c r="BL56" s="372"/>
      <c r="BM56" s="372"/>
      <c r="BN56" s="373"/>
      <c r="BO56" s="374"/>
      <c r="BP56" s="372"/>
      <c r="BQ56" s="372"/>
      <c r="BR56" s="372"/>
      <c r="BS56" s="371"/>
      <c r="BT56" s="375"/>
      <c r="BU56" s="372"/>
      <c r="BV56" s="372"/>
      <c r="BW56" s="372"/>
      <c r="BX56" s="373"/>
      <c r="BY56" s="374"/>
      <c r="BZ56" s="372"/>
      <c r="CA56" s="372"/>
      <c r="CB56" s="372"/>
      <c r="CC56" s="371"/>
      <c r="CD56" s="375"/>
      <c r="CE56" s="372"/>
      <c r="CF56" s="372"/>
      <c r="CG56" s="372"/>
      <c r="CH56" s="371"/>
      <c r="CI56" s="375"/>
      <c r="CJ56" s="372"/>
      <c r="CK56" s="372"/>
      <c r="CL56" s="372"/>
      <c r="CM56" s="373"/>
    </row>
    <row r="57" spans="1:91" ht="25.5" customHeight="1">
      <c r="A57" s="386">
        <v>3900</v>
      </c>
      <c r="B57" s="387" t="s">
        <v>11</v>
      </c>
      <c r="C57" s="387" t="s">
        <v>44</v>
      </c>
      <c r="D57" s="387" t="s">
        <v>76</v>
      </c>
      <c r="E57" s="372" t="s">
        <v>53</v>
      </c>
      <c r="F57" s="387"/>
      <c r="G57" s="372" t="s">
        <v>368</v>
      </c>
      <c r="H57" s="371" t="s">
        <v>54</v>
      </c>
      <c r="I57" s="375"/>
      <c r="J57" s="372"/>
      <c r="K57" s="373"/>
      <c r="L57" s="388" t="s">
        <v>78</v>
      </c>
      <c r="M57" s="387" t="s">
        <v>77</v>
      </c>
      <c r="N57" s="387"/>
      <c r="O57" s="387" t="s">
        <v>77</v>
      </c>
      <c r="P57" s="389" t="s">
        <v>77</v>
      </c>
      <c r="Q57" s="388"/>
      <c r="R57" s="387"/>
      <c r="S57" s="387"/>
      <c r="T57" s="387"/>
      <c r="U57" s="390" t="s">
        <v>80</v>
      </c>
      <c r="V57" s="386"/>
      <c r="W57" s="372"/>
      <c r="X57" s="372"/>
      <c r="Y57" s="372"/>
      <c r="Z57" s="373"/>
      <c r="AA57" s="374"/>
      <c r="AB57" s="372"/>
      <c r="AC57" s="372"/>
      <c r="AD57" s="372"/>
      <c r="AE57" s="371"/>
      <c r="AF57" s="375"/>
      <c r="AG57" s="372"/>
      <c r="AH57" s="372"/>
      <c r="AI57" s="372"/>
      <c r="AJ57" s="373"/>
      <c r="AK57" s="374"/>
      <c r="AL57" s="372"/>
      <c r="AM57" s="372"/>
      <c r="AN57" s="372"/>
      <c r="AO57" s="371"/>
      <c r="AP57" s="375"/>
      <c r="AQ57" s="372"/>
      <c r="AR57" s="372"/>
      <c r="AS57" s="372"/>
      <c r="AT57" s="373"/>
      <c r="AU57" s="374"/>
      <c r="AV57" s="372"/>
      <c r="AW57" s="372"/>
      <c r="AX57" s="372"/>
      <c r="AY57" s="371"/>
      <c r="AZ57" s="375"/>
      <c r="BA57" s="372"/>
      <c r="BB57" s="372"/>
      <c r="BC57" s="372"/>
      <c r="BD57" s="373"/>
      <c r="BE57" s="374"/>
      <c r="BF57" s="372"/>
      <c r="BG57" s="372"/>
      <c r="BH57" s="372"/>
      <c r="BI57" s="371"/>
      <c r="BJ57" s="375"/>
      <c r="BK57" s="372"/>
      <c r="BL57" s="372"/>
      <c r="BM57" s="372"/>
      <c r="BN57" s="373"/>
      <c r="BO57" s="374"/>
      <c r="BP57" s="372"/>
      <c r="BQ57" s="372"/>
      <c r="BR57" s="372"/>
      <c r="BS57" s="371"/>
      <c r="BT57" s="375"/>
      <c r="BU57" s="372"/>
      <c r="BV57" s="372"/>
      <c r="BW57" s="372"/>
      <c r="BX57" s="373"/>
      <c r="BY57" s="374"/>
      <c r="BZ57" s="372"/>
      <c r="CA57" s="372"/>
      <c r="CB57" s="372"/>
      <c r="CC57" s="371"/>
      <c r="CD57" s="375"/>
      <c r="CE57" s="372"/>
      <c r="CF57" s="372"/>
      <c r="CG57" s="372"/>
      <c r="CH57" s="371"/>
      <c r="CI57" s="375"/>
      <c r="CJ57" s="372"/>
      <c r="CK57" s="372"/>
      <c r="CL57" s="372"/>
      <c r="CM57" s="373"/>
    </row>
    <row r="58" spans="1:91" ht="25.5" customHeight="1">
      <c r="A58" s="386">
        <v>3901</v>
      </c>
      <c r="B58" s="387" t="s">
        <v>11</v>
      </c>
      <c r="C58" s="387" t="s">
        <v>44</v>
      </c>
      <c r="D58" s="387" t="s">
        <v>76</v>
      </c>
      <c r="E58" s="372" t="s">
        <v>53</v>
      </c>
      <c r="F58" s="387"/>
      <c r="G58" s="372" t="s">
        <v>370</v>
      </c>
      <c r="H58" s="371" t="s">
        <v>54</v>
      </c>
      <c r="I58" s="375"/>
      <c r="J58" s="372"/>
      <c r="K58" s="373"/>
      <c r="L58" s="388" t="s">
        <v>78</v>
      </c>
      <c r="M58" s="387" t="s">
        <v>77</v>
      </c>
      <c r="N58" s="387"/>
      <c r="O58" s="387" t="s">
        <v>77</v>
      </c>
      <c r="P58" s="389" t="s">
        <v>77</v>
      </c>
      <c r="Q58" s="388"/>
      <c r="R58" s="387"/>
      <c r="S58" s="387"/>
      <c r="T58" s="387"/>
      <c r="U58" s="390" t="s">
        <v>80</v>
      </c>
      <c r="V58" s="386"/>
      <c r="W58" s="372"/>
      <c r="X58" s="372"/>
      <c r="Y58" s="372"/>
      <c r="Z58" s="373"/>
      <c r="AA58" s="374"/>
      <c r="AB58" s="372"/>
      <c r="AC58" s="372"/>
      <c r="AD58" s="372"/>
      <c r="AE58" s="371"/>
      <c r="AF58" s="375"/>
      <c r="AG58" s="372"/>
      <c r="AH58" s="372"/>
      <c r="AI58" s="372"/>
      <c r="AJ58" s="373"/>
      <c r="AK58" s="374"/>
      <c r="AL58" s="372"/>
      <c r="AM58" s="372"/>
      <c r="AN58" s="372"/>
      <c r="AO58" s="371"/>
      <c r="AP58" s="375"/>
      <c r="AQ58" s="372"/>
      <c r="AR58" s="372"/>
      <c r="AS58" s="372"/>
      <c r="AT58" s="373"/>
      <c r="AU58" s="374"/>
      <c r="AV58" s="372"/>
      <c r="AW58" s="372"/>
      <c r="AX58" s="372"/>
      <c r="AY58" s="371"/>
      <c r="AZ58" s="375"/>
      <c r="BA58" s="372"/>
      <c r="BB58" s="372"/>
      <c r="BC58" s="372"/>
      <c r="BD58" s="373"/>
      <c r="BE58" s="374"/>
      <c r="BF58" s="372"/>
      <c r="BG58" s="372"/>
      <c r="BH58" s="372"/>
      <c r="BI58" s="371"/>
      <c r="BJ58" s="375"/>
      <c r="BK58" s="372"/>
      <c r="BL58" s="372"/>
      <c r="BM58" s="372"/>
      <c r="BN58" s="373"/>
      <c r="BO58" s="374"/>
      <c r="BP58" s="372"/>
      <c r="BQ58" s="372"/>
      <c r="BR58" s="372"/>
      <c r="BS58" s="371"/>
      <c r="BT58" s="375"/>
      <c r="BU58" s="372"/>
      <c r="BV58" s="372"/>
      <c r="BW58" s="372"/>
      <c r="BX58" s="373"/>
      <c r="BY58" s="374"/>
      <c r="BZ58" s="372"/>
      <c r="CA58" s="372"/>
      <c r="CB58" s="372"/>
      <c r="CC58" s="371"/>
      <c r="CD58" s="375"/>
      <c r="CE58" s="372"/>
      <c r="CF58" s="372"/>
      <c r="CG58" s="372"/>
      <c r="CH58" s="371"/>
      <c r="CI58" s="375"/>
      <c r="CJ58" s="372"/>
      <c r="CK58" s="372"/>
      <c r="CL58" s="372"/>
      <c r="CM58" s="373"/>
    </row>
    <row r="59" spans="1:91" ht="25.5" customHeight="1" thickBot="1">
      <c r="A59" s="411">
        <v>3902</v>
      </c>
      <c r="B59" s="412" t="s">
        <v>11</v>
      </c>
      <c r="C59" s="412" t="s">
        <v>44</v>
      </c>
      <c r="D59" s="412" t="s">
        <v>76</v>
      </c>
      <c r="E59" s="377" t="s">
        <v>53</v>
      </c>
      <c r="F59" s="412"/>
      <c r="G59" s="377" t="s">
        <v>372</v>
      </c>
      <c r="H59" s="376" t="s">
        <v>54</v>
      </c>
      <c r="I59" s="380"/>
      <c r="J59" s="377"/>
      <c r="K59" s="378"/>
      <c r="L59" s="413" t="s">
        <v>78</v>
      </c>
      <c r="M59" s="412" t="s">
        <v>77</v>
      </c>
      <c r="N59" s="412"/>
      <c r="O59" s="412" t="s">
        <v>77</v>
      </c>
      <c r="P59" s="414" t="s">
        <v>77</v>
      </c>
      <c r="Q59" s="413"/>
      <c r="R59" s="412"/>
      <c r="S59" s="412"/>
      <c r="T59" s="412"/>
      <c r="U59" s="415" t="s">
        <v>80</v>
      </c>
      <c r="V59" s="411"/>
      <c r="W59" s="377"/>
      <c r="X59" s="377"/>
      <c r="Y59" s="377"/>
      <c r="Z59" s="378"/>
      <c r="AA59" s="379"/>
      <c r="AB59" s="377"/>
      <c r="AC59" s="377"/>
      <c r="AD59" s="377"/>
      <c r="AE59" s="376"/>
      <c r="AF59" s="380"/>
      <c r="AG59" s="377"/>
      <c r="AH59" s="377"/>
      <c r="AI59" s="377"/>
      <c r="AJ59" s="378"/>
      <c r="AK59" s="379"/>
      <c r="AL59" s="377"/>
      <c r="AM59" s="377"/>
      <c r="AN59" s="377"/>
      <c r="AO59" s="376"/>
      <c r="AP59" s="380"/>
      <c r="AQ59" s="377"/>
      <c r="AR59" s="377"/>
      <c r="AS59" s="377"/>
      <c r="AT59" s="378"/>
      <c r="AU59" s="379"/>
      <c r="AV59" s="377"/>
      <c r="AW59" s="377"/>
      <c r="AX59" s="377"/>
      <c r="AY59" s="376"/>
      <c r="AZ59" s="380"/>
      <c r="BA59" s="377"/>
      <c r="BB59" s="377"/>
      <c r="BC59" s="377"/>
      <c r="BD59" s="378"/>
      <c r="BE59" s="379"/>
      <c r="BF59" s="377"/>
      <c r="BG59" s="377"/>
      <c r="BH59" s="377"/>
      <c r="BI59" s="376"/>
      <c r="BJ59" s="380"/>
      <c r="BK59" s="377"/>
      <c r="BL59" s="377"/>
      <c r="BM59" s="377"/>
      <c r="BN59" s="378"/>
      <c r="BO59" s="379"/>
      <c r="BP59" s="377"/>
      <c r="BQ59" s="377"/>
      <c r="BR59" s="377"/>
      <c r="BS59" s="376"/>
      <c r="BT59" s="380"/>
      <c r="BU59" s="377"/>
      <c r="BV59" s="377"/>
      <c r="BW59" s="377"/>
      <c r="BX59" s="378"/>
      <c r="BY59" s="379"/>
      <c r="BZ59" s="377"/>
      <c r="CA59" s="377"/>
      <c r="CB59" s="377"/>
      <c r="CC59" s="376"/>
      <c r="CD59" s="380"/>
      <c r="CE59" s="377"/>
      <c r="CF59" s="377"/>
      <c r="CG59" s="377"/>
      <c r="CH59" s="376"/>
      <c r="CI59" s="380"/>
      <c r="CJ59" s="377"/>
      <c r="CK59" s="377"/>
      <c r="CL59" s="377"/>
      <c r="CM59" s="378"/>
    </row>
    <row r="60" spans="1:91" ht="15" customHeight="1" thickBot="1">
      <c r="A60" s="48"/>
      <c r="B60" s="179"/>
      <c r="C60" s="180"/>
      <c r="D60" s="181"/>
      <c r="E60" s="17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50"/>
      <c r="CH60" s="50"/>
      <c r="CI60" s="50"/>
      <c r="CJ60" s="50"/>
      <c r="CK60" s="50"/>
      <c r="CL60" s="50"/>
      <c r="CM60" s="51"/>
    </row>
    <row r="61" spans="1:91" ht="25.5" customHeight="1" thickBot="1">
      <c r="A61" s="275" t="s">
        <v>31</v>
      </c>
      <c r="B61" s="276"/>
      <c r="C61" s="277"/>
      <c r="D61" s="192"/>
      <c r="E61" s="278" t="s">
        <v>32</v>
      </c>
      <c r="F61" s="276"/>
      <c r="G61" s="277"/>
      <c r="H61" s="193" t="s">
        <v>8</v>
      </c>
      <c r="I61" s="192" t="s">
        <v>9</v>
      </c>
      <c r="J61" s="192" t="s">
        <v>33</v>
      </c>
      <c r="K61" s="192" t="s">
        <v>10</v>
      </c>
      <c r="L61" s="291"/>
      <c r="M61" s="292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  <c r="AA61" s="292"/>
      <c r="AB61" s="292"/>
      <c r="AC61" s="292"/>
      <c r="AD61" s="292"/>
      <c r="AE61" s="292"/>
      <c r="AF61" s="292"/>
      <c r="AG61" s="292"/>
      <c r="AH61" s="292"/>
      <c r="AI61" s="292"/>
      <c r="AJ61" s="292"/>
      <c r="AK61" s="292"/>
      <c r="AL61" s="292"/>
      <c r="AM61" s="292"/>
      <c r="AN61" s="292"/>
      <c r="AO61" s="292"/>
      <c r="AP61" s="292"/>
      <c r="AQ61" s="292"/>
      <c r="AR61" s="292"/>
      <c r="AS61" s="292"/>
      <c r="AT61" s="292"/>
      <c r="AU61" s="292"/>
      <c r="AV61" s="292"/>
      <c r="AW61" s="292"/>
      <c r="AX61" s="292"/>
      <c r="AY61" s="292"/>
      <c r="AZ61" s="292"/>
      <c r="BA61" s="292"/>
      <c r="BB61" s="292"/>
      <c r="BC61" s="292"/>
      <c r="BD61" s="292"/>
      <c r="BE61" s="293"/>
      <c r="BF61" s="300"/>
      <c r="BG61" s="300"/>
      <c r="BH61" s="300"/>
      <c r="BI61" s="300"/>
      <c r="BJ61" s="300"/>
      <c r="BK61" s="300"/>
      <c r="BL61" s="300"/>
      <c r="BM61" s="300"/>
      <c r="BN61" s="300"/>
      <c r="BO61" s="300"/>
      <c r="BP61" s="300"/>
      <c r="BQ61" s="300"/>
      <c r="BR61" s="300"/>
      <c r="BS61" s="300"/>
      <c r="BT61" s="300"/>
      <c r="BU61" s="301"/>
      <c r="BV61" s="291"/>
      <c r="BW61" s="247"/>
      <c r="BX61" s="247"/>
      <c r="BY61" s="247"/>
      <c r="BZ61" s="247"/>
      <c r="CA61" s="247"/>
      <c r="CB61" s="247"/>
      <c r="CC61" s="247"/>
      <c r="CD61" s="247"/>
      <c r="CE61" s="247"/>
      <c r="CF61" s="247"/>
      <c r="CG61" s="247"/>
      <c r="CH61" s="247"/>
      <c r="CI61" s="247"/>
      <c r="CJ61" s="247"/>
      <c r="CK61" s="247"/>
      <c r="CL61" s="247"/>
      <c r="CM61" s="248"/>
    </row>
    <row r="62" spans="1:91" ht="25.5" customHeight="1">
      <c r="A62" s="288"/>
      <c r="B62" s="289"/>
      <c r="C62" s="289"/>
      <c r="D62" s="52"/>
      <c r="E62" s="290"/>
      <c r="F62" s="290"/>
      <c r="G62" s="290"/>
      <c r="H62" s="53"/>
      <c r="I62" s="53"/>
      <c r="J62" s="53"/>
      <c r="K62" s="54"/>
      <c r="L62" s="294"/>
      <c r="M62" s="295"/>
      <c r="N62" s="295"/>
      <c r="O62" s="295"/>
      <c r="P62" s="295"/>
      <c r="Q62" s="295"/>
      <c r="R62" s="295"/>
      <c r="S62" s="295"/>
      <c r="T62" s="295"/>
      <c r="U62" s="295"/>
      <c r="V62" s="295"/>
      <c r="W62" s="295"/>
      <c r="X62" s="295"/>
      <c r="Y62" s="295"/>
      <c r="Z62" s="295"/>
      <c r="AA62" s="295"/>
      <c r="AB62" s="295"/>
      <c r="AC62" s="295"/>
      <c r="AD62" s="295"/>
      <c r="AE62" s="295"/>
      <c r="AF62" s="295"/>
      <c r="AG62" s="295"/>
      <c r="AH62" s="295"/>
      <c r="AI62" s="295"/>
      <c r="AJ62" s="295"/>
      <c r="AK62" s="295"/>
      <c r="AL62" s="295"/>
      <c r="AM62" s="295"/>
      <c r="AN62" s="295"/>
      <c r="AO62" s="295"/>
      <c r="AP62" s="295"/>
      <c r="AQ62" s="295"/>
      <c r="AR62" s="295"/>
      <c r="AS62" s="295"/>
      <c r="AT62" s="295"/>
      <c r="AU62" s="295"/>
      <c r="AV62" s="295"/>
      <c r="AW62" s="295"/>
      <c r="AX62" s="295"/>
      <c r="AY62" s="295"/>
      <c r="AZ62" s="295"/>
      <c r="BA62" s="295"/>
      <c r="BB62" s="295"/>
      <c r="BC62" s="295"/>
      <c r="BD62" s="295"/>
      <c r="BE62" s="296"/>
      <c r="BF62" s="302"/>
      <c r="BG62" s="302"/>
      <c r="BH62" s="302"/>
      <c r="BI62" s="302"/>
      <c r="BJ62" s="302"/>
      <c r="BK62" s="302"/>
      <c r="BL62" s="302"/>
      <c r="BM62" s="302"/>
      <c r="BN62" s="302"/>
      <c r="BO62" s="302"/>
      <c r="BP62" s="302"/>
      <c r="BQ62" s="302"/>
      <c r="BR62" s="302"/>
      <c r="BS62" s="302"/>
      <c r="BT62" s="302"/>
      <c r="BU62" s="303"/>
      <c r="BV62" s="306"/>
      <c r="BW62" s="249"/>
      <c r="BX62" s="249"/>
      <c r="BY62" s="249"/>
      <c r="BZ62" s="249"/>
      <c r="CA62" s="249"/>
      <c r="CB62" s="249"/>
      <c r="CC62" s="249"/>
      <c r="CD62" s="249"/>
      <c r="CE62" s="249"/>
      <c r="CF62" s="249"/>
      <c r="CG62" s="249"/>
      <c r="CH62" s="249"/>
      <c r="CI62" s="249"/>
      <c r="CJ62" s="249"/>
      <c r="CK62" s="249"/>
      <c r="CL62" s="249"/>
      <c r="CM62" s="250"/>
    </row>
    <row r="63" spans="1:91" ht="25.5" customHeight="1" thickBot="1">
      <c r="A63" s="288"/>
      <c r="B63" s="289"/>
      <c r="C63" s="289"/>
      <c r="D63" s="52"/>
      <c r="E63" s="290"/>
      <c r="F63" s="290"/>
      <c r="G63" s="290"/>
      <c r="H63" s="53"/>
      <c r="I63" s="53"/>
      <c r="J63" s="53"/>
      <c r="K63" s="54"/>
      <c r="L63" s="294"/>
      <c r="M63" s="295"/>
      <c r="N63" s="295"/>
      <c r="O63" s="295"/>
      <c r="P63" s="295"/>
      <c r="Q63" s="295"/>
      <c r="R63" s="295"/>
      <c r="S63" s="295"/>
      <c r="T63" s="295"/>
      <c r="U63" s="295"/>
      <c r="V63" s="295"/>
      <c r="W63" s="295"/>
      <c r="X63" s="295"/>
      <c r="Y63" s="295"/>
      <c r="Z63" s="295"/>
      <c r="AA63" s="295"/>
      <c r="AB63" s="295"/>
      <c r="AC63" s="295"/>
      <c r="AD63" s="295"/>
      <c r="AE63" s="295"/>
      <c r="AF63" s="295"/>
      <c r="AG63" s="295"/>
      <c r="AH63" s="295"/>
      <c r="AI63" s="295"/>
      <c r="AJ63" s="295"/>
      <c r="AK63" s="295"/>
      <c r="AL63" s="295"/>
      <c r="AM63" s="295"/>
      <c r="AN63" s="295"/>
      <c r="AO63" s="295"/>
      <c r="AP63" s="295"/>
      <c r="AQ63" s="295"/>
      <c r="AR63" s="295"/>
      <c r="AS63" s="295"/>
      <c r="AT63" s="295"/>
      <c r="AU63" s="295"/>
      <c r="AV63" s="295"/>
      <c r="AW63" s="295"/>
      <c r="AX63" s="295"/>
      <c r="AY63" s="295"/>
      <c r="AZ63" s="295"/>
      <c r="BA63" s="295"/>
      <c r="BB63" s="295"/>
      <c r="BC63" s="295"/>
      <c r="BD63" s="295"/>
      <c r="BE63" s="296"/>
      <c r="BF63" s="304"/>
      <c r="BG63" s="304"/>
      <c r="BH63" s="304"/>
      <c r="BI63" s="304"/>
      <c r="BJ63" s="304"/>
      <c r="BK63" s="304"/>
      <c r="BL63" s="304"/>
      <c r="BM63" s="304"/>
      <c r="BN63" s="304"/>
      <c r="BO63" s="304"/>
      <c r="BP63" s="304"/>
      <c r="BQ63" s="304"/>
      <c r="BR63" s="304"/>
      <c r="BS63" s="304"/>
      <c r="BT63" s="304"/>
      <c r="BU63" s="305"/>
      <c r="BV63" s="263"/>
      <c r="BW63" s="251"/>
      <c r="BX63" s="251"/>
      <c r="BY63" s="251"/>
      <c r="BZ63" s="251"/>
      <c r="CA63" s="251"/>
      <c r="CB63" s="251"/>
      <c r="CC63" s="251"/>
      <c r="CD63" s="251"/>
      <c r="CE63" s="251"/>
      <c r="CF63" s="251"/>
      <c r="CG63" s="251"/>
      <c r="CH63" s="251"/>
      <c r="CI63" s="251"/>
      <c r="CJ63" s="251"/>
      <c r="CK63" s="251"/>
      <c r="CL63" s="251"/>
      <c r="CM63" s="252"/>
    </row>
    <row r="64" spans="1:91" ht="27" customHeight="1">
      <c r="A64" s="288"/>
      <c r="B64" s="289"/>
      <c r="C64" s="289"/>
      <c r="D64" s="52"/>
      <c r="E64" s="290"/>
      <c r="F64" s="290"/>
      <c r="G64" s="290"/>
      <c r="H64" s="53"/>
      <c r="I64" s="53"/>
      <c r="J64" s="53"/>
      <c r="K64" s="54"/>
      <c r="L64" s="294"/>
      <c r="M64" s="295"/>
      <c r="N64" s="295"/>
      <c r="O64" s="295"/>
      <c r="P64" s="295"/>
      <c r="Q64" s="295"/>
      <c r="R64" s="295"/>
      <c r="S64" s="295"/>
      <c r="T64" s="295"/>
      <c r="U64" s="295"/>
      <c r="V64" s="295"/>
      <c r="W64" s="295"/>
      <c r="X64" s="295"/>
      <c r="Y64" s="295"/>
      <c r="Z64" s="295"/>
      <c r="AA64" s="295"/>
      <c r="AB64" s="295"/>
      <c r="AC64" s="295"/>
      <c r="AD64" s="295"/>
      <c r="AE64" s="295"/>
      <c r="AF64" s="295"/>
      <c r="AG64" s="295"/>
      <c r="AH64" s="295"/>
      <c r="AI64" s="295"/>
      <c r="AJ64" s="295"/>
      <c r="AK64" s="295"/>
      <c r="AL64" s="295"/>
      <c r="AM64" s="295"/>
      <c r="AN64" s="295"/>
      <c r="AO64" s="295"/>
      <c r="AP64" s="295"/>
      <c r="AQ64" s="295"/>
      <c r="AR64" s="295"/>
      <c r="AS64" s="295"/>
      <c r="AT64" s="295"/>
      <c r="AU64" s="295"/>
      <c r="AV64" s="295"/>
      <c r="AW64" s="295"/>
      <c r="AX64" s="295"/>
      <c r="AY64" s="295"/>
      <c r="AZ64" s="295"/>
      <c r="BA64" s="295"/>
      <c r="BB64" s="295"/>
      <c r="BC64" s="295"/>
      <c r="BD64" s="295"/>
      <c r="BE64" s="296"/>
      <c r="BF64" s="247" t="s">
        <v>89</v>
      </c>
      <c r="BG64" s="247"/>
      <c r="BH64" s="247"/>
      <c r="BI64" s="247"/>
      <c r="BJ64" s="247"/>
      <c r="BK64" s="247"/>
      <c r="BL64" s="247"/>
      <c r="BM64" s="247"/>
      <c r="BN64" s="247"/>
      <c r="BO64" s="247"/>
      <c r="BP64" s="247"/>
      <c r="BQ64" s="247"/>
      <c r="BR64" s="247"/>
      <c r="BS64" s="247"/>
      <c r="BT64" s="247"/>
      <c r="BU64" s="248"/>
      <c r="BV64" s="279" t="s">
        <v>90</v>
      </c>
      <c r="BW64" s="280"/>
      <c r="BX64" s="280"/>
      <c r="BY64" s="280"/>
      <c r="BZ64" s="280"/>
      <c r="CA64" s="280"/>
      <c r="CB64" s="280"/>
      <c r="CC64" s="280"/>
      <c r="CD64" s="280"/>
      <c r="CE64" s="280"/>
      <c r="CF64" s="280"/>
      <c r="CG64" s="280"/>
      <c r="CH64" s="280"/>
      <c r="CI64" s="280"/>
      <c r="CJ64" s="280"/>
      <c r="CK64" s="280"/>
      <c r="CL64" s="280"/>
      <c r="CM64" s="281"/>
    </row>
    <row r="65" spans="1:91" ht="25.5" customHeight="1">
      <c r="A65" s="288"/>
      <c r="B65" s="289"/>
      <c r="C65" s="289"/>
      <c r="D65" s="52"/>
      <c r="E65" s="290"/>
      <c r="F65" s="290"/>
      <c r="G65" s="290"/>
      <c r="H65" s="53"/>
      <c r="I65" s="53"/>
      <c r="J65" s="53"/>
      <c r="K65" s="54"/>
      <c r="L65" s="294"/>
      <c r="M65" s="295"/>
      <c r="N65" s="295"/>
      <c r="O65" s="295"/>
      <c r="P65" s="295"/>
      <c r="Q65" s="295"/>
      <c r="R65" s="295"/>
      <c r="S65" s="295"/>
      <c r="T65" s="295"/>
      <c r="U65" s="295"/>
      <c r="V65" s="295"/>
      <c r="W65" s="295"/>
      <c r="X65" s="295"/>
      <c r="Y65" s="295"/>
      <c r="Z65" s="295"/>
      <c r="AA65" s="295"/>
      <c r="AB65" s="295"/>
      <c r="AC65" s="295"/>
      <c r="AD65" s="295"/>
      <c r="AE65" s="295"/>
      <c r="AF65" s="295"/>
      <c r="AG65" s="295"/>
      <c r="AH65" s="295"/>
      <c r="AI65" s="295"/>
      <c r="AJ65" s="295"/>
      <c r="AK65" s="295"/>
      <c r="AL65" s="295"/>
      <c r="AM65" s="295"/>
      <c r="AN65" s="295"/>
      <c r="AO65" s="295"/>
      <c r="AP65" s="295"/>
      <c r="AQ65" s="295"/>
      <c r="AR65" s="295"/>
      <c r="AS65" s="295"/>
      <c r="AT65" s="295"/>
      <c r="AU65" s="295"/>
      <c r="AV65" s="295"/>
      <c r="AW65" s="295"/>
      <c r="AX65" s="295"/>
      <c r="AY65" s="295"/>
      <c r="AZ65" s="295"/>
      <c r="BA65" s="295"/>
      <c r="BB65" s="295"/>
      <c r="BC65" s="295"/>
      <c r="BD65" s="295"/>
      <c r="BE65" s="296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50"/>
      <c r="BV65" s="282"/>
      <c r="BW65" s="283"/>
      <c r="BX65" s="283"/>
      <c r="BY65" s="283"/>
      <c r="BZ65" s="283"/>
      <c r="CA65" s="283"/>
      <c r="CB65" s="283"/>
      <c r="CC65" s="283"/>
      <c r="CD65" s="283"/>
      <c r="CE65" s="283"/>
      <c r="CF65" s="283"/>
      <c r="CG65" s="283"/>
      <c r="CH65" s="283"/>
      <c r="CI65" s="283"/>
      <c r="CJ65" s="283"/>
      <c r="CK65" s="283"/>
      <c r="CL65" s="283"/>
      <c r="CM65" s="284"/>
    </row>
    <row r="66" spans="1:91" ht="25.5" customHeight="1" thickBot="1">
      <c r="A66" s="288"/>
      <c r="B66" s="289"/>
      <c r="C66" s="289"/>
      <c r="D66" s="52"/>
      <c r="E66" s="290"/>
      <c r="F66" s="290"/>
      <c r="G66" s="290"/>
      <c r="H66" s="53"/>
      <c r="I66" s="53"/>
      <c r="J66" s="53"/>
      <c r="K66" s="54"/>
      <c r="L66" s="294"/>
      <c r="M66" s="295"/>
      <c r="N66" s="295"/>
      <c r="O66" s="295"/>
      <c r="P66" s="295"/>
      <c r="Q66" s="295"/>
      <c r="R66" s="295"/>
      <c r="S66" s="295"/>
      <c r="T66" s="295"/>
      <c r="U66" s="295"/>
      <c r="V66" s="295"/>
      <c r="W66" s="295"/>
      <c r="X66" s="295"/>
      <c r="Y66" s="295"/>
      <c r="Z66" s="295"/>
      <c r="AA66" s="295"/>
      <c r="AB66" s="295"/>
      <c r="AC66" s="295"/>
      <c r="AD66" s="295"/>
      <c r="AE66" s="295"/>
      <c r="AF66" s="295"/>
      <c r="AG66" s="295"/>
      <c r="AH66" s="295"/>
      <c r="AI66" s="295"/>
      <c r="AJ66" s="295"/>
      <c r="AK66" s="295"/>
      <c r="AL66" s="295"/>
      <c r="AM66" s="295"/>
      <c r="AN66" s="295"/>
      <c r="AO66" s="295"/>
      <c r="AP66" s="295"/>
      <c r="AQ66" s="295"/>
      <c r="AR66" s="295"/>
      <c r="AS66" s="295"/>
      <c r="AT66" s="295"/>
      <c r="AU66" s="295"/>
      <c r="AV66" s="295"/>
      <c r="AW66" s="295"/>
      <c r="AX66" s="295"/>
      <c r="AY66" s="295"/>
      <c r="AZ66" s="295"/>
      <c r="BA66" s="295"/>
      <c r="BB66" s="295"/>
      <c r="BC66" s="295"/>
      <c r="BD66" s="295"/>
      <c r="BE66" s="296"/>
      <c r="BF66" s="251"/>
      <c r="BG66" s="251"/>
      <c r="BH66" s="251"/>
      <c r="BI66" s="251"/>
      <c r="BJ66" s="251"/>
      <c r="BK66" s="251"/>
      <c r="BL66" s="251"/>
      <c r="BM66" s="251"/>
      <c r="BN66" s="251"/>
      <c r="BO66" s="251"/>
      <c r="BP66" s="251"/>
      <c r="BQ66" s="251"/>
      <c r="BR66" s="251"/>
      <c r="BS66" s="251"/>
      <c r="BT66" s="251"/>
      <c r="BU66" s="252"/>
      <c r="BV66" s="285"/>
      <c r="BW66" s="286"/>
      <c r="BX66" s="286"/>
      <c r="BY66" s="286"/>
      <c r="BZ66" s="286"/>
      <c r="CA66" s="286"/>
      <c r="CB66" s="286"/>
      <c r="CC66" s="286"/>
      <c r="CD66" s="286"/>
      <c r="CE66" s="286"/>
      <c r="CF66" s="286"/>
      <c r="CG66" s="286"/>
      <c r="CH66" s="286"/>
      <c r="CI66" s="286"/>
      <c r="CJ66" s="286"/>
      <c r="CK66" s="286"/>
      <c r="CL66" s="286"/>
      <c r="CM66" s="287"/>
    </row>
    <row r="67" spans="1:91" ht="25.5" customHeight="1">
      <c r="A67" s="255" t="e">
        <f>IF(#REF!&lt;&gt;"",#REF!,"")</f>
        <v>#REF!</v>
      </c>
      <c r="B67" s="256"/>
      <c r="C67" s="256"/>
      <c r="D67" s="185"/>
      <c r="E67" s="257" t="e">
        <f>IF(#REF!&lt;&gt;"",#REF!,"")</f>
        <v>#REF!</v>
      </c>
      <c r="F67" s="257"/>
      <c r="G67" s="257"/>
      <c r="H67" s="186" t="e">
        <f>IF(#REF!&lt;&gt;"",#REF!,"")</f>
        <v>#REF!</v>
      </c>
      <c r="I67" s="186" t="e">
        <f>IF(#REF!&lt;&gt;"",#REF!,"")</f>
        <v>#REF!</v>
      </c>
      <c r="J67" s="186" t="e">
        <f>IF(#REF!&lt;&gt;"",#REF!,"")</f>
        <v>#REF!</v>
      </c>
      <c r="K67" s="187" t="e">
        <f>IF(#REF!&lt;&gt;"",#REF!,"")</f>
        <v>#REF!</v>
      </c>
      <c r="L67" s="294"/>
      <c r="M67" s="295"/>
      <c r="N67" s="295"/>
      <c r="O67" s="295"/>
      <c r="P67" s="295"/>
      <c r="Q67" s="295"/>
      <c r="R67" s="295"/>
      <c r="S67" s="295"/>
      <c r="T67" s="295"/>
      <c r="U67" s="295"/>
      <c r="V67" s="295"/>
      <c r="W67" s="295"/>
      <c r="X67" s="295"/>
      <c r="Y67" s="295"/>
      <c r="Z67" s="295"/>
      <c r="AA67" s="295"/>
      <c r="AB67" s="295"/>
      <c r="AC67" s="295"/>
      <c r="AD67" s="295"/>
      <c r="AE67" s="295"/>
      <c r="AF67" s="295"/>
      <c r="AG67" s="295"/>
      <c r="AH67" s="295"/>
      <c r="AI67" s="295"/>
      <c r="AJ67" s="295"/>
      <c r="AK67" s="295"/>
      <c r="AL67" s="295"/>
      <c r="AM67" s="295"/>
      <c r="AN67" s="295"/>
      <c r="AO67" s="295"/>
      <c r="AP67" s="295"/>
      <c r="AQ67" s="295"/>
      <c r="AR67" s="295"/>
      <c r="AS67" s="295"/>
      <c r="AT67" s="295"/>
      <c r="AU67" s="295"/>
      <c r="AV67" s="295"/>
      <c r="AW67" s="295"/>
      <c r="AX67" s="295"/>
      <c r="AY67" s="295"/>
      <c r="AZ67" s="295"/>
      <c r="BA67" s="295"/>
      <c r="BB67" s="295"/>
      <c r="BC67" s="295"/>
      <c r="BD67" s="295"/>
      <c r="BE67" s="296"/>
      <c r="BF67" s="272" t="s">
        <v>34</v>
      </c>
      <c r="BG67" s="272"/>
      <c r="BH67" s="272"/>
      <c r="BI67" s="272"/>
      <c r="BJ67" s="272"/>
      <c r="BK67" s="272"/>
      <c r="BL67" s="272"/>
      <c r="BM67" s="272"/>
      <c r="BN67" s="272"/>
      <c r="BO67" s="272"/>
      <c r="BP67" s="272"/>
      <c r="BQ67" s="272"/>
      <c r="BR67" s="272"/>
      <c r="BS67" s="272"/>
      <c r="BT67" s="272"/>
      <c r="BU67" s="254"/>
      <c r="BV67" s="273" t="s">
        <v>35</v>
      </c>
      <c r="BW67" s="272"/>
      <c r="BX67" s="274"/>
      <c r="BY67" s="253" t="s">
        <v>36</v>
      </c>
      <c r="BZ67" s="272"/>
      <c r="CA67" s="272"/>
      <c r="CB67" s="272"/>
      <c r="CC67" s="272"/>
      <c r="CD67" s="272"/>
      <c r="CE67" s="272"/>
      <c r="CF67" s="272"/>
      <c r="CG67" s="272"/>
      <c r="CH67" s="272"/>
      <c r="CI67" s="272"/>
      <c r="CJ67" s="272"/>
      <c r="CK67" s="274"/>
      <c r="CL67" s="253" t="s">
        <v>37</v>
      </c>
      <c r="CM67" s="254"/>
    </row>
    <row r="68" spans="1:91" ht="25.5" customHeight="1">
      <c r="A68" s="255" t="e">
        <f>IF(#REF!&lt;&gt;"",#REF!,"")</f>
        <v>#REF!</v>
      </c>
      <c r="B68" s="256"/>
      <c r="C68" s="256"/>
      <c r="D68" s="185"/>
      <c r="E68" s="257" t="e">
        <f>IF(#REF!&lt;&gt;"",#REF!,"")</f>
        <v>#REF!</v>
      </c>
      <c r="F68" s="257"/>
      <c r="G68" s="257"/>
      <c r="H68" s="186" t="e">
        <f>IF(#REF!&lt;&gt;"",#REF!,"")</f>
        <v>#REF!</v>
      </c>
      <c r="I68" s="186" t="e">
        <f>IF(#REF!&lt;&gt;"",#REF!,"")</f>
        <v>#REF!</v>
      </c>
      <c r="J68" s="186" t="e">
        <f>IF(#REF!&lt;&gt;"",#REF!,"")</f>
        <v>#REF!</v>
      </c>
      <c r="K68" s="187" t="e">
        <f>IF(#REF!&lt;&gt;"",#REF!,"")</f>
        <v>#REF!</v>
      </c>
      <c r="L68" s="294"/>
      <c r="M68" s="295"/>
      <c r="N68" s="295"/>
      <c r="O68" s="295"/>
      <c r="P68" s="295"/>
      <c r="Q68" s="295"/>
      <c r="R68" s="295"/>
      <c r="S68" s="295"/>
      <c r="T68" s="295"/>
      <c r="U68" s="295"/>
      <c r="V68" s="295"/>
      <c r="W68" s="295"/>
      <c r="X68" s="295"/>
      <c r="Y68" s="295"/>
      <c r="Z68" s="295"/>
      <c r="AA68" s="295"/>
      <c r="AB68" s="295"/>
      <c r="AC68" s="295"/>
      <c r="AD68" s="295"/>
      <c r="AE68" s="295"/>
      <c r="AF68" s="295"/>
      <c r="AG68" s="295"/>
      <c r="AH68" s="295"/>
      <c r="AI68" s="295"/>
      <c r="AJ68" s="295"/>
      <c r="AK68" s="295"/>
      <c r="AL68" s="295"/>
      <c r="AM68" s="295"/>
      <c r="AN68" s="295"/>
      <c r="AO68" s="295"/>
      <c r="AP68" s="295"/>
      <c r="AQ68" s="295"/>
      <c r="AR68" s="295"/>
      <c r="AS68" s="295"/>
      <c r="AT68" s="295"/>
      <c r="AU68" s="295"/>
      <c r="AV68" s="295"/>
      <c r="AW68" s="295"/>
      <c r="AX68" s="295"/>
      <c r="AY68" s="295"/>
      <c r="AZ68" s="295"/>
      <c r="BA68" s="295"/>
      <c r="BB68" s="295"/>
      <c r="BC68" s="295"/>
      <c r="BD68" s="295"/>
      <c r="BE68" s="296"/>
      <c r="BF68" s="258" t="s">
        <v>5</v>
      </c>
      <c r="BG68" s="259"/>
      <c r="BH68" s="259"/>
      <c r="BI68" s="259"/>
      <c r="BJ68" s="259"/>
      <c r="BK68" s="259"/>
      <c r="BL68" s="259"/>
      <c r="BM68" s="259"/>
      <c r="BN68" s="259"/>
      <c r="BO68" s="259"/>
      <c r="BP68" s="259"/>
      <c r="BQ68" s="259"/>
      <c r="BR68" s="259"/>
      <c r="BS68" s="259"/>
      <c r="BT68" s="259"/>
      <c r="BU68" s="260"/>
      <c r="BV68" s="261" t="s">
        <v>12</v>
      </c>
      <c r="BW68" s="259"/>
      <c r="BX68" s="262"/>
      <c r="BY68" s="265" t="s">
        <v>1692</v>
      </c>
      <c r="BZ68" s="266"/>
      <c r="CA68" s="266"/>
      <c r="CB68" s="266"/>
      <c r="CC68" s="266"/>
      <c r="CD68" s="266"/>
      <c r="CE68" s="266"/>
      <c r="CF68" s="266"/>
      <c r="CG68" s="266"/>
      <c r="CH68" s="266"/>
      <c r="CI68" s="266"/>
      <c r="CJ68" s="266"/>
      <c r="CK68" s="267"/>
      <c r="CL68" s="227" t="s">
        <v>11</v>
      </c>
      <c r="CM68" s="260"/>
    </row>
    <row r="69" spans="1:91" ht="25.5" customHeight="1" thickBot="1">
      <c r="A69" s="255" t="e">
        <f>IF(#REF!&lt;&gt;"",#REF!,"")</f>
        <v>#REF!</v>
      </c>
      <c r="B69" s="256"/>
      <c r="C69" s="256"/>
      <c r="D69" s="185"/>
      <c r="E69" s="257" t="e">
        <f>IF(#REF!&lt;&gt;"",#REF!,"")</f>
        <v>#REF!</v>
      </c>
      <c r="F69" s="257"/>
      <c r="G69" s="257"/>
      <c r="H69" s="186" t="e">
        <f>IF(#REF!&lt;&gt;"",#REF!,"")</f>
        <v>#REF!</v>
      </c>
      <c r="I69" s="186" t="e">
        <f>IF(#REF!&lt;&gt;"",#REF!,"")</f>
        <v>#REF!</v>
      </c>
      <c r="J69" s="186" t="e">
        <f>IF(#REF!&lt;&gt;"",#REF!,"")</f>
        <v>#REF!</v>
      </c>
      <c r="K69" s="187" t="e">
        <f>IF(#REF!&lt;&gt;"",#REF!,"")</f>
        <v>#REF!</v>
      </c>
      <c r="L69" s="297"/>
      <c r="M69" s="298"/>
      <c r="N69" s="298"/>
      <c r="O69" s="298"/>
      <c r="P69" s="298"/>
      <c r="Q69" s="298"/>
      <c r="R69" s="298"/>
      <c r="S69" s="298"/>
      <c r="T69" s="298"/>
      <c r="U69" s="298"/>
      <c r="V69" s="298"/>
      <c r="W69" s="298"/>
      <c r="X69" s="298"/>
      <c r="Y69" s="298"/>
      <c r="Z69" s="298"/>
      <c r="AA69" s="298"/>
      <c r="AB69" s="298"/>
      <c r="AC69" s="298"/>
      <c r="AD69" s="298"/>
      <c r="AE69" s="298"/>
      <c r="AF69" s="298"/>
      <c r="AG69" s="298"/>
      <c r="AH69" s="298"/>
      <c r="AI69" s="298"/>
      <c r="AJ69" s="298"/>
      <c r="AK69" s="298"/>
      <c r="AL69" s="298"/>
      <c r="AM69" s="298"/>
      <c r="AN69" s="298"/>
      <c r="AO69" s="298"/>
      <c r="AP69" s="298"/>
      <c r="AQ69" s="298"/>
      <c r="AR69" s="298"/>
      <c r="AS69" s="298"/>
      <c r="AT69" s="298"/>
      <c r="AU69" s="298"/>
      <c r="AV69" s="298"/>
      <c r="AW69" s="298"/>
      <c r="AX69" s="298"/>
      <c r="AY69" s="298"/>
      <c r="AZ69" s="298"/>
      <c r="BA69" s="298"/>
      <c r="BB69" s="298"/>
      <c r="BC69" s="298"/>
      <c r="BD69" s="298"/>
      <c r="BE69" s="299"/>
      <c r="BF69" s="251"/>
      <c r="BG69" s="251"/>
      <c r="BH69" s="251"/>
      <c r="BI69" s="251"/>
      <c r="BJ69" s="251"/>
      <c r="BK69" s="251"/>
      <c r="BL69" s="251"/>
      <c r="BM69" s="251"/>
      <c r="BN69" s="251"/>
      <c r="BO69" s="251"/>
      <c r="BP69" s="251"/>
      <c r="BQ69" s="251"/>
      <c r="BR69" s="251"/>
      <c r="BS69" s="251"/>
      <c r="BT69" s="251"/>
      <c r="BU69" s="252"/>
      <c r="BV69" s="263"/>
      <c r="BW69" s="251"/>
      <c r="BX69" s="264"/>
      <c r="BY69" s="268"/>
      <c r="BZ69" s="269"/>
      <c r="CA69" s="269"/>
      <c r="CB69" s="269"/>
      <c r="CC69" s="269"/>
      <c r="CD69" s="269"/>
      <c r="CE69" s="269"/>
      <c r="CF69" s="269"/>
      <c r="CG69" s="269"/>
      <c r="CH69" s="269"/>
      <c r="CI69" s="269"/>
      <c r="CJ69" s="269"/>
      <c r="CK69" s="270"/>
      <c r="CL69" s="271"/>
      <c r="CM69" s="252"/>
    </row>
    <row r="70" spans="1:91" ht="12" customHeight="1">
      <c r="A70" s="55"/>
      <c r="B70" s="56"/>
      <c r="C70" s="56"/>
      <c r="D70" s="56"/>
      <c r="E70" s="57"/>
      <c r="F70" s="58"/>
      <c r="G70" s="58"/>
      <c r="H70" s="58"/>
      <c r="I70" s="59"/>
      <c r="BL70" s="17"/>
      <c r="BM70" s="17"/>
      <c r="BN70" s="17"/>
      <c r="BO70" s="17"/>
      <c r="BP70" s="17"/>
      <c r="BQ70" s="17"/>
      <c r="BR70" s="17"/>
      <c r="BS70" s="17"/>
      <c r="BT70" s="61"/>
      <c r="CD70" s="57"/>
      <c r="CE70" s="57"/>
      <c r="CF70" s="57"/>
      <c r="CG70" s="57"/>
      <c r="CH70" s="57"/>
      <c r="CI70" s="57"/>
      <c r="CJ70" s="57"/>
      <c r="CK70" s="57"/>
      <c r="CL70" s="57"/>
      <c r="CM70" s="57"/>
    </row>
  </sheetData>
  <mergeCells count="45"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BV64:CM66"/>
    <mergeCell ref="A65:C65"/>
    <mergeCell ref="E65:G65"/>
    <mergeCell ref="A66:C66"/>
    <mergeCell ref="E66:G66"/>
    <mergeCell ref="A67:C67"/>
    <mergeCell ref="E67:G67"/>
    <mergeCell ref="BF67:BU67"/>
    <mergeCell ref="BV67:BX67"/>
    <mergeCell ref="BY67:CK67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BF64:BU66"/>
    <mergeCell ref="G7:G9"/>
    <mergeCell ref="H7:H9"/>
    <mergeCell ref="I7:K7"/>
    <mergeCell ref="J8:K8"/>
    <mergeCell ref="A61:C61"/>
    <mergeCell ref="E61:G61"/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29" orientation="landscape" r:id="rId1"/>
  <headerFooter alignWithMargins="0">
    <oddFooter xml:space="preserve">&amp;L&amp;Z&amp;F&amp;C&amp;D&amp;RConcise DesignShutdown Key 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DQ70"/>
  <sheetViews>
    <sheetView showGridLines="0" view="pageBreakPreview" topLeftCell="C1" zoomScale="50" zoomScaleNormal="50" zoomScaleSheetLayoutView="50" zoomScalePageLayoutView="50" workbookViewId="0">
      <selection activeCell="I1" sqref="I1:K9"/>
    </sheetView>
  </sheetViews>
  <sheetFormatPr defaultColWidth="12.7109375" defaultRowHeight="12" customHeight="1"/>
  <cols>
    <col min="1" max="1" width="8.7109375" style="21" hidden="1" customWidth="1"/>
    <col min="2" max="2" width="7.42578125" style="21" hidden="1" customWidth="1"/>
    <col min="3" max="3" width="19" style="21" customWidth="1"/>
    <col min="4" max="4" width="25.42578125" style="21" hidden="1" customWidth="1"/>
    <col min="5" max="5" width="95.85546875" style="27" bestFit="1" customWidth="1"/>
    <col min="6" max="6" width="18.42578125" style="196" hidden="1" customWidth="1"/>
    <col min="7" max="7" width="31.5703125" style="196" bestFit="1" customWidth="1"/>
    <col min="8" max="8" width="33" style="196" bestFit="1" customWidth="1"/>
    <col min="9" max="10" width="8.42578125" style="41" customWidth="1"/>
    <col min="11" max="11" width="10.85546875" style="41" bestFit="1" customWidth="1"/>
    <col min="12" max="12" width="6.140625" style="60" hidden="1" customWidth="1"/>
    <col min="13" max="14" width="6.140625" style="27" customWidth="1"/>
    <col min="15" max="16" width="6.140625" style="27" hidden="1" customWidth="1"/>
    <col min="17" max="21" width="6.140625" style="27" customWidth="1"/>
    <col min="22" max="22" width="6.140625" style="60" customWidth="1"/>
    <col min="23" max="31" width="6.140625" style="27" customWidth="1"/>
    <col min="32" max="32" width="6.140625" style="60" customWidth="1"/>
    <col min="33" max="41" width="6.140625" style="27" customWidth="1"/>
    <col min="42" max="42" width="6.140625" style="60" customWidth="1"/>
    <col min="43" max="51" width="6.140625" style="27" customWidth="1"/>
    <col min="52" max="52" width="6.140625" style="60" customWidth="1"/>
    <col min="53" max="61" width="6.140625" style="27" customWidth="1"/>
    <col min="62" max="62" width="6.140625" style="60" customWidth="1"/>
    <col min="63" max="71" width="6.140625" style="27" customWidth="1"/>
    <col min="72" max="72" width="6.140625" style="60" customWidth="1"/>
    <col min="73" max="80" width="6.140625" style="27" customWidth="1"/>
    <col min="81" max="81" width="6.140625" style="62" customWidth="1"/>
    <col min="82" max="91" width="6.140625" style="27" customWidth="1"/>
    <col min="92" max="16384" width="12.7109375" style="27"/>
  </cols>
  <sheetData>
    <row r="1" spans="1:121" s="194" customFormat="1" ht="20.25" customHeight="1">
      <c r="A1" s="15"/>
      <c r="B1" s="16"/>
      <c r="C1" s="16"/>
      <c r="D1" s="16"/>
      <c r="E1" s="17"/>
      <c r="F1" s="195"/>
      <c r="G1" s="195"/>
      <c r="H1" s="195"/>
      <c r="I1" s="18"/>
      <c r="J1" s="19" t="s">
        <v>13</v>
      </c>
      <c r="K1" s="20"/>
      <c r="L1" s="407">
        <v>1</v>
      </c>
      <c r="M1" s="402">
        <v>2</v>
      </c>
      <c r="N1" s="402">
        <v>3</v>
      </c>
      <c r="O1" s="402">
        <v>4</v>
      </c>
      <c r="P1" s="408">
        <v>6</v>
      </c>
      <c r="Q1" s="407">
        <v>7</v>
      </c>
      <c r="R1" s="402">
        <v>238</v>
      </c>
      <c r="S1" s="402">
        <v>889</v>
      </c>
      <c r="T1" s="402">
        <v>887</v>
      </c>
      <c r="U1" s="409">
        <v>888</v>
      </c>
      <c r="V1" s="401">
        <v>231</v>
      </c>
      <c r="W1" s="403">
        <v>7777</v>
      </c>
      <c r="X1" s="403"/>
      <c r="Y1" s="403"/>
      <c r="Z1" s="406"/>
      <c r="AA1" s="410"/>
      <c r="AB1" s="403"/>
      <c r="AC1" s="403"/>
      <c r="AD1" s="403"/>
      <c r="AE1" s="404"/>
      <c r="AF1" s="405"/>
      <c r="AG1" s="403"/>
      <c r="AH1" s="403"/>
      <c r="AI1" s="403"/>
      <c r="AJ1" s="406"/>
      <c r="AK1" s="410"/>
      <c r="AL1" s="403"/>
      <c r="AM1" s="403"/>
      <c r="AN1" s="403"/>
      <c r="AO1" s="404"/>
      <c r="AP1" s="405"/>
      <c r="AQ1" s="403"/>
      <c r="AR1" s="403"/>
      <c r="AS1" s="403"/>
      <c r="AT1" s="406"/>
      <c r="AU1" s="410"/>
      <c r="AV1" s="403"/>
      <c r="AW1" s="403"/>
      <c r="AX1" s="403"/>
      <c r="AY1" s="404"/>
      <c r="AZ1" s="405"/>
      <c r="BA1" s="403"/>
      <c r="BB1" s="403"/>
      <c r="BC1" s="403"/>
      <c r="BD1" s="406"/>
      <c r="BE1" s="410"/>
      <c r="BF1" s="403"/>
      <c r="BG1" s="403"/>
      <c r="BH1" s="403"/>
      <c r="BI1" s="404"/>
      <c r="BJ1" s="405"/>
      <c r="BK1" s="403"/>
      <c r="BL1" s="403"/>
      <c r="BM1" s="403"/>
      <c r="BN1" s="406"/>
      <c r="BO1" s="410"/>
      <c r="BP1" s="403"/>
      <c r="BQ1" s="403"/>
      <c r="BR1" s="403"/>
      <c r="BS1" s="404"/>
      <c r="BT1" s="405"/>
      <c r="BU1" s="403"/>
      <c r="BV1" s="403"/>
      <c r="BW1" s="403"/>
      <c r="BX1" s="406"/>
      <c r="BY1" s="410"/>
      <c r="BZ1" s="403"/>
      <c r="CA1" s="403"/>
      <c r="CB1" s="403"/>
      <c r="CC1" s="404"/>
      <c r="CD1" s="405"/>
      <c r="CE1" s="403"/>
      <c r="CF1" s="403"/>
      <c r="CG1" s="403"/>
      <c r="CH1" s="404"/>
      <c r="CI1" s="405"/>
      <c r="CJ1" s="403"/>
      <c r="CK1" s="403"/>
      <c r="CL1" s="403"/>
      <c r="CM1" s="406"/>
      <c r="CN1" s="21"/>
      <c r="CO1" s="21"/>
      <c r="CP1" s="21"/>
      <c r="CQ1" s="21"/>
      <c r="CR1" s="21"/>
      <c r="CS1" s="21"/>
      <c r="CT1" s="21"/>
      <c r="CU1" s="21"/>
      <c r="CV1" s="21"/>
      <c r="CW1" s="21"/>
      <c r="CX1" s="21"/>
      <c r="CY1" s="21"/>
      <c r="CZ1" s="21"/>
      <c r="DA1" s="21"/>
      <c r="DB1" s="21"/>
      <c r="DC1" s="21"/>
      <c r="DD1" s="21"/>
      <c r="DE1" s="21"/>
      <c r="DF1" s="21"/>
      <c r="DG1" s="21"/>
      <c r="DH1" s="21"/>
      <c r="DI1" s="21"/>
      <c r="DJ1" s="21"/>
      <c r="DK1" s="21"/>
      <c r="DL1" s="21"/>
      <c r="DM1" s="21"/>
      <c r="DN1" s="21"/>
      <c r="DO1" s="21"/>
      <c r="DP1" s="21"/>
      <c r="DQ1" s="21"/>
    </row>
    <row r="2" spans="1:121" s="194" customFormat="1" ht="24" customHeight="1" thickBot="1">
      <c r="A2" s="22"/>
      <c r="B2" s="21"/>
      <c r="C2" s="21"/>
      <c r="D2" s="21"/>
      <c r="F2" s="196"/>
      <c r="G2" s="196"/>
      <c r="H2" s="196"/>
      <c r="I2" s="23"/>
      <c r="J2" s="24" t="s">
        <v>14</v>
      </c>
      <c r="K2" s="25"/>
      <c r="L2" s="388" t="s">
        <v>11</v>
      </c>
      <c r="M2" s="387" t="s">
        <v>11</v>
      </c>
      <c r="N2" s="387" t="s">
        <v>11</v>
      </c>
      <c r="O2" s="387" t="s">
        <v>11</v>
      </c>
      <c r="P2" s="389" t="s">
        <v>11</v>
      </c>
      <c r="Q2" s="388" t="s">
        <v>77</v>
      </c>
      <c r="R2" s="387" t="s">
        <v>11</v>
      </c>
      <c r="S2" s="387" t="s">
        <v>11</v>
      </c>
      <c r="T2" s="387" t="s">
        <v>11</v>
      </c>
      <c r="U2" s="390" t="s">
        <v>11</v>
      </c>
      <c r="V2" s="386" t="s">
        <v>11</v>
      </c>
      <c r="W2" s="372" t="s">
        <v>11</v>
      </c>
      <c r="X2" s="372"/>
      <c r="Y2" s="372"/>
      <c r="Z2" s="373"/>
      <c r="AA2" s="374"/>
      <c r="AB2" s="372"/>
      <c r="AC2" s="372"/>
      <c r="AD2" s="372"/>
      <c r="AE2" s="371"/>
      <c r="AF2" s="375"/>
      <c r="AG2" s="372"/>
      <c r="AH2" s="372"/>
      <c r="AI2" s="372"/>
      <c r="AJ2" s="373"/>
      <c r="AK2" s="374"/>
      <c r="AL2" s="372"/>
      <c r="AM2" s="372"/>
      <c r="AN2" s="372"/>
      <c r="AO2" s="371"/>
      <c r="AP2" s="375"/>
      <c r="AQ2" s="372"/>
      <c r="AR2" s="372"/>
      <c r="AS2" s="372"/>
      <c r="AT2" s="373"/>
      <c r="AU2" s="374"/>
      <c r="AV2" s="372"/>
      <c r="AW2" s="372"/>
      <c r="AX2" s="372"/>
      <c r="AY2" s="371"/>
      <c r="AZ2" s="375"/>
      <c r="BA2" s="372"/>
      <c r="BB2" s="372"/>
      <c r="BC2" s="372"/>
      <c r="BD2" s="373"/>
      <c r="BE2" s="374"/>
      <c r="BF2" s="372"/>
      <c r="BG2" s="372"/>
      <c r="BH2" s="372"/>
      <c r="BI2" s="371"/>
      <c r="BJ2" s="375"/>
      <c r="BK2" s="372"/>
      <c r="BL2" s="372"/>
      <c r="BM2" s="372"/>
      <c r="BN2" s="373"/>
      <c r="BO2" s="374"/>
      <c r="BP2" s="372"/>
      <c r="BQ2" s="372"/>
      <c r="BR2" s="372"/>
      <c r="BS2" s="371"/>
      <c r="BT2" s="375"/>
      <c r="BU2" s="372"/>
      <c r="BV2" s="372"/>
      <c r="BW2" s="372"/>
      <c r="BX2" s="373"/>
      <c r="BY2" s="374"/>
      <c r="BZ2" s="372"/>
      <c r="CA2" s="372"/>
      <c r="CB2" s="372"/>
      <c r="CC2" s="371"/>
      <c r="CD2" s="375"/>
      <c r="CE2" s="372"/>
      <c r="CF2" s="372"/>
      <c r="CG2" s="372"/>
      <c r="CH2" s="371"/>
      <c r="CI2" s="375"/>
      <c r="CJ2" s="372"/>
      <c r="CK2" s="372"/>
      <c r="CL2" s="372"/>
      <c r="CM2" s="373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  <c r="DO2" s="26"/>
      <c r="DP2" s="26"/>
      <c r="DQ2" s="21"/>
    </row>
    <row r="3" spans="1:121" ht="111" customHeight="1">
      <c r="A3" s="22"/>
      <c r="I3" s="307" t="s">
        <v>15</v>
      </c>
      <c r="J3" s="308"/>
      <c r="K3" s="309"/>
      <c r="L3" s="421" t="s">
        <v>76</v>
      </c>
      <c r="M3" s="422" t="s">
        <v>76</v>
      </c>
      <c r="N3" s="422" t="s">
        <v>76</v>
      </c>
      <c r="O3" s="422" t="s">
        <v>76</v>
      </c>
      <c r="P3" s="423" t="s">
        <v>76</v>
      </c>
      <c r="Q3" s="421"/>
      <c r="R3" s="422" t="s">
        <v>16</v>
      </c>
      <c r="S3" s="422" t="s">
        <v>44</v>
      </c>
      <c r="T3" s="422" t="s">
        <v>44</v>
      </c>
      <c r="U3" s="424" t="s">
        <v>44</v>
      </c>
      <c r="V3" s="425" t="s">
        <v>44</v>
      </c>
      <c r="W3" s="372" t="s">
        <v>93</v>
      </c>
      <c r="X3" s="372"/>
      <c r="Y3" s="372"/>
      <c r="Z3" s="373"/>
      <c r="AA3" s="374"/>
      <c r="AB3" s="372"/>
      <c r="AC3" s="372"/>
      <c r="AD3" s="372"/>
      <c r="AE3" s="371"/>
      <c r="AF3" s="375"/>
      <c r="AG3" s="372"/>
      <c r="AH3" s="372"/>
      <c r="AI3" s="372"/>
      <c r="AJ3" s="373"/>
      <c r="AK3" s="374"/>
      <c r="AL3" s="372"/>
      <c r="AM3" s="372"/>
      <c r="AN3" s="372"/>
      <c r="AO3" s="371"/>
      <c r="AP3" s="375"/>
      <c r="AQ3" s="372"/>
      <c r="AR3" s="372"/>
      <c r="AS3" s="372"/>
      <c r="AT3" s="373"/>
      <c r="AU3" s="374"/>
      <c r="AV3" s="372"/>
      <c r="AW3" s="372"/>
      <c r="AX3" s="372"/>
      <c r="AY3" s="371"/>
      <c r="AZ3" s="375"/>
      <c r="BA3" s="372"/>
      <c r="BB3" s="372"/>
      <c r="BC3" s="372"/>
      <c r="BD3" s="373"/>
      <c r="BE3" s="374"/>
      <c r="BF3" s="372"/>
      <c r="BG3" s="372"/>
      <c r="BH3" s="372"/>
      <c r="BI3" s="371"/>
      <c r="BJ3" s="375"/>
      <c r="BK3" s="372"/>
      <c r="BL3" s="372"/>
      <c r="BM3" s="372"/>
      <c r="BN3" s="373"/>
      <c r="BO3" s="374"/>
      <c r="BP3" s="372"/>
      <c r="BQ3" s="372"/>
      <c r="BR3" s="372"/>
      <c r="BS3" s="371"/>
      <c r="BT3" s="375"/>
      <c r="BU3" s="372"/>
      <c r="BV3" s="372"/>
      <c r="BW3" s="372"/>
      <c r="BX3" s="373"/>
      <c r="BY3" s="374"/>
      <c r="BZ3" s="372"/>
      <c r="CA3" s="372"/>
      <c r="CB3" s="372"/>
      <c r="CC3" s="371"/>
      <c r="CD3" s="375"/>
      <c r="CE3" s="372"/>
      <c r="CF3" s="372"/>
      <c r="CG3" s="372"/>
      <c r="CH3" s="371"/>
      <c r="CI3" s="375"/>
      <c r="CJ3" s="372"/>
      <c r="CK3" s="372"/>
      <c r="CL3" s="372"/>
      <c r="CM3" s="373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</row>
    <row r="4" spans="1:121" s="29" customFormat="1" ht="156.75" customHeight="1">
      <c r="A4" s="22"/>
      <c r="B4" s="21"/>
      <c r="C4" s="21"/>
      <c r="D4" s="21"/>
      <c r="F4" s="21"/>
      <c r="G4" s="21"/>
      <c r="H4" s="30"/>
      <c r="I4" s="310" t="s">
        <v>17</v>
      </c>
      <c r="J4" s="311"/>
      <c r="K4" s="312"/>
      <c r="L4" s="421" t="s">
        <v>76</v>
      </c>
      <c r="M4" s="422" t="s">
        <v>76</v>
      </c>
      <c r="N4" s="422" t="s">
        <v>76</v>
      </c>
      <c r="O4" s="422" t="s">
        <v>76</v>
      </c>
      <c r="P4" s="423" t="s">
        <v>76</v>
      </c>
      <c r="Q4" s="421" t="s">
        <v>77</v>
      </c>
      <c r="R4" s="422" t="s">
        <v>76</v>
      </c>
      <c r="S4" s="422" t="s">
        <v>76</v>
      </c>
      <c r="T4" s="422" t="s">
        <v>76</v>
      </c>
      <c r="U4" s="424" t="s">
        <v>76</v>
      </c>
      <c r="V4" s="425" t="s">
        <v>76</v>
      </c>
      <c r="W4" s="372" t="s">
        <v>93</v>
      </c>
      <c r="X4" s="372"/>
      <c r="Y4" s="372"/>
      <c r="Z4" s="373"/>
      <c r="AA4" s="374"/>
      <c r="AB4" s="372"/>
      <c r="AC4" s="372"/>
      <c r="AD4" s="372"/>
      <c r="AE4" s="371"/>
      <c r="AF4" s="375"/>
      <c r="AG4" s="372"/>
      <c r="AH4" s="372"/>
      <c r="AI4" s="372"/>
      <c r="AJ4" s="373"/>
      <c r="AK4" s="374"/>
      <c r="AL4" s="372"/>
      <c r="AM4" s="372"/>
      <c r="AN4" s="372"/>
      <c r="AO4" s="371"/>
      <c r="AP4" s="375"/>
      <c r="AQ4" s="372"/>
      <c r="AR4" s="372"/>
      <c r="AS4" s="372"/>
      <c r="AT4" s="373"/>
      <c r="AU4" s="374"/>
      <c r="AV4" s="372"/>
      <c r="AW4" s="372"/>
      <c r="AX4" s="372"/>
      <c r="AY4" s="371"/>
      <c r="AZ4" s="375"/>
      <c r="BA4" s="372"/>
      <c r="BB4" s="372"/>
      <c r="BC4" s="372"/>
      <c r="BD4" s="373"/>
      <c r="BE4" s="374"/>
      <c r="BF4" s="372"/>
      <c r="BG4" s="372"/>
      <c r="BH4" s="372"/>
      <c r="BI4" s="371"/>
      <c r="BJ4" s="375"/>
      <c r="BK4" s="372"/>
      <c r="BL4" s="372"/>
      <c r="BM4" s="372"/>
      <c r="BN4" s="373"/>
      <c r="BO4" s="374"/>
      <c r="BP4" s="372"/>
      <c r="BQ4" s="372"/>
      <c r="BR4" s="372"/>
      <c r="BS4" s="371"/>
      <c r="BT4" s="375"/>
      <c r="BU4" s="372"/>
      <c r="BV4" s="372"/>
      <c r="BW4" s="372"/>
      <c r="BX4" s="373"/>
      <c r="BY4" s="374"/>
      <c r="BZ4" s="372"/>
      <c r="CA4" s="372"/>
      <c r="CB4" s="372"/>
      <c r="CC4" s="371"/>
      <c r="CD4" s="375"/>
      <c r="CE4" s="372"/>
      <c r="CF4" s="372"/>
      <c r="CG4" s="372"/>
      <c r="CH4" s="371"/>
      <c r="CI4" s="375"/>
      <c r="CJ4" s="372"/>
      <c r="CK4" s="372"/>
      <c r="CL4" s="372"/>
      <c r="CM4" s="373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6"/>
      <c r="DF4" s="28"/>
      <c r="DG4" s="26"/>
      <c r="DH4" s="28"/>
      <c r="DI4" s="26"/>
      <c r="DJ4" s="28"/>
      <c r="DK4" s="26"/>
      <c r="DL4" s="28"/>
      <c r="DM4" s="26"/>
      <c r="DN4" s="28"/>
      <c r="DO4" s="26"/>
      <c r="DP4" s="28"/>
      <c r="DQ4" s="28"/>
    </row>
    <row r="5" spans="1:121" s="21" customFormat="1" ht="408" customHeight="1">
      <c r="A5" s="22"/>
      <c r="H5" s="30" t="s">
        <v>18</v>
      </c>
      <c r="I5" s="203" t="s">
        <v>7</v>
      </c>
      <c r="J5" s="204"/>
      <c r="K5" s="313"/>
      <c r="L5" s="426" t="s">
        <v>69</v>
      </c>
      <c r="M5" s="427" t="s">
        <v>72</v>
      </c>
      <c r="N5" s="427" t="s">
        <v>71</v>
      </c>
      <c r="O5" s="427" t="s">
        <v>83</v>
      </c>
      <c r="P5" s="428" t="s">
        <v>82</v>
      </c>
      <c r="Q5" s="426"/>
      <c r="R5" s="427" t="s">
        <v>56</v>
      </c>
      <c r="S5" s="427" t="s">
        <v>59</v>
      </c>
      <c r="T5" s="427" t="s">
        <v>57</v>
      </c>
      <c r="U5" s="429" t="s">
        <v>58</v>
      </c>
      <c r="V5" s="430" t="s">
        <v>55</v>
      </c>
      <c r="W5" s="372" t="s">
        <v>93</v>
      </c>
      <c r="X5" s="372"/>
      <c r="Y5" s="372"/>
      <c r="Z5" s="373"/>
      <c r="AA5" s="374"/>
      <c r="AB5" s="372"/>
      <c r="AC5" s="372"/>
      <c r="AD5" s="372"/>
      <c r="AE5" s="371"/>
      <c r="AF5" s="375"/>
      <c r="AG5" s="372"/>
      <c r="AH5" s="372"/>
      <c r="AI5" s="372"/>
      <c r="AJ5" s="373"/>
      <c r="AK5" s="374"/>
      <c r="AL5" s="372"/>
      <c r="AM5" s="372"/>
      <c r="AN5" s="372"/>
      <c r="AO5" s="371"/>
      <c r="AP5" s="375"/>
      <c r="AQ5" s="372"/>
      <c r="AR5" s="372"/>
      <c r="AS5" s="372"/>
      <c r="AT5" s="373"/>
      <c r="AU5" s="374"/>
      <c r="AV5" s="372"/>
      <c r="AW5" s="372"/>
      <c r="AX5" s="372"/>
      <c r="AY5" s="371"/>
      <c r="AZ5" s="375"/>
      <c r="BA5" s="372"/>
      <c r="BB5" s="372"/>
      <c r="BC5" s="372"/>
      <c r="BD5" s="373"/>
      <c r="BE5" s="374"/>
      <c r="BF5" s="372"/>
      <c r="BG5" s="372"/>
      <c r="BH5" s="372"/>
      <c r="BI5" s="371"/>
      <c r="BJ5" s="375"/>
      <c r="BK5" s="372"/>
      <c r="BL5" s="372"/>
      <c r="BM5" s="372"/>
      <c r="BN5" s="373"/>
      <c r="BO5" s="374"/>
      <c r="BP5" s="372"/>
      <c r="BQ5" s="372"/>
      <c r="BR5" s="372"/>
      <c r="BS5" s="371"/>
      <c r="BT5" s="375"/>
      <c r="BU5" s="372"/>
      <c r="BV5" s="372"/>
      <c r="BW5" s="372"/>
      <c r="BX5" s="373"/>
      <c r="BY5" s="374"/>
      <c r="BZ5" s="372"/>
      <c r="CA5" s="372"/>
      <c r="CB5" s="372"/>
      <c r="CC5" s="371"/>
      <c r="CD5" s="375"/>
      <c r="CE5" s="372"/>
      <c r="CF5" s="372"/>
      <c r="CG5" s="372"/>
      <c r="CH5" s="371"/>
      <c r="CI5" s="375"/>
      <c r="CJ5" s="372"/>
      <c r="CK5" s="372"/>
      <c r="CL5" s="372"/>
      <c r="CM5" s="373"/>
      <c r="CN5" s="31"/>
      <c r="CO5" s="32"/>
      <c r="CP5" s="31"/>
      <c r="CQ5" s="32"/>
      <c r="CR5" s="31"/>
      <c r="CS5" s="32"/>
      <c r="CT5" s="31"/>
      <c r="CU5" s="32"/>
      <c r="CV5" s="31"/>
      <c r="CW5" s="33"/>
      <c r="CX5" s="31"/>
      <c r="CY5" s="33"/>
      <c r="CZ5" s="31"/>
      <c r="DA5" s="31"/>
      <c r="DB5" s="31"/>
      <c r="DC5" s="32"/>
      <c r="DD5" s="31"/>
      <c r="DE5" s="31"/>
      <c r="DF5" s="31"/>
      <c r="DG5" s="31"/>
      <c r="DH5" s="31"/>
      <c r="DI5" s="31"/>
      <c r="DJ5" s="31"/>
      <c r="DK5" s="32"/>
      <c r="DL5" s="31"/>
      <c r="DM5" s="33"/>
      <c r="DN5" s="31"/>
      <c r="DO5" s="31"/>
      <c r="DP5" s="31"/>
      <c r="DQ5" s="33"/>
    </row>
    <row r="6" spans="1:121" s="21" customFormat="1" ht="140.25" customHeight="1" thickBot="1">
      <c r="A6" s="22"/>
      <c r="D6" s="197"/>
      <c r="E6" s="197" t="s">
        <v>19</v>
      </c>
      <c r="I6" s="232" t="s">
        <v>20</v>
      </c>
      <c r="J6" s="233"/>
      <c r="K6" s="314"/>
      <c r="L6" s="431" t="s">
        <v>66</v>
      </c>
      <c r="M6" s="432" t="s">
        <v>64</v>
      </c>
      <c r="N6" s="432" t="s">
        <v>65</v>
      </c>
      <c r="O6" s="432" t="s">
        <v>67</v>
      </c>
      <c r="P6" s="433" t="s">
        <v>68</v>
      </c>
      <c r="Q6" s="431"/>
      <c r="R6" s="432" t="s">
        <v>21</v>
      </c>
      <c r="S6" s="432" t="s">
        <v>63</v>
      </c>
      <c r="T6" s="432" t="s">
        <v>61</v>
      </c>
      <c r="U6" s="434" t="s">
        <v>62</v>
      </c>
      <c r="V6" s="435" t="s">
        <v>60</v>
      </c>
      <c r="W6" s="393" t="s">
        <v>92</v>
      </c>
      <c r="X6" s="393"/>
      <c r="Y6" s="393"/>
      <c r="Z6" s="396"/>
      <c r="AA6" s="400"/>
      <c r="AB6" s="393"/>
      <c r="AC6" s="393"/>
      <c r="AD6" s="393"/>
      <c r="AE6" s="394"/>
      <c r="AF6" s="395"/>
      <c r="AG6" s="393"/>
      <c r="AH6" s="393"/>
      <c r="AI6" s="393"/>
      <c r="AJ6" s="396"/>
      <c r="AK6" s="400"/>
      <c r="AL6" s="393"/>
      <c r="AM6" s="393"/>
      <c r="AN6" s="393"/>
      <c r="AO6" s="394"/>
      <c r="AP6" s="395"/>
      <c r="AQ6" s="393"/>
      <c r="AR6" s="393"/>
      <c r="AS6" s="393"/>
      <c r="AT6" s="396"/>
      <c r="AU6" s="400"/>
      <c r="AV6" s="393"/>
      <c r="AW6" s="393"/>
      <c r="AX6" s="393"/>
      <c r="AY6" s="394"/>
      <c r="AZ6" s="395"/>
      <c r="BA6" s="393"/>
      <c r="BB6" s="393"/>
      <c r="BC6" s="393"/>
      <c r="BD6" s="396"/>
      <c r="BE6" s="400"/>
      <c r="BF6" s="393"/>
      <c r="BG6" s="393"/>
      <c r="BH6" s="393"/>
      <c r="BI6" s="394"/>
      <c r="BJ6" s="395"/>
      <c r="BK6" s="393"/>
      <c r="BL6" s="393"/>
      <c r="BM6" s="393"/>
      <c r="BN6" s="396"/>
      <c r="BO6" s="400"/>
      <c r="BP6" s="393"/>
      <c r="BQ6" s="393"/>
      <c r="BR6" s="393"/>
      <c r="BS6" s="394"/>
      <c r="BT6" s="395"/>
      <c r="BU6" s="393"/>
      <c r="BV6" s="393"/>
      <c r="BW6" s="393"/>
      <c r="BX6" s="396"/>
      <c r="BY6" s="400"/>
      <c r="BZ6" s="393"/>
      <c r="CA6" s="393"/>
      <c r="CB6" s="393"/>
      <c r="CC6" s="394"/>
      <c r="CD6" s="395"/>
      <c r="CE6" s="393"/>
      <c r="CF6" s="393"/>
      <c r="CG6" s="393"/>
      <c r="CH6" s="394"/>
      <c r="CI6" s="395"/>
      <c r="CJ6" s="393"/>
      <c r="CK6" s="393"/>
      <c r="CL6" s="393"/>
      <c r="CM6" s="396"/>
      <c r="CN6" s="28"/>
      <c r="CO6" s="28"/>
      <c r="CP6" s="28"/>
      <c r="CQ6" s="34"/>
      <c r="CR6" s="33"/>
      <c r="CS6" s="33"/>
      <c r="CT6" s="34"/>
      <c r="CU6" s="35"/>
      <c r="CV6" s="36"/>
      <c r="CW6" s="37"/>
      <c r="CX6" s="37"/>
      <c r="CY6" s="37"/>
      <c r="CZ6" s="38"/>
      <c r="DA6" s="39"/>
      <c r="DB6" s="39"/>
      <c r="DC6" s="39"/>
      <c r="DD6" s="28"/>
      <c r="DE6" s="39"/>
      <c r="DF6" s="40"/>
      <c r="DG6" s="39"/>
      <c r="DH6" s="40"/>
      <c r="DI6" s="39"/>
      <c r="DJ6" s="40"/>
      <c r="DK6" s="39"/>
      <c r="DL6" s="40"/>
      <c r="DM6" s="39"/>
      <c r="DN6" s="40"/>
      <c r="DO6" s="39"/>
      <c r="DP6" s="40"/>
      <c r="DQ6" s="40"/>
    </row>
    <row r="7" spans="1:121" s="41" customFormat="1" ht="25.5" customHeight="1">
      <c r="A7" s="221" t="s">
        <v>22</v>
      </c>
      <c r="B7" s="212" t="s">
        <v>23</v>
      </c>
      <c r="C7" s="212" t="s">
        <v>24</v>
      </c>
      <c r="D7" s="212" t="s">
        <v>25</v>
      </c>
      <c r="E7" s="212" t="s">
        <v>7</v>
      </c>
      <c r="F7" s="212" t="s">
        <v>26</v>
      </c>
      <c r="G7" s="212" t="s">
        <v>20</v>
      </c>
      <c r="H7" s="225" t="s">
        <v>27</v>
      </c>
      <c r="I7" s="318" t="s">
        <v>28</v>
      </c>
      <c r="J7" s="212"/>
      <c r="K7" s="319"/>
      <c r="L7" s="407"/>
      <c r="M7" s="402"/>
      <c r="N7" s="402"/>
      <c r="O7" s="402"/>
      <c r="P7" s="408"/>
      <c r="Q7" s="407"/>
      <c r="R7" s="402"/>
      <c r="S7" s="402"/>
      <c r="T7" s="402"/>
      <c r="U7" s="409"/>
      <c r="V7" s="401"/>
      <c r="W7" s="403" t="s">
        <v>93</v>
      </c>
      <c r="X7" s="403"/>
      <c r="Y7" s="403"/>
      <c r="Z7" s="406"/>
      <c r="AA7" s="410"/>
      <c r="AB7" s="403"/>
      <c r="AC7" s="403"/>
      <c r="AD7" s="403"/>
      <c r="AE7" s="404"/>
      <c r="AF7" s="405"/>
      <c r="AG7" s="403"/>
      <c r="AH7" s="403"/>
      <c r="AI7" s="403"/>
      <c r="AJ7" s="406"/>
      <c r="AK7" s="410"/>
      <c r="AL7" s="403"/>
      <c r="AM7" s="403"/>
      <c r="AN7" s="403"/>
      <c r="AO7" s="404"/>
      <c r="AP7" s="405"/>
      <c r="AQ7" s="403"/>
      <c r="AR7" s="403"/>
      <c r="AS7" s="403"/>
      <c r="AT7" s="406"/>
      <c r="AU7" s="410"/>
      <c r="AV7" s="403"/>
      <c r="AW7" s="403"/>
      <c r="AX7" s="403"/>
      <c r="AY7" s="404"/>
      <c r="AZ7" s="405"/>
      <c r="BA7" s="403"/>
      <c r="BB7" s="403"/>
      <c r="BC7" s="403"/>
      <c r="BD7" s="406"/>
      <c r="BE7" s="410"/>
      <c r="BF7" s="403"/>
      <c r="BG7" s="403"/>
      <c r="BH7" s="403"/>
      <c r="BI7" s="404"/>
      <c r="BJ7" s="405"/>
      <c r="BK7" s="403"/>
      <c r="BL7" s="403"/>
      <c r="BM7" s="403"/>
      <c r="BN7" s="406"/>
      <c r="BO7" s="410"/>
      <c r="BP7" s="403"/>
      <c r="BQ7" s="403"/>
      <c r="BR7" s="403"/>
      <c r="BS7" s="404"/>
      <c r="BT7" s="405"/>
      <c r="BU7" s="403"/>
      <c r="BV7" s="403"/>
      <c r="BW7" s="403"/>
      <c r="BX7" s="406"/>
      <c r="BY7" s="410"/>
      <c r="BZ7" s="403"/>
      <c r="CA7" s="403"/>
      <c r="CB7" s="403"/>
      <c r="CC7" s="404"/>
      <c r="CD7" s="405"/>
      <c r="CE7" s="403"/>
      <c r="CF7" s="403"/>
      <c r="CG7" s="403"/>
      <c r="CH7" s="404"/>
      <c r="CI7" s="405"/>
      <c r="CJ7" s="403"/>
      <c r="CK7" s="403"/>
      <c r="CL7" s="403"/>
      <c r="CM7" s="406"/>
    </row>
    <row r="8" spans="1:121" s="41" customFormat="1" ht="25.5" customHeight="1">
      <c r="A8" s="222"/>
      <c r="B8" s="213"/>
      <c r="C8" s="213"/>
      <c r="D8" s="213"/>
      <c r="E8" s="213"/>
      <c r="F8" s="213"/>
      <c r="G8" s="213"/>
      <c r="H8" s="226"/>
      <c r="I8" s="42"/>
      <c r="J8" s="214" t="s">
        <v>29</v>
      </c>
      <c r="K8" s="320"/>
      <c r="L8" s="388"/>
      <c r="M8" s="387"/>
      <c r="N8" s="387"/>
      <c r="O8" s="387"/>
      <c r="P8" s="389"/>
      <c r="Q8" s="388"/>
      <c r="R8" s="387"/>
      <c r="S8" s="387"/>
      <c r="T8" s="387"/>
      <c r="U8" s="390"/>
      <c r="V8" s="386"/>
      <c r="W8" s="372" t="s">
        <v>93</v>
      </c>
      <c r="X8" s="372"/>
      <c r="Y8" s="372"/>
      <c r="Z8" s="373"/>
      <c r="AA8" s="374"/>
      <c r="AB8" s="372"/>
      <c r="AC8" s="372"/>
      <c r="AD8" s="372"/>
      <c r="AE8" s="371"/>
      <c r="AF8" s="375"/>
      <c r="AG8" s="372"/>
      <c r="AH8" s="372"/>
      <c r="AI8" s="372"/>
      <c r="AJ8" s="373"/>
      <c r="AK8" s="374"/>
      <c r="AL8" s="372"/>
      <c r="AM8" s="372"/>
      <c r="AN8" s="372"/>
      <c r="AO8" s="371"/>
      <c r="AP8" s="375"/>
      <c r="AQ8" s="372"/>
      <c r="AR8" s="372"/>
      <c r="AS8" s="372"/>
      <c r="AT8" s="373"/>
      <c r="AU8" s="374"/>
      <c r="AV8" s="372"/>
      <c r="AW8" s="372"/>
      <c r="AX8" s="372"/>
      <c r="AY8" s="371"/>
      <c r="AZ8" s="375"/>
      <c r="BA8" s="372"/>
      <c r="BB8" s="372"/>
      <c r="BC8" s="372"/>
      <c r="BD8" s="373"/>
      <c r="BE8" s="374"/>
      <c r="BF8" s="372"/>
      <c r="BG8" s="372"/>
      <c r="BH8" s="372"/>
      <c r="BI8" s="371"/>
      <c r="BJ8" s="375"/>
      <c r="BK8" s="372"/>
      <c r="BL8" s="372"/>
      <c r="BM8" s="372"/>
      <c r="BN8" s="373"/>
      <c r="BO8" s="374"/>
      <c r="BP8" s="372"/>
      <c r="BQ8" s="372"/>
      <c r="BR8" s="372"/>
      <c r="BS8" s="371"/>
      <c r="BT8" s="375"/>
      <c r="BU8" s="372"/>
      <c r="BV8" s="372"/>
      <c r="BW8" s="372"/>
      <c r="BX8" s="373"/>
      <c r="BY8" s="374"/>
      <c r="BZ8" s="372"/>
      <c r="CA8" s="372"/>
      <c r="CB8" s="372"/>
      <c r="CC8" s="371"/>
      <c r="CD8" s="375"/>
      <c r="CE8" s="372"/>
      <c r="CF8" s="372"/>
      <c r="CG8" s="372"/>
      <c r="CH8" s="371"/>
      <c r="CI8" s="375"/>
      <c r="CJ8" s="372"/>
      <c r="CK8" s="372"/>
      <c r="CL8" s="372"/>
      <c r="CM8" s="373"/>
    </row>
    <row r="9" spans="1:121" s="41" customFormat="1" ht="25.5" customHeight="1" thickBot="1">
      <c r="A9" s="315"/>
      <c r="B9" s="316"/>
      <c r="C9" s="316"/>
      <c r="D9" s="316"/>
      <c r="E9" s="316"/>
      <c r="F9" s="316"/>
      <c r="G9" s="316"/>
      <c r="H9" s="317"/>
      <c r="I9" s="43"/>
      <c r="J9" s="191"/>
      <c r="K9" s="44" t="s">
        <v>30</v>
      </c>
      <c r="L9" s="413"/>
      <c r="M9" s="412"/>
      <c r="N9" s="412"/>
      <c r="O9" s="412"/>
      <c r="P9" s="414"/>
      <c r="Q9" s="413"/>
      <c r="R9" s="412"/>
      <c r="S9" s="412"/>
      <c r="T9" s="412"/>
      <c r="U9" s="415"/>
      <c r="V9" s="411"/>
      <c r="W9" s="377" t="s">
        <v>93</v>
      </c>
      <c r="X9" s="377"/>
      <c r="Y9" s="377"/>
      <c r="Z9" s="378"/>
      <c r="AA9" s="379"/>
      <c r="AB9" s="377"/>
      <c r="AC9" s="377"/>
      <c r="AD9" s="377"/>
      <c r="AE9" s="376"/>
      <c r="AF9" s="380"/>
      <c r="AG9" s="377"/>
      <c r="AH9" s="377"/>
      <c r="AI9" s="377"/>
      <c r="AJ9" s="378"/>
      <c r="AK9" s="379"/>
      <c r="AL9" s="377"/>
      <c r="AM9" s="377"/>
      <c r="AN9" s="377"/>
      <c r="AO9" s="376"/>
      <c r="AP9" s="380"/>
      <c r="AQ9" s="377"/>
      <c r="AR9" s="377"/>
      <c r="AS9" s="377"/>
      <c r="AT9" s="378"/>
      <c r="AU9" s="379"/>
      <c r="AV9" s="377"/>
      <c r="AW9" s="377"/>
      <c r="AX9" s="377"/>
      <c r="AY9" s="376"/>
      <c r="AZ9" s="380"/>
      <c r="BA9" s="377"/>
      <c r="BB9" s="377"/>
      <c r="BC9" s="377"/>
      <c r="BD9" s="378"/>
      <c r="BE9" s="379"/>
      <c r="BF9" s="377"/>
      <c r="BG9" s="377"/>
      <c r="BH9" s="377"/>
      <c r="BI9" s="376"/>
      <c r="BJ9" s="380"/>
      <c r="BK9" s="377"/>
      <c r="BL9" s="377"/>
      <c r="BM9" s="377"/>
      <c r="BN9" s="378"/>
      <c r="BO9" s="379"/>
      <c r="BP9" s="377"/>
      <c r="BQ9" s="377"/>
      <c r="BR9" s="377"/>
      <c r="BS9" s="376"/>
      <c r="BT9" s="380"/>
      <c r="BU9" s="377"/>
      <c r="BV9" s="377"/>
      <c r="BW9" s="377"/>
      <c r="BX9" s="378"/>
      <c r="BY9" s="379"/>
      <c r="BZ9" s="377"/>
      <c r="CA9" s="377"/>
      <c r="CB9" s="377"/>
      <c r="CC9" s="376"/>
      <c r="CD9" s="380"/>
      <c r="CE9" s="377"/>
      <c r="CF9" s="377"/>
      <c r="CG9" s="377"/>
      <c r="CH9" s="376"/>
      <c r="CI9" s="380"/>
      <c r="CJ9" s="377"/>
      <c r="CK9" s="377"/>
      <c r="CL9" s="377"/>
      <c r="CM9" s="378"/>
    </row>
    <row r="10" spans="1:121" ht="25.5" hidden="1" customHeight="1">
      <c r="A10" s="100">
        <v>3903</v>
      </c>
      <c r="B10" s="101" t="s">
        <v>11</v>
      </c>
      <c r="C10" s="101" t="s">
        <v>44</v>
      </c>
      <c r="D10" s="101" t="s">
        <v>76</v>
      </c>
      <c r="E10" s="102" t="s">
        <v>53</v>
      </c>
      <c r="F10" s="101"/>
      <c r="G10" s="102" t="s">
        <v>374</v>
      </c>
      <c r="H10" s="177" t="s">
        <v>54</v>
      </c>
      <c r="I10" s="104"/>
      <c r="J10" s="102"/>
      <c r="K10" s="103"/>
      <c r="L10" s="347" t="s">
        <v>78</v>
      </c>
      <c r="M10" s="342" t="s">
        <v>77</v>
      </c>
      <c r="N10" s="342"/>
      <c r="O10" s="342" t="s">
        <v>77</v>
      </c>
      <c r="P10" s="348" t="s">
        <v>77</v>
      </c>
      <c r="Q10" s="347"/>
      <c r="R10" s="342"/>
      <c r="S10" s="342"/>
      <c r="T10" s="342"/>
      <c r="U10" s="349" t="s">
        <v>80</v>
      </c>
      <c r="V10" s="341"/>
      <c r="W10" s="343"/>
      <c r="X10" s="343"/>
      <c r="Y10" s="343"/>
      <c r="Z10" s="346"/>
      <c r="AA10" s="350"/>
      <c r="AB10" s="343"/>
      <c r="AC10" s="343"/>
      <c r="AD10" s="343"/>
      <c r="AE10" s="344"/>
      <c r="AF10" s="345"/>
      <c r="AG10" s="343"/>
      <c r="AH10" s="343"/>
      <c r="AI10" s="343"/>
      <c r="AJ10" s="346"/>
      <c r="AK10" s="350"/>
      <c r="AL10" s="343"/>
      <c r="AM10" s="343"/>
      <c r="AN10" s="343"/>
      <c r="AO10" s="344"/>
      <c r="AP10" s="345"/>
      <c r="AQ10" s="343"/>
      <c r="AR10" s="343"/>
      <c r="AS10" s="343"/>
      <c r="AT10" s="346"/>
      <c r="AU10" s="350"/>
      <c r="AV10" s="343"/>
      <c r="AW10" s="343"/>
      <c r="AX10" s="343"/>
      <c r="AY10" s="344"/>
      <c r="AZ10" s="345"/>
      <c r="BA10" s="343"/>
      <c r="BB10" s="343"/>
      <c r="BC10" s="343"/>
      <c r="BD10" s="346"/>
      <c r="BE10" s="350"/>
      <c r="BF10" s="343"/>
      <c r="BG10" s="343"/>
      <c r="BH10" s="343"/>
      <c r="BI10" s="344"/>
      <c r="BJ10" s="345"/>
      <c r="BK10" s="343"/>
      <c r="BL10" s="343"/>
      <c r="BM10" s="343"/>
      <c r="BN10" s="346"/>
      <c r="BO10" s="350"/>
      <c r="BP10" s="343"/>
      <c r="BQ10" s="343"/>
      <c r="BR10" s="343"/>
      <c r="BS10" s="344"/>
      <c r="BT10" s="345"/>
      <c r="BU10" s="343"/>
      <c r="BV10" s="343"/>
      <c r="BW10" s="343"/>
      <c r="BX10" s="346"/>
      <c r="BY10" s="350"/>
      <c r="BZ10" s="343"/>
      <c r="CA10" s="343"/>
      <c r="CB10" s="343"/>
      <c r="CC10" s="344"/>
      <c r="CD10" s="345"/>
      <c r="CE10" s="343"/>
      <c r="CF10" s="343"/>
      <c r="CG10" s="343"/>
      <c r="CH10" s="344"/>
      <c r="CI10" s="345"/>
      <c r="CJ10" s="343"/>
      <c r="CK10" s="343"/>
      <c r="CL10" s="343"/>
      <c r="CM10" s="346"/>
      <c r="CN10" s="45"/>
      <c r="CO10" s="45"/>
      <c r="CP10" s="45"/>
      <c r="CQ10" s="45"/>
      <c r="CR10" s="45"/>
      <c r="CS10" s="45"/>
      <c r="CT10" s="45"/>
      <c r="CU10" s="45"/>
      <c r="CV10" s="45"/>
      <c r="CW10" s="45"/>
      <c r="CX10" s="45"/>
      <c r="CY10" s="45"/>
      <c r="CZ10" s="45"/>
      <c r="DA10" s="45"/>
      <c r="DB10" s="45"/>
      <c r="DC10" s="45"/>
      <c r="DD10" s="45"/>
      <c r="DE10" s="45"/>
      <c r="DF10" s="45"/>
      <c r="DG10" s="45"/>
      <c r="DH10" s="45"/>
      <c r="DI10" s="45"/>
      <c r="DJ10" s="45"/>
      <c r="DK10" s="45"/>
      <c r="DL10" s="45"/>
      <c r="DM10" s="45"/>
      <c r="DN10" s="45"/>
    </row>
    <row r="11" spans="1:121" ht="25.5" customHeight="1">
      <c r="A11" s="321">
        <v>3904</v>
      </c>
      <c r="B11" s="322" t="s">
        <v>11</v>
      </c>
      <c r="C11" s="322" t="s">
        <v>44</v>
      </c>
      <c r="D11" s="322" t="s">
        <v>76</v>
      </c>
      <c r="E11" s="323" t="s">
        <v>53</v>
      </c>
      <c r="F11" s="322"/>
      <c r="G11" s="323" t="s">
        <v>376</v>
      </c>
      <c r="H11" s="324" t="s">
        <v>54</v>
      </c>
      <c r="I11" s="325"/>
      <c r="J11" s="323"/>
      <c r="K11" s="326"/>
      <c r="L11" s="327" t="s">
        <v>78</v>
      </c>
      <c r="M11" s="322" t="s">
        <v>77</v>
      </c>
      <c r="N11" s="322"/>
      <c r="O11" s="322" t="s">
        <v>77</v>
      </c>
      <c r="P11" s="328" t="s">
        <v>77</v>
      </c>
      <c r="Q11" s="327"/>
      <c r="R11" s="322"/>
      <c r="S11" s="322"/>
      <c r="T11" s="322"/>
      <c r="U11" s="329" t="s">
        <v>80</v>
      </c>
      <c r="V11" s="321"/>
      <c r="W11" s="323"/>
      <c r="X11" s="323"/>
      <c r="Y11" s="323"/>
      <c r="Z11" s="326"/>
      <c r="AA11" s="330"/>
      <c r="AB11" s="323"/>
      <c r="AC11" s="323"/>
      <c r="AD11" s="323"/>
      <c r="AE11" s="324"/>
      <c r="AF11" s="325"/>
      <c r="AG11" s="323"/>
      <c r="AH11" s="323"/>
      <c r="AI11" s="323"/>
      <c r="AJ11" s="326"/>
      <c r="AK11" s="330"/>
      <c r="AL11" s="323"/>
      <c r="AM11" s="323"/>
      <c r="AN11" s="323"/>
      <c r="AO11" s="324"/>
      <c r="AP11" s="325"/>
      <c r="AQ11" s="323"/>
      <c r="AR11" s="323"/>
      <c r="AS11" s="323"/>
      <c r="AT11" s="326"/>
      <c r="AU11" s="330"/>
      <c r="AV11" s="323"/>
      <c r="AW11" s="323"/>
      <c r="AX11" s="323"/>
      <c r="AY11" s="324"/>
      <c r="AZ11" s="325"/>
      <c r="BA11" s="323"/>
      <c r="BB11" s="323"/>
      <c r="BC11" s="323"/>
      <c r="BD11" s="326"/>
      <c r="BE11" s="330"/>
      <c r="BF11" s="323"/>
      <c r="BG11" s="323"/>
      <c r="BH11" s="323"/>
      <c r="BI11" s="324"/>
      <c r="BJ11" s="325"/>
      <c r="BK11" s="323"/>
      <c r="BL11" s="323"/>
      <c r="BM11" s="323"/>
      <c r="BN11" s="326"/>
      <c r="BO11" s="330"/>
      <c r="BP11" s="323"/>
      <c r="BQ11" s="323"/>
      <c r="BR11" s="323"/>
      <c r="BS11" s="324"/>
      <c r="BT11" s="325"/>
      <c r="BU11" s="323"/>
      <c r="BV11" s="323"/>
      <c r="BW11" s="323"/>
      <c r="BX11" s="326"/>
      <c r="BY11" s="330"/>
      <c r="BZ11" s="323"/>
      <c r="CA11" s="323"/>
      <c r="CB11" s="323"/>
      <c r="CC11" s="324"/>
      <c r="CD11" s="325"/>
      <c r="CE11" s="323"/>
      <c r="CF11" s="323"/>
      <c r="CG11" s="323"/>
      <c r="CH11" s="324"/>
      <c r="CI11" s="325"/>
      <c r="CJ11" s="323"/>
      <c r="CK11" s="323"/>
      <c r="CL11" s="323"/>
      <c r="CM11" s="326"/>
      <c r="CN11" s="46"/>
      <c r="CO11" s="45"/>
      <c r="CP11" s="45"/>
      <c r="CQ11" s="45"/>
      <c r="CR11" s="46"/>
      <c r="CS11" s="45"/>
      <c r="CT11" s="45"/>
      <c r="CU11" s="45"/>
      <c r="CV11" s="45"/>
      <c r="CW11" s="45"/>
      <c r="CX11" s="46"/>
      <c r="CY11" s="45"/>
      <c r="CZ11" s="45"/>
      <c r="DA11" s="46"/>
      <c r="DB11" s="47"/>
      <c r="DC11" s="46"/>
      <c r="DD11" s="46"/>
      <c r="DE11" s="45"/>
      <c r="DF11" s="46"/>
      <c r="DG11" s="46"/>
      <c r="DH11" s="45"/>
      <c r="DI11" s="45"/>
      <c r="DJ11" s="45"/>
      <c r="DK11" s="45"/>
      <c r="DL11" s="45"/>
      <c r="DM11" s="45"/>
      <c r="DN11" s="45"/>
    </row>
    <row r="12" spans="1:121" ht="25.5" customHeight="1">
      <c r="A12" s="321">
        <v>3905</v>
      </c>
      <c r="B12" s="322" t="s">
        <v>11</v>
      </c>
      <c r="C12" s="322" t="s">
        <v>44</v>
      </c>
      <c r="D12" s="322" t="s">
        <v>76</v>
      </c>
      <c r="E12" s="323" t="s">
        <v>53</v>
      </c>
      <c r="F12" s="322"/>
      <c r="G12" s="323" t="s">
        <v>378</v>
      </c>
      <c r="H12" s="324" t="s">
        <v>54</v>
      </c>
      <c r="I12" s="325"/>
      <c r="J12" s="323"/>
      <c r="K12" s="326"/>
      <c r="L12" s="327" t="s">
        <v>78</v>
      </c>
      <c r="M12" s="322" t="s">
        <v>77</v>
      </c>
      <c r="N12" s="322"/>
      <c r="O12" s="322" t="s">
        <v>77</v>
      </c>
      <c r="P12" s="328" t="s">
        <v>77</v>
      </c>
      <c r="Q12" s="327"/>
      <c r="R12" s="322"/>
      <c r="S12" s="322"/>
      <c r="T12" s="322"/>
      <c r="U12" s="329" t="s">
        <v>80</v>
      </c>
      <c r="V12" s="321"/>
      <c r="W12" s="323"/>
      <c r="X12" s="323"/>
      <c r="Y12" s="323"/>
      <c r="Z12" s="326"/>
      <c r="AA12" s="330"/>
      <c r="AB12" s="323"/>
      <c r="AC12" s="323"/>
      <c r="AD12" s="323"/>
      <c r="AE12" s="324"/>
      <c r="AF12" s="325"/>
      <c r="AG12" s="323"/>
      <c r="AH12" s="323"/>
      <c r="AI12" s="323"/>
      <c r="AJ12" s="326"/>
      <c r="AK12" s="330"/>
      <c r="AL12" s="323"/>
      <c r="AM12" s="323"/>
      <c r="AN12" s="323"/>
      <c r="AO12" s="324"/>
      <c r="AP12" s="325"/>
      <c r="AQ12" s="323"/>
      <c r="AR12" s="323"/>
      <c r="AS12" s="323"/>
      <c r="AT12" s="326"/>
      <c r="AU12" s="330"/>
      <c r="AV12" s="323"/>
      <c r="AW12" s="323"/>
      <c r="AX12" s="323"/>
      <c r="AY12" s="324"/>
      <c r="AZ12" s="325"/>
      <c r="BA12" s="323"/>
      <c r="BB12" s="323"/>
      <c r="BC12" s="323"/>
      <c r="BD12" s="326"/>
      <c r="BE12" s="330"/>
      <c r="BF12" s="323"/>
      <c r="BG12" s="323"/>
      <c r="BH12" s="323"/>
      <c r="BI12" s="324"/>
      <c r="BJ12" s="325"/>
      <c r="BK12" s="323"/>
      <c r="BL12" s="323"/>
      <c r="BM12" s="323"/>
      <c r="BN12" s="326"/>
      <c r="BO12" s="330"/>
      <c r="BP12" s="323"/>
      <c r="BQ12" s="323"/>
      <c r="BR12" s="323"/>
      <c r="BS12" s="324"/>
      <c r="BT12" s="325"/>
      <c r="BU12" s="323"/>
      <c r="BV12" s="323"/>
      <c r="BW12" s="323"/>
      <c r="BX12" s="326"/>
      <c r="BY12" s="330"/>
      <c r="BZ12" s="323"/>
      <c r="CA12" s="323"/>
      <c r="CB12" s="323"/>
      <c r="CC12" s="324"/>
      <c r="CD12" s="325"/>
      <c r="CE12" s="323"/>
      <c r="CF12" s="323"/>
      <c r="CG12" s="323"/>
      <c r="CH12" s="324"/>
      <c r="CI12" s="325"/>
      <c r="CJ12" s="323"/>
      <c r="CK12" s="323"/>
      <c r="CL12" s="323"/>
      <c r="CM12" s="326"/>
      <c r="CN12" s="45"/>
      <c r="CO12" s="45"/>
      <c r="CP12" s="45"/>
      <c r="CQ12" s="45"/>
      <c r="CR12" s="45"/>
      <c r="CS12" s="45"/>
      <c r="CT12" s="45"/>
      <c r="CU12" s="45"/>
      <c r="CV12" s="45"/>
      <c r="CW12" s="45"/>
      <c r="CX12" s="46"/>
      <c r="CY12" s="45"/>
      <c r="CZ12" s="45"/>
      <c r="DA12" s="46"/>
      <c r="DB12" s="45"/>
      <c r="DC12" s="46"/>
      <c r="DD12" s="46"/>
      <c r="DE12" s="45"/>
      <c r="DF12" s="46"/>
      <c r="DG12" s="46"/>
      <c r="DH12" s="45"/>
      <c r="DI12" s="45"/>
      <c r="DJ12" s="45"/>
      <c r="DK12" s="45"/>
      <c r="DL12" s="45"/>
      <c r="DM12" s="45"/>
      <c r="DN12" s="45"/>
    </row>
    <row r="13" spans="1:121" ht="25.5" hidden="1" customHeight="1">
      <c r="A13" s="321">
        <v>3906</v>
      </c>
      <c r="B13" s="322" t="s">
        <v>11</v>
      </c>
      <c r="C13" s="322" t="s">
        <v>44</v>
      </c>
      <c r="D13" s="322" t="s">
        <v>76</v>
      </c>
      <c r="E13" s="323" t="s">
        <v>53</v>
      </c>
      <c r="F13" s="322"/>
      <c r="G13" s="323" t="s">
        <v>380</v>
      </c>
      <c r="H13" s="324" t="s">
        <v>54</v>
      </c>
      <c r="I13" s="325"/>
      <c r="J13" s="323"/>
      <c r="K13" s="326"/>
      <c r="L13" s="327" t="s">
        <v>78</v>
      </c>
      <c r="M13" s="322" t="s">
        <v>77</v>
      </c>
      <c r="N13" s="322"/>
      <c r="O13" s="322" t="s">
        <v>77</v>
      </c>
      <c r="P13" s="328" t="s">
        <v>77</v>
      </c>
      <c r="Q13" s="327"/>
      <c r="R13" s="322"/>
      <c r="S13" s="322"/>
      <c r="T13" s="322"/>
      <c r="U13" s="329" t="s">
        <v>80</v>
      </c>
      <c r="V13" s="321"/>
      <c r="W13" s="323"/>
      <c r="X13" s="323"/>
      <c r="Y13" s="323"/>
      <c r="Z13" s="326"/>
      <c r="AA13" s="330"/>
      <c r="AB13" s="323"/>
      <c r="AC13" s="323"/>
      <c r="AD13" s="323"/>
      <c r="AE13" s="324"/>
      <c r="AF13" s="325"/>
      <c r="AG13" s="323"/>
      <c r="AH13" s="323"/>
      <c r="AI13" s="323"/>
      <c r="AJ13" s="326"/>
      <c r="AK13" s="330"/>
      <c r="AL13" s="323"/>
      <c r="AM13" s="323"/>
      <c r="AN13" s="323"/>
      <c r="AO13" s="324"/>
      <c r="AP13" s="325"/>
      <c r="AQ13" s="323"/>
      <c r="AR13" s="323"/>
      <c r="AS13" s="323"/>
      <c r="AT13" s="326"/>
      <c r="AU13" s="330"/>
      <c r="AV13" s="323"/>
      <c r="AW13" s="323"/>
      <c r="AX13" s="323"/>
      <c r="AY13" s="324"/>
      <c r="AZ13" s="325"/>
      <c r="BA13" s="323"/>
      <c r="BB13" s="323"/>
      <c r="BC13" s="323"/>
      <c r="BD13" s="326"/>
      <c r="BE13" s="330"/>
      <c r="BF13" s="323"/>
      <c r="BG13" s="323"/>
      <c r="BH13" s="323"/>
      <c r="BI13" s="324"/>
      <c r="BJ13" s="325"/>
      <c r="BK13" s="323"/>
      <c r="BL13" s="323"/>
      <c r="BM13" s="323"/>
      <c r="BN13" s="326"/>
      <c r="BO13" s="330"/>
      <c r="BP13" s="323"/>
      <c r="BQ13" s="323"/>
      <c r="BR13" s="323"/>
      <c r="BS13" s="324"/>
      <c r="BT13" s="325"/>
      <c r="BU13" s="323"/>
      <c r="BV13" s="323"/>
      <c r="BW13" s="323"/>
      <c r="BX13" s="326"/>
      <c r="BY13" s="330"/>
      <c r="BZ13" s="323"/>
      <c r="CA13" s="323"/>
      <c r="CB13" s="323"/>
      <c r="CC13" s="324"/>
      <c r="CD13" s="325"/>
      <c r="CE13" s="323"/>
      <c r="CF13" s="323"/>
      <c r="CG13" s="323"/>
      <c r="CH13" s="324"/>
      <c r="CI13" s="325"/>
      <c r="CJ13" s="323"/>
      <c r="CK13" s="323"/>
      <c r="CL13" s="323"/>
      <c r="CM13" s="326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  <c r="DA13" s="45"/>
      <c r="DB13" s="45"/>
      <c r="DC13" s="45"/>
      <c r="DD13" s="45"/>
      <c r="DE13" s="45"/>
      <c r="DF13" s="45"/>
      <c r="DG13" s="46"/>
      <c r="DH13" s="45"/>
      <c r="DI13" s="45"/>
      <c r="DJ13" s="45"/>
      <c r="DK13" s="45"/>
      <c r="DL13" s="45"/>
      <c r="DM13" s="45"/>
      <c r="DN13" s="45"/>
    </row>
    <row r="14" spans="1:121" ht="25.5" hidden="1" customHeight="1" thickBot="1">
      <c r="A14" s="331">
        <v>3907</v>
      </c>
      <c r="B14" s="332" t="s">
        <v>11</v>
      </c>
      <c r="C14" s="332" t="s">
        <v>44</v>
      </c>
      <c r="D14" s="332" t="s">
        <v>76</v>
      </c>
      <c r="E14" s="333" t="s">
        <v>53</v>
      </c>
      <c r="F14" s="332"/>
      <c r="G14" s="333" t="s">
        <v>382</v>
      </c>
      <c r="H14" s="334" t="s">
        <v>54</v>
      </c>
      <c r="I14" s="335"/>
      <c r="J14" s="333"/>
      <c r="K14" s="336"/>
      <c r="L14" s="337" t="s">
        <v>78</v>
      </c>
      <c r="M14" s="332" t="s">
        <v>77</v>
      </c>
      <c r="N14" s="332"/>
      <c r="O14" s="332" t="s">
        <v>77</v>
      </c>
      <c r="P14" s="338" t="s">
        <v>77</v>
      </c>
      <c r="Q14" s="337"/>
      <c r="R14" s="332"/>
      <c r="S14" s="332"/>
      <c r="T14" s="332"/>
      <c r="U14" s="339" t="s">
        <v>80</v>
      </c>
      <c r="V14" s="331"/>
      <c r="W14" s="333"/>
      <c r="X14" s="333"/>
      <c r="Y14" s="333"/>
      <c r="Z14" s="336"/>
      <c r="AA14" s="340"/>
      <c r="AB14" s="333"/>
      <c r="AC14" s="333"/>
      <c r="AD14" s="333"/>
      <c r="AE14" s="334"/>
      <c r="AF14" s="335"/>
      <c r="AG14" s="333"/>
      <c r="AH14" s="333"/>
      <c r="AI14" s="333"/>
      <c r="AJ14" s="336"/>
      <c r="AK14" s="340"/>
      <c r="AL14" s="333"/>
      <c r="AM14" s="333"/>
      <c r="AN14" s="333"/>
      <c r="AO14" s="334"/>
      <c r="AP14" s="335"/>
      <c r="AQ14" s="333"/>
      <c r="AR14" s="333"/>
      <c r="AS14" s="333"/>
      <c r="AT14" s="336"/>
      <c r="AU14" s="340"/>
      <c r="AV14" s="333"/>
      <c r="AW14" s="333"/>
      <c r="AX14" s="333"/>
      <c r="AY14" s="334"/>
      <c r="AZ14" s="335"/>
      <c r="BA14" s="333"/>
      <c r="BB14" s="333"/>
      <c r="BC14" s="333"/>
      <c r="BD14" s="336"/>
      <c r="BE14" s="340"/>
      <c r="BF14" s="333"/>
      <c r="BG14" s="333"/>
      <c r="BH14" s="333"/>
      <c r="BI14" s="334"/>
      <c r="BJ14" s="335"/>
      <c r="BK14" s="333"/>
      <c r="BL14" s="333"/>
      <c r="BM14" s="333"/>
      <c r="BN14" s="336"/>
      <c r="BO14" s="340"/>
      <c r="BP14" s="333"/>
      <c r="BQ14" s="333"/>
      <c r="BR14" s="333"/>
      <c r="BS14" s="334"/>
      <c r="BT14" s="335"/>
      <c r="BU14" s="333"/>
      <c r="BV14" s="333"/>
      <c r="BW14" s="333"/>
      <c r="BX14" s="336"/>
      <c r="BY14" s="340"/>
      <c r="BZ14" s="333"/>
      <c r="CA14" s="333"/>
      <c r="CB14" s="333"/>
      <c r="CC14" s="334"/>
      <c r="CD14" s="335"/>
      <c r="CE14" s="333"/>
      <c r="CF14" s="333"/>
      <c r="CG14" s="333"/>
      <c r="CH14" s="334"/>
      <c r="CI14" s="335"/>
      <c r="CJ14" s="333"/>
      <c r="CK14" s="333"/>
      <c r="CL14" s="333"/>
      <c r="CM14" s="336"/>
      <c r="CN14" s="45"/>
      <c r="CO14" s="45"/>
      <c r="CP14" s="45"/>
      <c r="CQ14" s="45"/>
      <c r="CR14" s="45"/>
      <c r="CS14" s="45"/>
      <c r="CT14" s="45"/>
      <c r="CU14" s="45"/>
      <c r="CV14" s="45"/>
      <c r="CW14" s="45"/>
      <c r="CX14" s="45"/>
      <c r="CY14" s="45"/>
      <c r="CZ14" s="45"/>
      <c r="DA14" s="45"/>
      <c r="DB14" s="45"/>
      <c r="DC14" s="45"/>
      <c r="DD14" s="45"/>
      <c r="DE14" s="45"/>
      <c r="DF14" s="45"/>
      <c r="DG14" s="46"/>
      <c r="DH14" s="45"/>
      <c r="DI14" s="45"/>
      <c r="DJ14" s="45"/>
      <c r="DK14" s="45"/>
      <c r="DL14" s="45"/>
      <c r="DM14" s="45"/>
      <c r="DN14" s="45"/>
    </row>
    <row r="15" spans="1:121" ht="25.5" customHeight="1">
      <c r="A15" s="341">
        <v>3908</v>
      </c>
      <c r="B15" s="342" t="s">
        <v>11</v>
      </c>
      <c r="C15" s="342" t="s">
        <v>44</v>
      </c>
      <c r="D15" s="342" t="s">
        <v>76</v>
      </c>
      <c r="E15" s="343" t="s">
        <v>53</v>
      </c>
      <c r="F15" s="342"/>
      <c r="G15" s="343" t="s">
        <v>384</v>
      </c>
      <c r="H15" s="344" t="s">
        <v>54</v>
      </c>
      <c r="I15" s="345"/>
      <c r="J15" s="343"/>
      <c r="K15" s="346"/>
      <c r="L15" s="347" t="s">
        <v>78</v>
      </c>
      <c r="M15" s="342" t="s">
        <v>77</v>
      </c>
      <c r="N15" s="342"/>
      <c r="O15" s="342" t="s">
        <v>77</v>
      </c>
      <c r="P15" s="348" t="s">
        <v>77</v>
      </c>
      <c r="Q15" s="347"/>
      <c r="R15" s="342"/>
      <c r="S15" s="342"/>
      <c r="T15" s="342"/>
      <c r="U15" s="349" t="s">
        <v>80</v>
      </c>
      <c r="V15" s="341"/>
      <c r="W15" s="343"/>
      <c r="X15" s="343"/>
      <c r="Y15" s="343"/>
      <c r="Z15" s="346"/>
      <c r="AA15" s="350"/>
      <c r="AB15" s="343"/>
      <c r="AC15" s="343"/>
      <c r="AD15" s="343"/>
      <c r="AE15" s="344"/>
      <c r="AF15" s="345"/>
      <c r="AG15" s="343"/>
      <c r="AH15" s="343"/>
      <c r="AI15" s="343"/>
      <c r="AJ15" s="346"/>
      <c r="AK15" s="350"/>
      <c r="AL15" s="343"/>
      <c r="AM15" s="343"/>
      <c r="AN15" s="343"/>
      <c r="AO15" s="344"/>
      <c r="AP15" s="345"/>
      <c r="AQ15" s="343"/>
      <c r="AR15" s="343"/>
      <c r="AS15" s="343"/>
      <c r="AT15" s="346"/>
      <c r="AU15" s="350"/>
      <c r="AV15" s="343"/>
      <c r="AW15" s="343"/>
      <c r="AX15" s="343"/>
      <c r="AY15" s="344"/>
      <c r="AZ15" s="345"/>
      <c r="BA15" s="343"/>
      <c r="BB15" s="343"/>
      <c r="BC15" s="343"/>
      <c r="BD15" s="346"/>
      <c r="BE15" s="350"/>
      <c r="BF15" s="343"/>
      <c r="BG15" s="343"/>
      <c r="BH15" s="343"/>
      <c r="BI15" s="344"/>
      <c r="BJ15" s="345"/>
      <c r="BK15" s="343"/>
      <c r="BL15" s="343"/>
      <c r="BM15" s="343"/>
      <c r="BN15" s="346"/>
      <c r="BO15" s="350"/>
      <c r="BP15" s="343"/>
      <c r="BQ15" s="343"/>
      <c r="BR15" s="343"/>
      <c r="BS15" s="344"/>
      <c r="BT15" s="345"/>
      <c r="BU15" s="343"/>
      <c r="BV15" s="343"/>
      <c r="BW15" s="343"/>
      <c r="BX15" s="346"/>
      <c r="BY15" s="350"/>
      <c r="BZ15" s="343"/>
      <c r="CA15" s="343"/>
      <c r="CB15" s="343"/>
      <c r="CC15" s="344"/>
      <c r="CD15" s="345"/>
      <c r="CE15" s="343"/>
      <c r="CF15" s="343"/>
      <c r="CG15" s="343"/>
      <c r="CH15" s="344"/>
      <c r="CI15" s="345"/>
      <c r="CJ15" s="343"/>
      <c r="CK15" s="343"/>
      <c r="CL15" s="343"/>
      <c r="CM15" s="346"/>
      <c r="CN15" s="45"/>
      <c r="CO15" s="45"/>
      <c r="CP15" s="46"/>
      <c r="CQ15" s="45"/>
      <c r="CR15" s="45"/>
      <c r="CS15" s="45"/>
      <c r="CT15" s="45"/>
      <c r="CU15" s="45"/>
      <c r="CV15" s="45"/>
      <c r="CW15" s="45"/>
      <c r="CX15" s="46"/>
      <c r="CY15" s="45"/>
      <c r="CZ15" s="45"/>
      <c r="DA15" s="46"/>
      <c r="DB15" s="45"/>
      <c r="DC15" s="46"/>
      <c r="DD15" s="46"/>
      <c r="DE15" s="45"/>
      <c r="DF15" s="46"/>
      <c r="DG15" s="46"/>
      <c r="DH15" s="45"/>
      <c r="DI15" s="46"/>
      <c r="DJ15" s="46"/>
      <c r="DK15" s="45"/>
      <c r="DL15" s="46"/>
      <c r="DM15" s="45"/>
      <c r="DN15" s="45"/>
    </row>
    <row r="16" spans="1:121" ht="25.5" customHeight="1">
      <c r="A16" s="321">
        <v>3909</v>
      </c>
      <c r="B16" s="322" t="s">
        <v>11</v>
      </c>
      <c r="C16" s="322" t="s">
        <v>44</v>
      </c>
      <c r="D16" s="322" t="s">
        <v>76</v>
      </c>
      <c r="E16" s="323" t="s">
        <v>53</v>
      </c>
      <c r="F16" s="322"/>
      <c r="G16" s="323" t="s">
        <v>386</v>
      </c>
      <c r="H16" s="324" t="s">
        <v>54</v>
      </c>
      <c r="I16" s="325"/>
      <c r="J16" s="323"/>
      <c r="K16" s="326"/>
      <c r="L16" s="327" t="s">
        <v>78</v>
      </c>
      <c r="M16" s="322" t="s">
        <v>77</v>
      </c>
      <c r="N16" s="322"/>
      <c r="O16" s="322" t="s">
        <v>77</v>
      </c>
      <c r="P16" s="328" t="s">
        <v>77</v>
      </c>
      <c r="Q16" s="327"/>
      <c r="R16" s="322"/>
      <c r="S16" s="322"/>
      <c r="T16" s="322"/>
      <c r="U16" s="329" t="s">
        <v>80</v>
      </c>
      <c r="V16" s="321"/>
      <c r="W16" s="323"/>
      <c r="X16" s="323"/>
      <c r="Y16" s="323"/>
      <c r="Z16" s="326"/>
      <c r="AA16" s="330"/>
      <c r="AB16" s="323"/>
      <c r="AC16" s="323"/>
      <c r="AD16" s="323"/>
      <c r="AE16" s="324"/>
      <c r="AF16" s="325"/>
      <c r="AG16" s="323"/>
      <c r="AH16" s="323"/>
      <c r="AI16" s="323"/>
      <c r="AJ16" s="326"/>
      <c r="AK16" s="330"/>
      <c r="AL16" s="323"/>
      <c r="AM16" s="323"/>
      <c r="AN16" s="323"/>
      <c r="AO16" s="324"/>
      <c r="AP16" s="325"/>
      <c r="AQ16" s="323"/>
      <c r="AR16" s="323"/>
      <c r="AS16" s="323"/>
      <c r="AT16" s="326"/>
      <c r="AU16" s="330"/>
      <c r="AV16" s="323"/>
      <c r="AW16" s="323"/>
      <c r="AX16" s="323"/>
      <c r="AY16" s="324"/>
      <c r="AZ16" s="325"/>
      <c r="BA16" s="323"/>
      <c r="BB16" s="323"/>
      <c r="BC16" s="323"/>
      <c r="BD16" s="326"/>
      <c r="BE16" s="330"/>
      <c r="BF16" s="323"/>
      <c r="BG16" s="323"/>
      <c r="BH16" s="323"/>
      <c r="BI16" s="324"/>
      <c r="BJ16" s="325"/>
      <c r="BK16" s="323"/>
      <c r="BL16" s="323"/>
      <c r="BM16" s="323"/>
      <c r="BN16" s="326"/>
      <c r="BO16" s="330"/>
      <c r="BP16" s="323"/>
      <c r="BQ16" s="323"/>
      <c r="BR16" s="323"/>
      <c r="BS16" s="324"/>
      <c r="BT16" s="325"/>
      <c r="BU16" s="323"/>
      <c r="BV16" s="323"/>
      <c r="BW16" s="323"/>
      <c r="BX16" s="326"/>
      <c r="BY16" s="330"/>
      <c r="BZ16" s="323"/>
      <c r="CA16" s="323"/>
      <c r="CB16" s="323"/>
      <c r="CC16" s="324"/>
      <c r="CD16" s="325"/>
      <c r="CE16" s="323"/>
      <c r="CF16" s="323"/>
      <c r="CG16" s="323"/>
      <c r="CH16" s="324"/>
      <c r="CI16" s="325"/>
      <c r="CJ16" s="323"/>
      <c r="CK16" s="323"/>
      <c r="CL16" s="323"/>
      <c r="CM16" s="326"/>
      <c r="CN16" s="45"/>
      <c r="CO16" s="45"/>
      <c r="CP16" s="45"/>
      <c r="CQ16" s="45"/>
      <c r="CR16" s="45"/>
      <c r="CS16" s="45"/>
      <c r="CT16" s="45"/>
      <c r="CU16" s="45"/>
      <c r="CV16" s="45"/>
      <c r="CW16" s="45"/>
      <c r="CX16" s="45"/>
      <c r="CY16" s="45"/>
      <c r="CZ16" s="45"/>
      <c r="DA16" s="45"/>
      <c r="DB16" s="45"/>
      <c r="DC16" s="45"/>
      <c r="DD16" s="45"/>
      <c r="DE16" s="45"/>
      <c r="DF16" s="45"/>
      <c r="DG16" s="45"/>
      <c r="DH16" s="45"/>
      <c r="DI16" s="45"/>
      <c r="DJ16" s="45"/>
      <c r="DK16" s="45"/>
      <c r="DL16" s="45"/>
      <c r="DM16" s="45"/>
      <c r="DN16" s="45"/>
    </row>
    <row r="17" spans="1:118" ht="25.5" customHeight="1">
      <c r="A17" s="321">
        <v>3910</v>
      </c>
      <c r="B17" s="322" t="s">
        <v>11</v>
      </c>
      <c r="C17" s="322" t="s">
        <v>44</v>
      </c>
      <c r="D17" s="322" t="s">
        <v>76</v>
      </c>
      <c r="E17" s="323" t="s">
        <v>53</v>
      </c>
      <c r="F17" s="322"/>
      <c r="G17" s="323" t="s">
        <v>388</v>
      </c>
      <c r="H17" s="324" t="s">
        <v>54</v>
      </c>
      <c r="I17" s="325"/>
      <c r="J17" s="323"/>
      <c r="K17" s="326"/>
      <c r="L17" s="327" t="s">
        <v>78</v>
      </c>
      <c r="M17" s="322" t="s">
        <v>77</v>
      </c>
      <c r="N17" s="322"/>
      <c r="O17" s="322" t="s">
        <v>77</v>
      </c>
      <c r="P17" s="328" t="s">
        <v>77</v>
      </c>
      <c r="Q17" s="327"/>
      <c r="R17" s="322"/>
      <c r="S17" s="322"/>
      <c r="T17" s="322"/>
      <c r="U17" s="329" t="s">
        <v>80</v>
      </c>
      <c r="V17" s="321"/>
      <c r="W17" s="323"/>
      <c r="X17" s="323"/>
      <c r="Y17" s="323"/>
      <c r="Z17" s="326"/>
      <c r="AA17" s="330"/>
      <c r="AB17" s="323"/>
      <c r="AC17" s="323"/>
      <c r="AD17" s="323"/>
      <c r="AE17" s="324"/>
      <c r="AF17" s="325"/>
      <c r="AG17" s="323"/>
      <c r="AH17" s="323"/>
      <c r="AI17" s="323"/>
      <c r="AJ17" s="326"/>
      <c r="AK17" s="330"/>
      <c r="AL17" s="323"/>
      <c r="AM17" s="323"/>
      <c r="AN17" s="323"/>
      <c r="AO17" s="324"/>
      <c r="AP17" s="325"/>
      <c r="AQ17" s="323"/>
      <c r="AR17" s="323"/>
      <c r="AS17" s="323"/>
      <c r="AT17" s="326"/>
      <c r="AU17" s="330"/>
      <c r="AV17" s="323"/>
      <c r="AW17" s="323"/>
      <c r="AX17" s="323"/>
      <c r="AY17" s="324"/>
      <c r="AZ17" s="325"/>
      <c r="BA17" s="323"/>
      <c r="BB17" s="323"/>
      <c r="BC17" s="323"/>
      <c r="BD17" s="326"/>
      <c r="BE17" s="330"/>
      <c r="BF17" s="323"/>
      <c r="BG17" s="323"/>
      <c r="BH17" s="323"/>
      <c r="BI17" s="324"/>
      <c r="BJ17" s="325"/>
      <c r="BK17" s="323"/>
      <c r="BL17" s="323"/>
      <c r="BM17" s="323"/>
      <c r="BN17" s="326"/>
      <c r="BO17" s="330"/>
      <c r="BP17" s="323"/>
      <c r="BQ17" s="323"/>
      <c r="BR17" s="323"/>
      <c r="BS17" s="324"/>
      <c r="BT17" s="325"/>
      <c r="BU17" s="323"/>
      <c r="BV17" s="323"/>
      <c r="BW17" s="323"/>
      <c r="BX17" s="326"/>
      <c r="BY17" s="330"/>
      <c r="BZ17" s="323"/>
      <c r="CA17" s="323"/>
      <c r="CB17" s="323"/>
      <c r="CC17" s="324"/>
      <c r="CD17" s="325"/>
      <c r="CE17" s="323"/>
      <c r="CF17" s="323"/>
      <c r="CG17" s="323"/>
      <c r="CH17" s="324"/>
      <c r="CI17" s="325"/>
      <c r="CJ17" s="323"/>
      <c r="CK17" s="323"/>
      <c r="CL17" s="323"/>
      <c r="CM17" s="326"/>
      <c r="CN17" s="45"/>
      <c r="CO17" s="45"/>
      <c r="CP17" s="45"/>
      <c r="CQ17" s="45"/>
      <c r="CR17" s="45"/>
      <c r="CS17" s="45"/>
      <c r="CT17" s="45"/>
      <c r="CU17" s="45"/>
      <c r="CV17" s="45"/>
      <c r="CW17" s="45"/>
      <c r="CX17" s="45"/>
      <c r="CY17" s="45"/>
      <c r="CZ17" s="45"/>
      <c r="DA17" s="45"/>
      <c r="DB17" s="45"/>
      <c r="DC17" s="45"/>
      <c r="DD17" s="45"/>
      <c r="DE17" s="45"/>
      <c r="DF17" s="45"/>
      <c r="DG17" s="45"/>
      <c r="DH17" s="45"/>
      <c r="DI17" s="45"/>
      <c r="DJ17" s="45"/>
      <c r="DK17" s="45"/>
      <c r="DL17" s="45"/>
      <c r="DM17" s="45"/>
      <c r="DN17" s="45"/>
    </row>
    <row r="18" spans="1:118" ht="25.5" customHeight="1">
      <c r="A18" s="321">
        <v>3911</v>
      </c>
      <c r="B18" s="322" t="s">
        <v>11</v>
      </c>
      <c r="C18" s="322" t="s">
        <v>44</v>
      </c>
      <c r="D18" s="322" t="s">
        <v>76</v>
      </c>
      <c r="E18" s="323" t="s">
        <v>53</v>
      </c>
      <c r="F18" s="322"/>
      <c r="G18" s="323" t="s">
        <v>390</v>
      </c>
      <c r="H18" s="324" t="s">
        <v>54</v>
      </c>
      <c r="I18" s="325"/>
      <c r="J18" s="323"/>
      <c r="K18" s="326"/>
      <c r="L18" s="327" t="s">
        <v>78</v>
      </c>
      <c r="M18" s="322" t="s">
        <v>77</v>
      </c>
      <c r="N18" s="322"/>
      <c r="O18" s="322" t="s">
        <v>77</v>
      </c>
      <c r="P18" s="328" t="s">
        <v>77</v>
      </c>
      <c r="Q18" s="327"/>
      <c r="R18" s="322"/>
      <c r="S18" s="322"/>
      <c r="T18" s="322"/>
      <c r="U18" s="329" t="s">
        <v>80</v>
      </c>
      <c r="V18" s="321"/>
      <c r="W18" s="323"/>
      <c r="X18" s="323"/>
      <c r="Y18" s="323"/>
      <c r="Z18" s="326"/>
      <c r="AA18" s="330"/>
      <c r="AB18" s="323"/>
      <c r="AC18" s="323"/>
      <c r="AD18" s="323"/>
      <c r="AE18" s="324"/>
      <c r="AF18" s="325"/>
      <c r="AG18" s="323"/>
      <c r="AH18" s="323"/>
      <c r="AI18" s="323"/>
      <c r="AJ18" s="326"/>
      <c r="AK18" s="330"/>
      <c r="AL18" s="323"/>
      <c r="AM18" s="323"/>
      <c r="AN18" s="323"/>
      <c r="AO18" s="324"/>
      <c r="AP18" s="325"/>
      <c r="AQ18" s="323"/>
      <c r="AR18" s="323"/>
      <c r="AS18" s="323"/>
      <c r="AT18" s="326"/>
      <c r="AU18" s="330"/>
      <c r="AV18" s="323"/>
      <c r="AW18" s="323"/>
      <c r="AX18" s="323"/>
      <c r="AY18" s="324"/>
      <c r="AZ18" s="325"/>
      <c r="BA18" s="323"/>
      <c r="BB18" s="323"/>
      <c r="BC18" s="323"/>
      <c r="BD18" s="326"/>
      <c r="BE18" s="330"/>
      <c r="BF18" s="323"/>
      <c r="BG18" s="323"/>
      <c r="BH18" s="323"/>
      <c r="BI18" s="324"/>
      <c r="BJ18" s="325"/>
      <c r="BK18" s="323"/>
      <c r="BL18" s="323"/>
      <c r="BM18" s="323"/>
      <c r="BN18" s="326"/>
      <c r="BO18" s="330"/>
      <c r="BP18" s="323"/>
      <c r="BQ18" s="323"/>
      <c r="BR18" s="323"/>
      <c r="BS18" s="324"/>
      <c r="BT18" s="325"/>
      <c r="BU18" s="323"/>
      <c r="BV18" s="323"/>
      <c r="BW18" s="323"/>
      <c r="BX18" s="326"/>
      <c r="BY18" s="330"/>
      <c r="BZ18" s="323"/>
      <c r="CA18" s="323"/>
      <c r="CB18" s="323"/>
      <c r="CC18" s="324"/>
      <c r="CD18" s="325"/>
      <c r="CE18" s="323"/>
      <c r="CF18" s="323"/>
      <c r="CG18" s="323"/>
      <c r="CH18" s="324"/>
      <c r="CI18" s="325"/>
      <c r="CJ18" s="323"/>
      <c r="CK18" s="323"/>
      <c r="CL18" s="323"/>
      <c r="CM18" s="326"/>
      <c r="CN18" s="45"/>
      <c r="CO18" s="45"/>
      <c r="CP18" s="45"/>
      <c r="CQ18" s="45"/>
      <c r="CR18" s="45"/>
      <c r="CS18" s="45"/>
      <c r="CT18" s="45"/>
      <c r="CU18" s="45"/>
      <c r="CV18" s="45"/>
      <c r="CW18" s="45"/>
      <c r="CX18" s="45"/>
      <c r="CY18" s="45"/>
      <c r="CZ18" s="45"/>
      <c r="DA18" s="45"/>
      <c r="DB18" s="45"/>
      <c r="DC18" s="45"/>
      <c r="DD18" s="45"/>
      <c r="DE18" s="45"/>
      <c r="DF18" s="45"/>
      <c r="DG18" s="45"/>
      <c r="DH18" s="45"/>
      <c r="DI18" s="45"/>
      <c r="DJ18" s="45"/>
      <c r="DK18" s="45"/>
      <c r="DL18" s="45"/>
      <c r="DM18" s="45"/>
      <c r="DN18" s="45"/>
    </row>
    <row r="19" spans="1:118" ht="25.5" customHeight="1" thickBot="1">
      <c r="A19" s="351">
        <v>3912</v>
      </c>
      <c r="B19" s="352" t="s">
        <v>11</v>
      </c>
      <c r="C19" s="352" t="s">
        <v>44</v>
      </c>
      <c r="D19" s="352" t="s">
        <v>76</v>
      </c>
      <c r="E19" s="353" t="s">
        <v>53</v>
      </c>
      <c r="F19" s="352"/>
      <c r="G19" s="353" t="s">
        <v>392</v>
      </c>
      <c r="H19" s="354" t="s">
        <v>54</v>
      </c>
      <c r="I19" s="355"/>
      <c r="J19" s="353"/>
      <c r="K19" s="356"/>
      <c r="L19" s="357" t="s">
        <v>78</v>
      </c>
      <c r="M19" s="352" t="s">
        <v>77</v>
      </c>
      <c r="N19" s="352"/>
      <c r="O19" s="352" t="s">
        <v>77</v>
      </c>
      <c r="P19" s="358" t="s">
        <v>77</v>
      </c>
      <c r="Q19" s="357"/>
      <c r="R19" s="352"/>
      <c r="S19" s="352"/>
      <c r="T19" s="352"/>
      <c r="U19" s="359" t="s">
        <v>80</v>
      </c>
      <c r="V19" s="351"/>
      <c r="W19" s="353"/>
      <c r="X19" s="353"/>
      <c r="Y19" s="353"/>
      <c r="Z19" s="356"/>
      <c r="AA19" s="360"/>
      <c r="AB19" s="353"/>
      <c r="AC19" s="353"/>
      <c r="AD19" s="353"/>
      <c r="AE19" s="354"/>
      <c r="AF19" s="355"/>
      <c r="AG19" s="353"/>
      <c r="AH19" s="353"/>
      <c r="AI19" s="353"/>
      <c r="AJ19" s="356"/>
      <c r="AK19" s="360"/>
      <c r="AL19" s="353"/>
      <c r="AM19" s="353"/>
      <c r="AN19" s="353"/>
      <c r="AO19" s="354"/>
      <c r="AP19" s="355"/>
      <c r="AQ19" s="353"/>
      <c r="AR19" s="353"/>
      <c r="AS19" s="353"/>
      <c r="AT19" s="356"/>
      <c r="AU19" s="360"/>
      <c r="AV19" s="353"/>
      <c r="AW19" s="353"/>
      <c r="AX19" s="353"/>
      <c r="AY19" s="354"/>
      <c r="AZ19" s="355"/>
      <c r="BA19" s="353"/>
      <c r="BB19" s="353"/>
      <c r="BC19" s="353"/>
      <c r="BD19" s="356"/>
      <c r="BE19" s="360"/>
      <c r="BF19" s="353"/>
      <c r="BG19" s="353"/>
      <c r="BH19" s="353"/>
      <c r="BI19" s="354"/>
      <c r="BJ19" s="355"/>
      <c r="BK19" s="353"/>
      <c r="BL19" s="353"/>
      <c r="BM19" s="353"/>
      <c r="BN19" s="356"/>
      <c r="BO19" s="360"/>
      <c r="BP19" s="353"/>
      <c r="BQ19" s="353"/>
      <c r="BR19" s="353"/>
      <c r="BS19" s="354"/>
      <c r="BT19" s="355"/>
      <c r="BU19" s="353"/>
      <c r="BV19" s="353"/>
      <c r="BW19" s="353"/>
      <c r="BX19" s="356"/>
      <c r="BY19" s="360"/>
      <c r="BZ19" s="353"/>
      <c r="CA19" s="353"/>
      <c r="CB19" s="353"/>
      <c r="CC19" s="354"/>
      <c r="CD19" s="355"/>
      <c r="CE19" s="353"/>
      <c r="CF19" s="353"/>
      <c r="CG19" s="353"/>
      <c r="CH19" s="354"/>
      <c r="CI19" s="355"/>
      <c r="CJ19" s="353"/>
      <c r="CK19" s="353"/>
      <c r="CL19" s="353"/>
      <c r="CM19" s="356"/>
      <c r="CN19" s="45"/>
      <c r="CO19" s="45"/>
      <c r="CP19" s="45"/>
      <c r="CQ19" s="45"/>
      <c r="CR19" s="45"/>
      <c r="CS19" s="45"/>
      <c r="CT19" s="45"/>
      <c r="CU19" s="45"/>
      <c r="CV19" s="45"/>
      <c r="CW19" s="45"/>
      <c r="CX19" s="45"/>
      <c r="CY19" s="45"/>
      <c r="CZ19" s="45"/>
      <c r="DA19" s="45"/>
      <c r="DB19" s="45"/>
      <c r="DC19" s="45"/>
      <c r="DD19" s="45"/>
      <c r="DE19" s="45"/>
      <c r="DF19" s="45"/>
      <c r="DG19" s="45"/>
      <c r="DH19" s="45"/>
      <c r="DI19" s="45"/>
      <c r="DJ19" s="45"/>
      <c r="DK19" s="45"/>
      <c r="DL19" s="45"/>
      <c r="DM19" s="45"/>
      <c r="DN19" s="45"/>
    </row>
    <row r="20" spans="1:118" ht="25.5" customHeight="1">
      <c r="A20" s="361">
        <v>3913</v>
      </c>
      <c r="B20" s="362" t="s">
        <v>11</v>
      </c>
      <c r="C20" s="362" t="s">
        <v>44</v>
      </c>
      <c r="D20" s="362" t="s">
        <v>76</v>
      </c>
      <c r="E20" s="363" t="s">
        <v>53</v>
      </c>
      <c r="F20" s="362"/>
      <c r="G20" s="363" t="s">
        <v>394</v>
      </c>
      <c r="H20" s="364" t="s">
        <v>54</v>
      </c>
      <c r="I20" s="365"/>
      <c r="J20" s="363"/>
      <c r="K20" s="366"/>
      <c r="L20" s="367" t="s">
        <v>78</v>
      </c>
      <c r="M20" s="362" t="s">
        <v>77</v>
      </c>
      <c r="N20" s="362"/>
      <c r="O20" s="362" t="s">
        <v>77</v>
      </c>
      <c r="P20" s="368" t="s">
        <v>77</v>
      </c>
      <c r="Q20" s="367"/>
      <c r="R20" s="362"/>
      <c r="S20" s="362"/>
      <c r="T20" s="362"/>
      <c r="U20" s="369" t="s">
        <v>80</v>
      </c>
      <c r="V20" s="361"/>
      <c r="W20" s="363"/>
      <c r="X20" s="363"/>
      <c r="Y20" s="363"/>
      <c r="Z20" s="366"/>
      <c r="AA20" s="370"/>
      <c r="AB20" s="363"/>
      <c r="AC20" s="363"/>
      <c r="AD20" s="363"/>
      <c r="AE20" s="364"/>
      <c r="AF20" s="365"/>
      <c r="AG20" s="363"/>
      <c r="AH20" s="363"/>
      <c r="AI20" s="363"/>
      <c r="AJ20" s="366"/>
      <c r="AK20" s="370"/>
      <c r="AL20" s="363"/>
      <c r="AM20" s="363"/>
      <c r="AN20" s="363"/>
      <c r="AO20" s="364"/>
      <c r="AP20" s="365"/>
      <c r="AQ20" s="363"/>
      <c r="AR20" s="363"/>
      <c r="AS20" s="363"/>
      <c r="AT20" s="366"/>
      <c r="AU20" s="370"/>
      <c r="AV20" s="363"/>
      <c r="AW20" s="363"/>
      <c r="AX20" s="363"/>
      <c r="AY20" s="364"/>
      <c r="AZ20" s="365"/>
      <c r="BA20" s="363"/>
      <c r="BB20" s="363"/>
      <c r="BC20" s="363"/>
      <c r="BD20" s="366"/>
      <c r="BE20" s="370"/>
      <c r="BF20" s="363"/>
      <c r="BG20" s="363"/>
      <c r="BH20" s="363"/>
      <c r="BI20" s="364"/>
      <c r="BJ20" s="365"/>
      <c r="BK20" s="363"/>
      <c r="BL20" s="363"/>
      <c r="BM20" s="363"/>
      <c r="BN20" s="366"/>
      <c r="BO20" s="370"/>
      <c r="BP20" s="363"/>
      <c r="BQ20" s="363"/>
      <c r="BR20" s="363"/>
      <c r="BS20" s="364"/>
      <c r="BT20" s="365"/>
      <c r="BU20" s="363"/>
      <c r="BV20" s="363"/>
      <c r="BW20" s="363"/>
      <c r="BX20" s="366"/>
      <c r="BY20" s="370"/>
      <c r="BZ20" s="363"/>
      <c r="CA20" s="363"/>
      <c r="CB20" s="363"/>
      <c r="CC20" s="364"/>
      <c r="CD20" s="365"/>
      <c r="CE20" s="363"/>
      <c r="CF20" s="363"/>
      <c r="CG20" s="363"/>
      <c r="CH20" s="364"/>
      <c r="CI20" s="365"/>
      <c r="CJ20" s="363"/>
      <c r="CK20" s="363"/>
      <c r="CL20" s="363"/>
      <c r="CM20" s="366"/>
      <c r="CN20" s="45"/>
      <c r="CO20" s="45"/>
      <c r="CP20" s="45"/>
      <c r="CQ20" s="45"/>
      <c r="CR20" s="45"/>
      <c r="CS20" s="45"/>
      <c r="CT20" s="45"/>
      <c r="CU20" s="45"/>
      <c r="CV20" s="45"/>
      <c r="CW20" s="45"/>
      <c r="CX20" s="46"/>
      <c r="CY20" s="45"/>
      <c r="CZ20" s="45"/>
      <c r="DA20" s="46"/>
      <c r="DB20" s="45"/>
      <c r="DC20" s="45"/>
      <c r="DD20" s="45"/>
      <c r="DE20" s="45"/>
      <c r="DF20" s="46"/>
      <c r="DG20" s="45"/>
      <c r="DH20" s="45"/>
      <c r="DI20" s="45"/>
      <c r="DJ20" s="45"/>
      <c r="DK20" s="45"/>
      <c r="DL20" s="45"/>
      <c r="DM20" s="45"/>
      <c r="DN20" s="45"/>
    </row>
    <row r="21" spans="1:118" ht="25.5" customHeight="1">
      <c r="A21" s="321">
        <v>3914</v>
      </c>
      <c r="B21" s="322" t="s">
        <v>11</v>
      </c>
      <c r="C21" s="322" t="s">
        <v>44</v>
      </c>
      <c r="D21" s="322" t="s">
        <v>76</v>
      </c>
      <c r="E21" s="323" t="s">
        <v>53</v>
      </c>
      <c r="F21" s="322"/>
      <c r="G21" s="323" t="s">
        <v>396</v>
      </c>
      <c r="H21" s="324" t="s">
        <v>54</v>
      </c>
      <c r="I21" s="325"/>
      <c r="J21" s="323"/>
      <c r="K21" s="326"/>
      <c r="L21" s="327" t="s">
        <v>78</v>
      </c>
      <c r="M21" s="322" t="s">
        <v>77</v>
      </c>
      <c r="N21" s="322"/>
      <c r="O21" s="322" t="s">
        <v>77</v>
      </c>
      <c r="P21" s="328" t="s">
        <v>77</v>
      </c>
      <c r="Q21" s="327"/>
      <c r="R21" s="322"/>
      <c r="S21" s="322"/>
      <c r="T21" s="322"/>
      <c r="U21" s="329" t="s">
        <v>80</v>
      </c>
      <c r="V21" s="321"/>
      <c r="W21" s="323"/>
      <c r="X21" s="323"/>
      <c r="Y21" s="323"/>
      <c r="Z21" s="326"/>
      <c r="AA21" s="330"/>
      <c r="AB21" s="323"/>
      <c r="AC21" s="323"/>
      <c r="AD21" s="323"/>
      <c r="AE21" s="324"/>
      <c r="AF21" s="325"/>
      <c r="AG21" s="323"/>
      <c r="AH21" s="323"/>
      <c r="AI21" s="323"/>
      <c r="AJ21" s="326"/>
      <c r="AK21" s="330"/>
      <c r="AL21" s="323"/>
      <c r="AM21" s="323"/>
      <c r="AN21" s="323"/>
      <c r="AO21" s="324"/>
      <c r="AP21" s="325"/>
      <c r="AQ21" s="323"/>
      <c r="AR21" s="323"/>
      <c r="AS21" s="323"/>
      <c r="AT21" s="326"/>
      <c r="AU21" s="330"/>
      <c r="AV21" s="323"/>
      <c r="AW21" s="323"/>
      <c r="AX21" s="323"/>
      <c r="AY21" s="324"/>
      <c r="AZ21" s="325"/>
      <c r="BA21" s="323"/>
      <c r="BB21" s="323"/>
      <c r="BC21" s="323"/>
      <c r="BD21" s="326"/>
      <c r="BE21" s="330"/>
      <c r="BF21" s="323"/>
      <c r="BG21" s="323"/>
      <c r="BH21" s="323"/>
      <c r="BI21" s="324"/>
      <c r="BJ21" s="325"/>
      <c r="BK21" s="323"/>
      <c r="BL21" s="323"/>
      <c r="BM21" s="323"/>
      <c r="BN21" s="326"/>
      <c r="BO21" s="330"/>
      <c r="BP21" s="323"/>
      <c r="BQ21" s="323"/>
      <c r="BR21" s="323"/>
      <c r="BS21" s="324"/>
      <c r="BT21" s="325"/>
      <c r="BU21" s="323"/>
      <c r="BV21" s="323"/>
      <c r="BW21" s="323"/>
      <c r="BX21" s="326"/>
      <c r="BY21" s="330"/>
      <c r="BZ21" s="323"/>
      <c r="CA21" s="323"/>
      <c r="CB21" s="323"/>
      <c r="CC21" s="324"/>
      <c r="CD21" s="325"/>
      <c r="CE21" s="323"/>
      <c r="CF21" s="323"/>
      <c r="CG21" s="323"/>
      <c r="CH21" s="324"/>
      <c r="CI21" s="325"/>
      <c r="CJ21" s="323"/>
      <c r="CK21" s="323"/>
      <c r="CL21" s="323"/>
      <c r="CM21" s="326"/>
    </row>
    <row r="22" spans="1:118" ht="25.5" customHeight="1">
      <c r="A22" s="321">
        <v>3915</v>
      </c>
      <c r="B22" s="322" t="s">
        <v>11</v>
      </c>
      <c r="C22" s="322" t="s">
        <v>44</v>
      </c>
      <c r="D22" s="322" t="s">
        <v>76</v>
      </c>
      <c r="E22" s="323" t="s">
        <v>53</v>
      </c>
      <c r="F22" s="322"/>
      <c r="G22" s="323" t="s">
        <v>398</v>
      </c>
      <c r="H22" s="371" t="s">
        <v>54</v>
      </c>
      <c r="I22" s="325"/>
      <c r="J22" s="323"/>
      <c r="K22" s="326"/>
      <c r="L22" s="327" t="s">
        <v>78</v>
      </c>
      <c r="M22" s="322" t="s">
        <v>77</v>
      </c>
      <c r="N22" s="322"/>
      <c r="O22" s="322" t="s">
        <v>77</v>
      </c>
      <c r="P22" s="328" t="s">
        <v>77</v>
      </c>
      <c r="Q22" s="327"/>
      <c r="R22" s="322"/>
      <c r="S22" s="322"/>
      <c r="T22" s="322"/>
      <c r="U22" s="329" t="s">
        <v>80</v>
      </c>
      <c r="V22" s="321"/>
      <c r="W22" s="372"/>
      <c r="X22" s="372"/>
      <c r="Y22" s="372"/>
      <c r="Z22" s="373"/>
      <c r="AA22" s="374"/>
      <c r="AB22" s="372"/>
      <c r="AC22" s="372"/>
      <c r="AD22" s="372"/>
      <c r="AE22" s="371"/>
      <c r="AF22" s="375"/>
      <c r="AG22" s="372"/>
      <c r="AH22" s="372"/>
      <c r="AI22" s="372"/>
      <c r="AJ22" s="373"/>
      <c r="AK22" s="374"/>
      <c r="AL22" s="372"/>
      <c r="AM22" s="372"/>
      <c r="AN22" s="372"/>
      <c r="AO22" s="371"/>
      <c r="AP22" s="375"/>
      <c r="AQ22" s="372"/>
      <c r="AR22" s="372"/>
      <c r="AS22" s="372"/>
      <c r="AT22" s="373"/>
      <c r="AU22" s="374"/>
      <c r="AV22" s="372"/>
      <c r="AW22" s="372"/>
      <c r="AX22" s="372"/>
      <c r="AY22" s="371"/>
      <c r="AZ22" s="375"/>
      <c r="BA22" s="372"/>
      <c r="BB22" s="372"/>
      <c r="BC22" s="372"/>
      <c r="BD22" s="373"/>
      <c r="BE22" s="374"/>
      <c r="BF22" s="372"/>
      <c r="BG22" s="372"/>
      <c r="BH22" s="372"/>
      <c r="BI22" s="371"/>
      <c r="BJ22" s="375"/>
      <c r="BK22" s="372"/>
      <c r="BL22" s="372"/>
      <c r="BM22" s="372"/>
      <c r="BN22" s="373"/>
      <c r="BO22" s="374"/>
      <c r="BP22" s="372"/>
      <c r="BQ22" s="372"/>
      <c r="BR22" s="372"/>
      <c r="BS22" s="371"/>
      <c r="BT22" s="375"/>
      <c r="BU22" s="372"/>
      <c r="BV22" s="372"/>
      <c r="BW22" s="372"/>
      <c r="BX22" s="373"/>
      <c r="BY22" s="374"/>
      <c r="BZ22" s="372"/>
      <c r="CA22" s="372"/>
      <c r="CB22" s="372"/>
      <c r="CC22" s="371"/>
      <c r="CD22" s="375"/>
      <c r="CE22" s="372"/>
      <c r="CF22" s="372"/>
      <c r="CG22" s="372"/>
      <c r="CH22" s="371"/>
      <c r="CI22" s="375"/>
      <c r="CJ22" s="372"/>
      <c r="CK22" s="372"/>
      <c r="CL22" s="372"/>
      <c r="CM22" s="373"/>
    </row>
    <row r="23" spans="1:118" ht="25.5" customHeight="1">
      <c r="A23" s="321">
        <v>3916</v>
      </c>
      <c r="B23" s="322" t="s">
        <v>11</v>
      </c>
      <c r="C23" s="322" t="s">
        <v>44</v>
      </c>
      <c r="D23" s="322" t="s">
        <v>76</v>
      </c>
      <c r="E23" s="323" t="s">
        <v>53</v>
      </c>
      <c r="F23" s="322"/>
      <c r="G23" s="323" t="s">
        <v>400</v>
      </c>
      <c r="H23" s="371" t="s">
        <v>54</v>
      </c>
      <c r="I23" s="325"/>
      <c r="J23" s="323"/>
      <c r="K23" s="326"/>
      <c r="L23" s="327" t="s">
        <v>78</v>
      </c>
      <c r="M23" s="322" t="s">
        <v>77</v>
      </c>
      <c r="N23" s="322"/>
      <c r="O23" s="322" t="s">
        <v>77</v>
      </c>
      <c r="P23" s="328" t="s">
        <v>77</v>
      </c>
      <c r="Q23" s="327"/>
      <c r="R23" s="322"/>
      <c r="S23" s="322"/>
      <c r="T23" s="322"/>
      <c r="U23" s="329" t="s">
        <v>80</v>
      </c>
      <c r="V23" s="321"/>
      <c r="W23" s="372"/>
      <c r="X23" s="372"/>
      <c r="Y23" s="372"/>
      <c r="Z23" s="373"/>
      <c r="AA23" s="374"/>
      <c r="AB23" s="372"/>
      <c r="AC23" s="372"/>
      <c r="AD23" s="372"/>
      <c r="AE23" s="371"/>
      <c r="AF23" s="375"/>
      <c r="AG23" s="372"/>
      <c r="AH23" s="372"/>
      <c r="AI23" s="372"/>
      <c r="AJ23" s="373"/>
      <c r="AK23" s="374"/>
      <c r="AL23" s="372"/>
      <c r="AM23" s="372"/>
      <c r="AN23" s="372"/>
      <c r="AO23" s="371"/>
      <c r="AP23" s="375"/>
      <c r="AQ23" s="372"/>
      <c r="AR23" s="372"/>
      <c r="AS23" s="372"/>
      <c r="AT23" s="373"/>
      <c r="AU23" s="374"/>
      <c r="AV23" s="372"/>
      <c r="AW23" s="372"/>
      <c r="AX23" s="372"/>
      <c r="AY23" s="371"/>
      <c r="AZ23" s="375"/>
      <c r="BA23" s="372"/>
      <c r="BB23" s="372"/>
      <c r="BC23" s="372"/>
      <c r="BD23" s="373"/>
      <c r="BE23" s="374"/>
      <c r="BF23" s="372"/>
      <c r="BG23" s="372"/>
      <c r="BH23" s="372"/>
      <c r="BI23" s="371"/>
      <c r="BJ23" s="375"/>
      <c r="BK23" s="372"/>
      <c r="BL23" s="372"/>
      <c r="BM23" s="372"/>
      <c r="BN23" s="373"/>
      <c r="BO23" s="374"/>
      <c r="BP23" s="372"/>
      <c r="BQ23" s="372"/>
      <c r="BR23" s="372"/>
      <c r="BS23" s="371"/>
      <c r="BT23" s="375"/>
      <c r="BU23" s="372"/>
      <c r="BV23" s="372"/>
      <c r="BW23" s="372"/>
      <c r="BX23" s="373"/>
      <c r="BY23" s="374"/>
      <c r="BZ23" s="372"/>
      <c r="CA23" s="372"/>
      <c r="CB23" s="372"/>
      <c r="CC23" s="371"/>
      <c r="CD23" s="375"/>
      <c r="CE23" s="372"/>
      <c r="CF23" s="372"/>
      <c r="CG23" s="372"/>
      <c r="CH23" s="371"/>
      <c r="CI23" s="375"/>
      <c r="CJ23" s="372"/>
      <c r="CK23" s="372"/>
      <c r="CL23" s="372"/>
      <c r="CM23" s="373"/>
    </row>
    <row r="24" spans="1:118" ht="25.5" customHeight="1" thickBot="1">
      <c r="A24" s="331">
        <v>3917</v>
      </c>
      <c r="B24" s="332" t="s">
        <v>11</v>
      </c>
      <c r="C24" s="332" t="s">
        <v>44</v>
      </c>
      <c r="D24" s="332" t="s">
        <v>76</v>
      </c>
      <c r="E24" s="333" t="s">
        <v>53</v>
      </c>
      <c r="F24" s="332"/>
      <c r="G24" s="333" t="s">
        <v>402</v>
      </c>
      <c r="H24" s="376" t="s">
        <v>54</v>
      </c>
      <c r="I24" s="335"/>
      <c r="J24" s="333"/>
      <c r="K24" s="336"/>
      <c r="L24" s="337" t="s">
        <v>78</v>
      </c>
      <c r="M24" s="332" t="s">
        <v>77</v>
      </c>
      <c r="N24" s="332"/>
      <c r="O24" s="332" t="s">
        <v>77</v>
      </c>
      <c r="P24" s="338" t="s">
        <v>77</v>
      </c>
      <c r="Q24" s="337"/>
      <c r="R24" s="332"/>
      <c r="S24" s="332"/>
      <c r="T24" s="332"/>
      <c r="U24" s="339" t="s">
        <v>80</v>
      </c>
      <c r="V24" s="331"/>
      <c r="W24" s="377"/>
      <c r="X24" s="377"/>
      <c r="Y24" s="377"/>
      <c r="Z24" s="378"/>
      <c r="AA24" s="379"/>
      <c r="AB24" s="377"/>
      <c r="AC24" s="377"/>
      <c r="AD24" s="377"/>
      <c r="AE24" s="376"/>
      <c r="AF24" s="380"/>
      <c r="AG24" s="377"/>
      <c r="AH24" s="377"/>
      <c r="AI24" s="377"/>
      <c r="AJ24" s="378"/>
      <c r="AK24" s="379"/>
      <c r="AL24" s="377"/>
      <c r="AM24" s="377"/>
      <c r="AN24" s="377"/>
      <c r="AO24" s="376"/>
      <c r="AP24" s="380"/>
      <c r="AQ24" s="377"/>
      <c r="AR24" s="377"/>
      <c r="AS24" s="377"/>
      <c r="AT24" s="378"/>
      <c r="AU24" s="379"/>
      <c r="AV24" s="377"/>
      <c r="AW24" s="377"/>
      <c r="AX24" s="377"/>
      <c r="AY24" s="376"/>
      <c r="AZ24" s="380"/>
      <c r="BA24" s="377"/>
      <c r="BB24" s="377"/>
      <c r="BC24" s="377"/>
      <c r="BD24" s="378"/>
      <c r="BE24" s="379"/>
      <c r="BF24" s="377"/>
      <c r="BG24" s="377"/>
      <c r="BH24" s="377"/>
      <c r="BI24" s="376"/>
      <c r="BJ24" s="380"/>
      <c r="BK24" s="377"/>
      <c r="BL24" s="377"/>
      <c r="BM24" s="377"/>
      <c r="BN24" s="378"/>
      <c r="BO24" s="379"/>
      <c r="BP24" s="377"/>
      <c r="BQ24" s="377"/>
      <c r="BR24" s="377"/>
      <c r="BS24" s="376"/>
      <c r="BT24" s="380"/>
      <c r="BU24" s="377"/>
      <c r="BV24" s="377"/>
      <c r="BW24" s="377"/>
      <c r="BX24" s="378"/>
      <c r="BY24" s="379"/>
      <c r="BZ24" s="377"/>
      <c r="CA24" s="377"/>
      <c r="CB24" s="377"/>
      <c r="CC24" s="376"/>
      <c r="CD24" s="380"/>
      <c r="CE24" s="377"/>
      <c r="CF24" s="377"/>
      <c r="CG24" s="377"/>
      <c r="CH24" s="376"/>
      <c r="CI24" s="380"/>
      <c r="CJ24" s="377"/>
      <c r="CK24" s="377"/>
      <c r="CL24" s="377"/>
      <c r="CM24" s="378"/>
    </row>
    <row r="25" spans="1:118" ht="25.5" customHeight="1">
      <c r="A25" s="341">
        <v>3918</v>
      </c>
      <c r="B25" s="342" t="s">
        <v>11</v>
      </c>
      <c r="C25" s="342" t="s">
        <v>44</v>
      </c>
      <c r="D25" s="342" t="s">
        <v>76</v>
      </c>
      <c r="E25" s="343" t="s">
        <v>53</v>
      </c>
      <c r="F25" s="342"/>
      <c r="G25" s="343" t="s">
        <v>404</v>
      </c>
      <c r="H25" s="344" t="s">
        <v>54</v>
      </c>
      <c r="I25" s="345"/>
      <c r="J25" s="343"/>
      <c r="K25" s="346"/>
      <c r="L25" s="347" t="s">
        <v>78</v>
      </c>
      <c r="M25" s="342" t="s">
        <v>77</v>
      </c>
      <c r="N25" s="342"/>
      <c r="O25" s="342" t="s">
        <v>77</v>
      </c>
      <c r="P25" s="348" t="s">
        <v>77</v>
      </c>
      <c r="Q25" s="347"/>
      <c r="R25" s="342"/>
      <c r="S25" s="342"/>
      <c r="T25" s="342"/>
      <c r="U25" s="349" t="s">
        <v>80</v>
      </c>
      <c r="V25" s="341"/>
      <c r="W25" s="381"/>
      <c r="X25" s="381"/>
      <c r="Y25" s="381"/>
      <c r="Z25" s="382"/>
      <c r="AA25" s="383"/>
      <c r="AB25" s="381"/>
      <c r="AC25" s="381"/>
      <c r="AD25" s="381"/>
      <c r="AE25" s="384"/>
      <c r="AF25" s="385"/>
      <c r="AG25" s="381"/>
      <c r="AH25" s="381"/>
      <c r="AI25" s="381"/>
      <c r="AJ25" s="382"/>
      <c r="AK25" s="383"/>
      <c r="AL25" s="381"/>
      <c r="AM25" s="381"/>
      <c r="AN25" s="381"/>
      <c r="AO25" s="384"/>
      <c r="AP25" s="385"/>
      <c r="AQ25" s="381"/>
      <c r="AR25" s="381"/>
      <c r="AS25" s="381"/>
      <c r="AT25" s="382"/>
      <c r="AU25" s="383"/>
      <c r="AV25" s="381"/>
      <c r="AW25" s="381"/>
      <c r="AX25" s="381"/>
      <c r="AY25" s="384"/>
      <c r="AZ25" s="385"/>
      <c r="BA25" s="381"/>
      <c r="BB25" s="381"/>
      <c r="BC25" s="381"/>
      <c r="BD25" s="382"/>
      <c r="BE25" s="383"/>
      <c r="BF25" s="381"/>
      <c r="BG25" s="381"/>
      <c r="BH25" s="381"/>
      <c r="BI25" s="384"/>
      <c r="BJ25" s="385"/>
      <c r="BK25" s="381"/>
      <c r="BL25" s="381"/>
      <c r="BM25" s="381"/>
      <c r="BN25" s="382"/>
      <c r="BO25" s="383"/>
      <c r="BP25" s="381"/>
      <c r="BQ25" s="381"/>
      <c r="BR25" s="381"/>
      <c r="BS25" s="384"/>
      <c r="BT25" s="385"/>
      <c r="BU25" s="381"/>
      <c r="BV25" s="381"/>
      <c r="BW25" s="381"/>
      <c r="BX25" s="382"/>
      <c r="BY25" s="383"/>
      <c r="BZ25" s="381"/>
      <c r="CA25" s="381"/>
      <c r="CB25" s="381"/>
      <c r="CC25" s="384"/>
      <c r="CD25" s="385"/>
      <c r="CE25" s="381"/>
      <c r="CF25" s="381"/>
      <c r="CG25" s="381"/>
      <c r="CH25" s="384"/>
      <c r="CI25" s="385"/>
      <c r="CJ25" s="381"/>
      <c r="CK25" s="381"/>
      <c r="CL25" s="381"/>
      <c r="CM25" s="382"/>
    </row>
    <row r="26" spans="1:118" ht="25.5" customHeight="1">
      <c r="A26" s="386">
        <v>3919</v>
      </c>
      <c r="B26" s="387" t="s">
        <v>11</v>
      </c>
      <c r="C26" s="387" t="s">
        <v>44</v>
      </c>
      <c r="D26" s="387" t="s">
        <v>76</v>
      </c>
      <c r="E26" s="372" t="s">
        <v>53</v>
      </c>
      <c r="F26" s="387"/>
      <c r="G26" s="372" t="s">
        <v>406</v>
      </c>
      <c r="H26" s="371" t="s">
        <v>54</v>
      </c>
      <c r="I26" s="375"/>
      <c r="J26" s="372"/>
      <c r="K26" s="373"/>
      <c r="L26" s="388" t="s">
        <v>78</v>
      </c>
      <c r="M26" s="387" t="s">
        <v>77</v>
      </c>
      <c r="N26" s="387"/>
      <c r="O26" s="387" t="s">
        <v>77</v>
      </c>
      <c r="P26" s="389" t="s">
        <v>77</v>
      </c>
      <c r="Q26" s="388"/>
      <c r="R26" s="387"/>
      <c r="S26" s="387"/>
      <c r="T26" s="387"/>
      <c r="U26" s="390" t="s">
        <v>80</v>
      </c>
      <c r="V26" s="386"/>
      <c r="W26" s="372"/>
      <c r="X26" s="372"/>
      <c r="Y26" s="372"/>
      <c r="Z26" s="373"/>
      <c r="AA26" s="374"/>
      <c r="AB26" s="372"/>
      <c r="AC26" s="372"/>
      <c r="AD26" s="372"/>
      <c r="AE26" s="371"/>
      <c r="AF26" s="375"/>
      <c r="AG26" s="372"/>
      <c r="AH26" s="372"/>
      <c r="AI26" s="372"/>
      <c r="AJ26" s="373"/>
      <c r="AK26" s="374"/>
      <c r="AL26" s="372"/>
      <c r="AM26" s="372"/>
      <c r="AN26" s="372"/>
      <c r="AO26" s="371"/>
      <c r="AP26" s="375"/>
      <c r="AQ26" s="372"/>
      <c r="AR26" s="372"/>
      <c r="AS26" s="372"/>
      <c r="AT26" s="373"/>
      <c r="AU26" s="374"/>
      <c r="AV26" s="372"/>
      <c r="AW26" s="372"/>
      <c r="AX26" s="372"/>
      <c r="AY26" s="371"/>
      <c r="AZ26" s="375"/>
      <c r="BA26" s="372"/>
      <c r="BB26" s="372"/>
      <c r="BC26" s="372"/>
      <c r="BD26" s="373"/>
      <c r="BE26" s="374"/>
      <c r="BF26" s="372"/>
      <c r="BG26" s="372"/>
      <c r="BH26" s="372"/>
      <c r="BI26" s="371"/>
      <c r="BJ26" s="375"/>
      <c r="BK26" s="372"/>
      <c r="BL26" s="372"/>
      <c r="BM26" s="372"/>
      <c r="BN26" s="373"/>
      <c r="BO26" s="374"/>
      <c r="BP26" s="372"/>
      <c r="BQ26" s="372"/>
      <c r="BR26" s="372"/>
      <c r="BS26" s="371"/>
      <c r="BT26" s="375"/>
      <c r="BU26" s="372"/>
      <c r="BV26" s="372"/>
      <c r="BW26" s="372"/>
      <c r="BX26" s="373"/>
      <c r="BY26" s="374"/>
      <c r="BZ26" s="372"/>
      <c r="CA26" s="372"/>
      <c r="CB26" s="372"/>
      <c r="CC26" s="371"/>
      <c r="CD26" s="375"/>
      <c r="CE26" s="372"/>
      <c r="CF26" s="372"/>
      <c r="CG26" s="372"/>
      <c r="CH26" s="371"/>
      <c r="CI26" s="375"/>
      <c r="CJ26" s="372"/>
      <c r="CK26" s="372"/>
      <c r="CL26" s="372"/>
      <c r="CM26" s="373"/>
    </row>
    <row r="27" spans="1:118" ht="25.5" customHeight="1">
      <c r="A27" s="386">
        <v>3920</v>
      </c>
      <c r="B27" s="387" t="s">
        <v>11</v>
      </c>
      <c r="C27" s="387" t="s">
        <v>44</v>
      </c>
      <c r="D27" s="387" t="s">
        <v>76</v>
      </c>
      <c r="E27" s="372" t="s">
        <v>53</v>
      </c>
      <c r="F27" s="387"/>
      <c r="G27" s="372" t="s">
        <v>408</v>
      </c>
      <c r="H27" s="371" t="s">
        <v>54</v>
      </c>
      <c r="I27" s="375"/>
      <c r="J27" s="372"/>
      <c r="K27" s="373"/>
      <c r="L27" s="388" t="s">
        <v>78</v>
      </c>
      <c r="M27" s="387" t="s">
        <v>77</v>
      </c>
      <c r="N27" s="387"/>
      <c r="O27" s="387" t="s">
        <v>77</v>
      </c>
      <c r="P27" s="389" t="s">
        <v>77</v>
      </c>
      <c r="Q27" s="388"/>
      <c r="R27" s="387"/>
      <c r="S27" s="387"/>
      <c r="T27" s="387"/>
      <c r="U27" s="390" t="s">
        <v>80</v>
      </c>
      <c r="V27" s="386"/>
      <c r="W27" s="372"/>
      <c r="X27" s="372"/>
      <c r="Y27" s="372"/>
      <c r="Z27" s="373"/>
      <c r="AA27" s="374"/>
      <c r="AB27" s="372"/>
      <c r="AC27" s="372"/>
      <c r="AD27" s="372"/>
      <c r="AE27" s="371"/>
      <c r="AF27" s="375"/>
      <c r="AG27" s="372"/>
      <c r="AH27" s="372"/>
      <c r="AI27" s="372"/>
      <c r="AJ27" s="373"/>
      <c r="AK27" s="374"/>
      <c r="AL27" s="372"/>
      <c r="AM27" s="372"/>
      <c r="AN27" s="372"/>
      <c r="AO27" s="371"/>
      <c r="AP27" s="375"/>
      <c r="AQ27" s="372"/>
      <c r="AR27" s="372"/>
      <c r="AS27" s="372"/>
      <c r="AT27" s="373"/>
      <c r="AU27" s="374"/>
      <c r="AV27" s="372"/>
      <c r="AW27" s="372"/>
      <c r="AX27" s="372"/>
      <c r="AY27" s="371"/>
      <c r="AZ27" s="375"/>
      <c r="BA27" s="372"/>
      <c r="BB27" s="372"/>
      <c r="BC27" s="372"/>
      <c r="BD27" s="373"/>
      <c r="BE27" s="374"/>
      <c r="BF27" s="372"/>
      <c r="BG27" s="372"/>
      <c r="BH27" s="372"/>
      <c r="BI27" s="371"/>
      <c r="BJ27" s="375"/>
      <c r="BK27" s="372"/>
      <c r="BL27" s="372"/>
      <c r="BM27" s="372"/>
      <c r="BN27" s="373"/>
      <c r="BO27" s="374"/>
      <c r="BP27" s="372"/>
      <c r="BQ27" s="372"/>
      <c r="BR27" s="372"/>
      <c r="BS27" s="371"/>
      <c r="BT27" s="375"/>
      <c r="BU27" s="372"/>
      <c r="BV27" s="372"/>
      <c r="BW27" s="372"/>
      <c r="BX27" s="373"/>
      <c r="BY27" s="374"/>
      <c r="BZ27" s="372"/>
      <c r="CA27" s="372"/>
      <c r="CB27" s="372"/>
      <c r="CC27" s="371"/>
      <c r="CD27" s="375"/>
      <c r="CE27" s="372"/>
      <c r="CF27" s="372"/>
      <c r="CG27" s="372"/>
      <c r="CH27" s="371"/>
      <c r="CI27" s="375"/>
      <c r="CJ27" s="372"/>
      <c r="CK27" s="372"/>
      <c r="CL27" s="372"/>
      <c r="CM27" s="373"/>
    </row>
    <row r="28" spans="1:118" ht="25.5" customHeight="1">
      <c r="A28" s="386">
        <v>3921</v>
      </c>
      <c r="B28" s="387" t="s">
        <v>11</v>
      </c>
      <c r="C28" s="387" t="s">
        <v>44</v>
      </c>
      <c r="D28" s="387" t="s">
        <v>76</v>
      </c>
      <c r="E28" s="372" t="s">
        <v>53</v>
      </c>
      <c r="F28" s="387"/>
      <c r="G28" s="372" t="s">
        <v>410</v>
      </c>
      <c r="H28" s="371" t="s">
        <v>54</v>
      </c>
      <c r="I28" s="375"/>
      <c r="J28" s="372"/>
      <c r="K28" s="373"/>
      <c r="L28" s="388" t="s">
        <v>78</v>
      </c>
      <c r="M28" s="387" t="s">
        <v>77</v>
      </c>
      <c r="N28" s="387"/>
      <c r="O28" s="387" t="s">
        <v>77</v>
      </c>
      <c r="P28" s="389" t="s">
        <v>77</v>
      </c>
      <c r="Q28" s="388"/>
      <c r="R28" s="387"/>
      <c r="S28" s="387"/>
      <c r="T28" s="387"/>
      <c r="U28" s="390" t="s">
        <v>80</v>
      </c>
      <c r="V28" s="386"/>
      <c r="W28" s="372"/>
      <c r="X28" s="372"/>
      <c r="Y28" s="372"/>
      <c r="Z28" s="373"/>
      <c r="AA28" s="374"/>
      <c r="AB28" s="372"/>
      <c r="AC28" s="372"/>
      <c r="AD28" s="372"/>
      <c r="AE28" s="371"/>
      <c r="AF28" s="375"/>
      <c r="AG28" s="372"/>
      <c r="AH28" s="372"/>
      <c r="AI28" s="372"/>
      <c r="AJ28" s="373"/>
      <c r="AK28" s="374"/>
      <c r="AL28" s="372"/>
      <c r="AM28" s="372"/>
      <c r="AN28" s="372"/>
      <c r="AO28" s="371"/>
      <c r="AP28" s="375"/>
      <c r="AQ28" s="372"/>
      <c r="AR28" s="372"/>
      <c r="AS28" s="372"/>
      <c r="AT28" s="373"/>
      <c r="AU28" s="374"/>
      <c r="AV28" s="372"/>
      <c r="AW28" s="372"/>
      <c r="AX28" s="372"/>
      <c r="AY28" s="371"/>
      <c r="AZ28" s="375"/>
      <c r="BA28" s="372"/>
      <c r="BB28" s="372"/>
      <c r="BC28" s="372"/>
      <c r="BD28" s="373"/>
      <c r="BE28" s="374"/>
      <c r="BF28" s="372"/>
      <c r="BG28" s="372"/>
      <c r="BH28" s="372"/>
      <c r="BI28" s="371"/>
      <c r="BJ28" s="375"/>
      <c r="BK28" s="372"/>
      <c r="BL28" s="372"/>
      <c r="BM28" s="372"/>
      <c r="BN28" s="373"/>
      <c r="BO28" s="374"/>
      <c r="BP28" s="372"/>
      <c r="BQ28" s="372"/>
      <c r="BR28" s="372"/>
      <c r="BS28" s="371"/>
      <c r="BT28" s="375"/>
      <c r="BU28" s="372"/>
      <c r="BV28" s="372"/>
      <c r="BW28" s="372"/>
      <c r="BX28" s="373"/>
      <c r="BY28" s="374"/>
      <c r="BZ28" s="372"/>
      <c r="CA28" s="372"/>
      <c r="CB28" s="372"/>
      <c r="CC28" s="371"/>
      <c r="CD28" s="375"/>
      <c r="CE28" s="372"/>
      <c r="CF28" s="372"/>
      <c r="CG28" s="372"/>
      <c r="CH28" s="371"/>
      <c r="CI28" s="375"/>
      <c r="CJ28" s="372"/>
      <c r="CK28" s="372"/>
      <c r="CL28" s="372"/>
      <c r="CM28" s="373"/>
    </row>
    <row r="29" spans="1:118" ht="25.5" customHeight="1" thickBot="1">
      <c r="A29" s="391">
        <v>3922</v>
      </c>
      <c r="B29" s="392" t="s">
        <v>11</v>
      </c>
      <c r="C29" s="392" t="s">
        <v>44</v>
      </c>
      <c r="D29" s="392" t="s">
        <v>76</v>
      </c>
      <c r="E29" s="393" t="s">
        <v>53</v>
      </c>
      <c r="F29" s="392"/>
      <c r="G29" s="393" t="s">
        <v>412</v>
      </c>
      <c r="H29" s="394" t="s">
        <v>54</v>
      </c>
      <c r="I29" s="395"/>
      <c r="J29" s="393"/>
      <c r="K29" s="396"/>
      <c r="L29" s="397" t="s">
        <v>78</v>
      </c>
      <c r="M29" s="392" t="s">
        <v>77</v>
      </c>
      <c r="N29" s="392"/>
      <c r="O29" s="392" t="s">
        <v>77</v>
      </c>
      <c r="P29" s="398" t="s">
        <v>77</v>
      </c>
      <c r="Q29" s="397"/>
      <c r="R29" s="392"/>
      <c r="S29" s="392"/>
      <c r="T29" s="392"/>
      <c r="U29" s="399" t="s">
        <v>80</v>
      </c>
      <c r="V29" s="391"/>
      <c r="W29" s="393"/>
      <c r="X29" s="393"/>
      <c r="Y29" s="393"/>
      <c r="Z29" s="396"/>
      <c r="AA29" s="400"/>
      <c r="AB29" s="393"/>
      <c r="AC29" s="393"/>
      <c r="AD29" s="393"/>
      <c r="AE29" s="394"/>
      <c r="AF29" s="395"/>
      <c r="AG29" s="393"/>
      <c r="AH29" s="393"/>
      <c r="AI29" s="393"/>
      <c r="AJ29" s="396"/>
      <c r="AK29" s="400"/>
      <c r="AL29" s="393"/>
      <c r="AM29" s="393"/>
      <c r="AN29" s="393"/>
      <c r="AO29" s="394"/>
      <c r="AP29" s="395"/>
      <c r="AQ29" s="393"/>
      <c r="AR29" s="393"/>
      <c r="AS29" s="393"/>
      <c r="AT29" s="396"/>
      <c r="AU29" s="400"/>
      <c r="AV29" s="393"/>
      <c r="AW29" s="393"/>
      <c r="AX29" s="393"/>
      <c r="AY29" s="394"/>
      <c r="AZ29" s="395"/>
      <c r="BA29" s="393"/>
      <c r="BB29" s="393"/>
      <c r="BC29" s="393"/>
      <c r="BD29" s="396"/>
      <c r="BE29" s="400"/>
      <c r="BF29" s="393"/>
      <c r="BG29" s="393"/>
      <c r="BH29" s="393"/>
      <c r="BI29" s="394"/>
      <c r="BJ29" s="395"/>
      <c r="BK29" s="393"/>
      <c r="BL29" s="393"/>
      <c r="BM29" s="393"/>
      <c r="BN29" s="396"/>
      <c r="BO29" s="400"/>
      <c r="BP29" s="393"/>
      <c r="BQ29" s="393"/>
      <c r="BR29" s="393"/>
      <c r="BS29" s="394"/>
      <c r="BT29" s="395"/>
      <c r="BU29" s="393"/>
      <c r="BV29" s="393"/>
      <c r="BW29" s="393"/>
      <c r="BX29" s="396"/>
      <c r="BY29" s="400"/>
      <c r="BZ29" s="393"/>
      <c r="CA29" s="393"/>
      <c r="CB29" s="393"/>
      <c r="CC29" s="394"/>
      <c r="CD29" s="395"/>
      <c r="CE29" s="393"/>
      <c r="CF29" s="393"/>
      <c r="CG29" s="393"/>
      <c r="CH29" s="394"/>
      <c r="CI29" s="395"/>
      <c r="CJ29" s="393"/>
      <c r="CK29" s="393"/>
      <c r="CL29" s="393"/>
      <c r="CM29" s="396"/>
    </row>
    <row r="30" spans="1:118" ht="25.5" customHeight="1">
      <c r="A30" s="401">
        <v>3923</v>
      </c>
      <c r="B30" s="402" t="s">
        <v>11</v>
      </c>
      <c r="C30" s="402" t="s">
        <v>44</v>
      </c>
      <c r="D30" s="402" t="s">
        <v>76</v>
      </c>
      <c r="E30" s="403" t="s">
        <v>53</v>
      </c>
      <c r="F30" s="402"/>
      <c r="G30" s="403" t="s">
        <v>414</v>
      </c>
      <c r="H30" s="404" t="s">
        <v>54</v>
      </c>
      <c r="I30" s="405"/>
      <c r="J30" s="403"/>
      <c r="K30" s="406"/>
      <c r="L30" s="407" t="s">
        <v>78</v>
      </c>
      <c r="M30" s="402" t="s">
        <v>77</v>
      </c>
      <c r="N30" s="402"/>
      <c r="O30" s="402" t="s">
        <v>77</v>
      </c>
      <c r="P30" s="408" t="s">
        <v>77</v>
      </c>
      <c r="Q30" s="407"/>
      <c r="R30" s="402"/>
      <c r="S30" s="402"/>
      <c r="T30" s="402"/>
      <c r="U30" s="409" t="s">
        <v>80</v>
      </c>
      <c r="V30" s="401"/>
      <c r="W30" s="403"/>
      <c r="X30" s="403"/>
      <c r="Y30" s="403"/>
      <c r="Z30" s="406"/>
      <c r="AA30" s="410"/>
      <c r="AB30" s="403"/>
      <c r="AC30" s="403"/>
      <c r="AD30" s="403"/>
      <c r="AE30" s="404"/>
      <c r="AF30" s="405"/>
      <c r="AG30" s="403"/>
      <c r="AH30" s="403"/>
      <c r="AI30" s="403"/>
      <c r="AJ30" s="406"/>
      <c r="AK30" s="410"/>
      <c r="AL30" s="403"/>
      <c r="AM30" s="403"/>
      <c r="AN30" s="403"/>
      <c r="AO30" s="404"/>
      <c r="AP30" s="405"/>
      <c r="AQ30" s="403"/>
      <c r="AR30" s="403"/>
      <c r="AS30" s="403"/>
      <c r="AT30" s="406"/>
      <c r="AU30" s="410"/>
      <c r="AV30" s="403"/>
      <c r="AW30" s="403"/>
      <c r="AX30" s="403"/>
      <c r="AY30" s="404"/>
      <c r="AZ30" s="405"/>
      <c r="BA30" s="403"/>
      <c r="BB30" s="403"/>
      <c r="BC30" s="403"/>
      <c r="BD30" s="406"/>
      <c r="BE30" s="410"/>
      <c r="BF30" s="403"/>
      <c r="BG30" s="403"/>
      <c r="BH30" s="403"/>
      <c r="BI30" s="404"/>
      <c r="BJ30" s="405"/>
      <c r="BK30" s="403"/>
      <c r="BL30" s="403"/>
      <c r="BM30" s="403"/>
      <c r="BN30" s="406"/>
      <c r="BO30" s="410"/>
      <c r="BP30" s="403"/>
      <c r="BQ30" s="403"/>
      <c r="BR30" s="403"/>
      <c r="BS30" s="404"/>
      <c r="BT30" s="405"/>
      <c r="BU30" s="403"/>
      <c r="BV30" s="403"/>
      <c r="BW30" s="403"/>
      <c r="BX30" s="406"/>
      <c r="BY30" s="410"/>
      <c r="BZ30" s="403"/>
      <c r="CA30" s="403"/>
      <c r="CB30" s="403"/>
      <c r="CC30" s="404"/>
      <c r="CD30" s="405"/>
      <c r="CE30" s="403"/>
      <c r="CF30" s="403"/>
      <c r="CG30" s="403"/>
      <c r="CH30" s="404"/>
      <c r="CI30" s="405"/>
      <c r="CJ30" s="403"/>
      <c r="CK30" s="403"/>
      <c r="CL30" s="403"/>
      <c r="CM30" s="406"/>
    </row>
    <row r="31" spans="1:118" ht="25.5" customHeight="1">
      <c r="A31" s="386">
        <v>3924</v>
      </c>
      <c r="B31" s="387" t="s">
        <v>11</v>
      </c>
      <c r="C31" s="387" t="s">
        <v>44</v>
      </c>
      <c r="D31" s="387" t="s">
        <v>76</v>
      </c>
      <c r="E31" s="372" t="s">
        <v>53</v>
      </c>
      <c r="F31" s="387"/>
      <c r="G31" s="372" t="s">
        <v>416</v>
      </c>
      <c r="H31" s="371" t="s">
        <v>54</v>
      </c>
      <c r="I31" s="375"/>
      <c r="J31" s="372"/>
      <c r="K31" s="373"/>
      <c r="L31" s="388" t="s">
        <v>78</v>
      </c>
      <c r="M31" s="387" t="s">
        <v>77</v>
      </c>
      <c r="N31" s="387"/>
      <c r="O31" s="387" t="s">
        <v>77</v>
      </c>
      <c r="P31" s="389" t="s">
        <v>77</v>
      </c>
      <c r="Q31" s="388"/>
      <c r="R31" s="387"/>
      <c r="S31" s="387"/>
      <c r="T31" s="387"/>
      <c r="U31" s="390" t="s">
        <v>80</v>
      </c>
      <c r="V31" s="386"/>
      <c r="W31" s="372"/>
      <c r="X31" s="372"/>
      <c r="Y31" s="372"/>
      <c r="Z31" s="373"/>
      <c r="AA31" s="374"/>
      <c r="AB31" s="372"/>
      <c r="AC31" s="372"/>
      <c r="AD31" s="372"/>
      <c r="AE31" s="371"/>
      <c r="AF31" s="375"/>
      <c r="AG31" s="372"/>
      <c r="AH31" s="372"/>
      <c r="AI31" s="372"/>
      <c r="AJ31" s="373"/>
      <c r="AK31" s="374"/>
      <c r="AL31" s="372"/>
      <c r="AM31" s="372"/>
      <c r="AN31" s="372"/>
      <c r="AO31" s="371"/>
      <c r="AP31" s="375"/>
      <c r="AQ31" s="372"/>
      <c r="AR31" s="372"/>
      <c r="AS31" s="372"/>
      <c r="AT31" s="373"/>
      <c r="AU31" s="374"/>
      <c r="AV31" s="372"/>
      <c r="AW31" s="372"/>
      <c r="AX31" s="372"/>
      <c r="AY31" s="371"/>
      <c r="AZ31" s="375"/>
      <c r="BA31" s="372"/>
      <c r="BB31" s="372"/>
      <c r="BC31" s="372"/>
      <c r="BD31" s="373"/>
      <c r="BE31" s="374"/>
      <c r="BF31" s="372"/>
      <c r="BG31" s="372"/>
      <c r="BH31" s="372"/>
      <c r="BI31" s="371"/>
      <c r="BJ31" s="375"/>
      <c r="BK31" s="372"/>
      <c r="BL31" s="372"/>
      <c r="BM31" s="372"/>
      <c r="BN31" s="373"/>
      <c r="BO31" s="374"/>
      <c r="BP31" s="372"/>
      <c r="BQ31" s="372"/>
      <c r="BR31" s="372"/>
      <c r="BS31" s="371"/>
      <c r="BT31" s="375"/>
      <c r="BU31" s="372"/>
      <c r="BV31" s="372"/>
      <c r="BW31" s="372"/>
      <c r="BX31" s="373"/>
      <c r="BY31" s="374"/>
      <c r="BZ31" s="372"/>
      <c r="CA31" s="372"/>
      <c r="CB31" s="372"/>
      <c r="CC31" s="371"/>
      <c r="CD31" s="375"/>
      <c r="CE31" s="372"/>
      <c r="CF31" s="372"/>
      <c r="CG31" s="372"/>
      <c r="CH31" s="371"/>
      <c r="CI31" s="375"/>
      <c r="CJ31" s="372"/>
      <c r="CK31" s="372"/>
      <c r="CL31" s="372"/>
      <c r="CM31" s="373"/>
    </row>
    <row r="32" spans="1:118" ht="25.5" customHeight="1">
      <c r="A32" s="386">
        <v>3925</v>
      </c>
      <c r="B32" s="387" t="s">
        <v>11</v>
      </c>
      <c r="C32" s="387" t="s">
        <v>44</v>
      </c>
      <c r="D32" s="387" t="s">
        <v>76</v>
      </c>
      <c r="E32" s="372" t="s">
        <v>53</v>
      </c>
      <c r="F32" s="387"/>
      <c r="G32" s="372" t="s">
        <v>418</v>
      </c>
      <c r="H32" s="371" t="s">
        <v>54</v>
      </c>
      <c r="I32" s="375"/>
      <c r="J32" s="372"/>
      <c r="K32" s="373"/>
      <c r="L32" s="388" t="s">
        <v>78</v>
      </c>
      <c r="M32" s="387" t="s">
        <v>77</v>
      </c>
      <c r="N32" s="387"/>
      <c r="O32" s="387" t="s">
        <v>77</v>
      </c>
      <c r="P32" s="389" t="s">
        <v>77</v>
      </c>
      <c r="Q32" s="388"/>
      <c r="R32" s="387"/>
      <c r="S32" s="387"/>
      <c r="T32" s="387"/>
      <c r="U32" s="390" t="s">
        <v>80</v>
      </c>
      <c r="V32" s="386"/>
      <c r="W32" s="372"/>
      <c r="X32" s="372"/>
      <c r="Y32" s="372"/>
      <c r="Z32" s="373"/>
      <c r="AA32" s="374"/>
      <c r="AB32" s="372"/>
      <c r="AC32" s="372"/>
      <c r="AD32" s="372"/>
      <c r="AE32" s="371"/>
      <c r="AF32" s="375"/>
      <c r="AG32" s="372"/>
      <c r="AH32" s="372"/>
      <c r="AI32" s="372"/>
      <c r="AJ32" s="373"/>
      <c r="AK32" s="374"/>
      <c r="AL32" s="372"/>
      <c r="AM32" s="372"/>
      <c r="AN32" s="372"/>
      <c r="AO32" s="371"/>
      <c r="AP32" s="375"/>
      <c r="AQ32" s="372"/>
      <c r="AR32" s="372"/>
      <c r="AS32" s="372"/>
      <c r="AT32" s="373"/>
      <c r="AU32" s="374"/>
      <c r="AV32" s="372"/>
      <c r="AW32" s="372"/>
      <c r="AX32" s="372"/>
      <c r="AY32" s="371"/>
      <c r="AZ32" s="375"/>
      <c r="BA32" s="372"/>
      <c r="BB32" s="372"/>
      <c r="BC32" s="372"/>
      <c r="BD32" s="373"/>
      <c r="BE32" s="374"/>
      <c r="BF32" s="372"/>
      <c r="BG32" s="372"/>
      <c r="BH32" s="372"/>
      <c r="BI32" s="371"/>
      <c r="BJ32" s="375"/>
      <c r="BK32" s="372"/>
      <c r="BL32" s="372"/>
      <c r="BM32" s="372"/>
      <c r="BN32" s="373"/>
      <c r="BO32" s="374"/>
      <c r="BP32" s="372"/>
      <c r="BQ32" s="372"/>
      <c r="BR32" s="372"/>
      <c r="BS32" s="371"/>
      <c r="BT32" s="375"/>
      <c r="BU32" s="372"/>
      <c r="BV32" s="372"/>
      <c r="BW32" s="372"/>
      <c r="BX32" s="373"/>
      <c r="BY32" s="374"/>
      <c r="BZ32" s="372"/>
      <c r="CA32" s="372"/>
      <c r="CB32" s="372"/>
      <c r="CC32" s="371"/>
      <c r="CD32" s="375"/>
      <c r="CE32" s="372"/>
      <c r="CF32" s="372"/>
      <c r="CG32" s="372"/>
      <c r="CH32" s="371"/>
      <c r="CI32" s="375"/>
      <c r="CJ32" s="372"/>
      <c r="CK32" s="372"/>
      <c r="CL32" s="372"/>
      <c r="CM32" s="373"/>
    </row>
    <row r="33" spans="1:91" ht="25.5" customHeight="1">
      <c r="A33" s="386">
        <v>3926</v>
      </c>
      <c r="B33" s="387" t="s">
        <v>11</v>
      </c>
      <c r="C33" s="387" t="s">
        <v>44</v>
      </c>
      <c r="D33" s="387" t="s">
        <v>76</v>
      </c>
      <c r="E33" s="372" t="s">
        <v>53</v>
      </c>
      <c r="F33" s="387"/>
      <c r="G33" s="372" t="s">
        <v>420</v>
      </c>
      <c r="H33" s="371" t="s">
        <v>54</v>
      </c>
      <c r="I33" s="375"/>
      <c r="J33" s="372"/>
      <c r="K33" s="373"/>
      <c r="L33" s="388" t="s">
        <v>78</v>
      </c>
      <c r="M33" s="387" t="s">
        <v>77</v>
      </c>
      <c r="N33" s="387"/>
      <c r="O33" s="387" t="s">
        <v>77</v>
      </c>
      <c r="P33" s="389" t="s">
        <v>77</v>
      </c>
      <c r="Q33" s="388"/>
      <c r="R33" s="387"/>
      <c r="S33" s="387"/>
      <c r="T33" s="387"/>
      <c r="U33" s="390" t="s">
        <v>80</v>
      </c>
      <c r="V33" s="386"/>
      <c r="W33" s="372"/>
      <c r="X33" s="372"/>
      <c r="Y33" s="372"/>
      <c r="Z33" s="373"/>
      <c r="AA33" s="374"/>
      <c r="AB33" s="372"/>
      <c r="AC33" s="372"/>
      <c r="AD33" s="372"/>
      <c r="AE33" s="371"/>
      <c r="AF33" s="375"/>
      <c r="AG33" s="372"/>
      <c r="AH33" s="372"/>
      <c r="AI33" s="372"/>
      <c r="AJ33" s="373"/>
      <c r="AK33" s="374"/>
      <c r="AL33" s="372"/>
      <c r="AM33" s="372"/>
      <c r="AN33" s="372"/>
      <c r="AO33" s="371"/>
      <c r="AP33" s="375"/>
      <c r="AQ33" s="372"/>
      <c r="AR33" s="372"/>
      <c r="AS33" s="372"/>
      <c r="AT33" s="373"/>
      <c r="AU33" s="374"/>
      <c r="AV33" s="372"/>
      <c r="AW33" s="372"/>
      <c r="AX33" s="372"/>
      <c r="AY33" s="371"/>
      <c r="AZ33" s="375"/>
      <c r="BA33" s="372"/>
      <c r="BB33" s="372"/>
      <c r="BC33" s="372"/>
      <c r="BD33" s="373"/>
      <c r="BE33" s="374"/>
      <c r="BF33" s="372"/>
      <c r="BG33" s="372"/>
      <c r="BH33" s="372"/>
      <c r="BI33" s="371"/>
      <c r="BJ33" s="375"/>
      <c r="BK33" s="372"/>
      <c r="BL33" s="372"/>
      <c r="BM33" s="372"/>
      <c r="BN33" s="373"/>
      <c r="BO33" s="374"/>
      <c r="BP33" s="372"/>
      <c r="BQ33" s="372"/>
      <c r="BR33" s="372"/>
      <c r="BS33" s="371"/>
      <c r="BT33" s="375"/>
      <c r="BU33" s="372"/>
      <c r="BV33" s="372"/>
      <c r="BW33" s="372"/>
      <c r="BX33" s="373"/>
      <c r="BY33" s="374"/>
      <c r="BZ33" s="372"/>
      <c r="CA33" s="372"/>
      <c r="CB33" s="372"/>
      <c r="CC33" s="371"/>
      <c r="CD33" s="375"/>
      <c r="CE33" s="372"/>
      <c r="CF33" s="372"/>
      <c r="CG33" s="372"/>
      <c r="CH33" s="371"/>
      <c r="CI33" s="375"/>
      <c r="CJ33" s="372"/>
      <c r="CK33" s="372"/>
      <c r="CL33" s="372"/>
      <c r="CM33" s="373"/>
    </row>
    <row r="34" spans="1:91" ht="25.5" customHeight="1" thickBot="1">
      <c r="A34" s="411">
        <v>3927</v>
      </c>
      <c r="B34" s="412" t="s">
        <v>11</v>
      </c>
      <c r="C34" s="412" t="s">
        <v>44</v>
      </c>
      <c r="D34" s="412" t="s">
        <v>76</v>
      </c>
      <c r="E34" s="377" t="s">
        <v>53</v>
      </c>
      <c r="F34" s="412"/>
      <c r="G34" s="377" t="s">
        <v>422</v>
      </c>
      <c r="H34" s="376" t="s">
        <v>54</v>
      </c>
      <c r="I34" s="380"/>
      <c r="J34" s="377"/>
      <c r="K34" s="378"/>
      <c r="L34" s="413" t="s">
        <v>78</v>
      </c>
      <c r="M34" s="412" t="s">
        <v>77</v>
      </c>
      <c r="N34" s="412"/>
      <c r="O34" s="412" t="s">
        <v>77</v>
      </c>
      <c r="P34" s="414" t="s">
        <v>77</v>
      </c>
      <c r="Q34" s="413"/>
      <c r="R34" s="412"/>
      <c r="S34" s="412"/>
      <c r="T34" s="412"/>
      <c r="U34" s="415" t="s">
        <v>80</v>
      </c>
      <c r="V34" s="411"/>
      <c r="W34" s="377"/>
      <c r="X34" s="377"/>
      <c r="Y34" s="377"/>
      <c r="Z34" s="378"/>
      <c r="AA34" s="379"/>
      <c r="AB34" s="377"/>
      <c r="AC34" s="377"/>
      <c r="AD34" s="377"/>
      <c r="AE34" s="376"/>
      <c r="AF34" s="380"/>
      <c r="AG34" s="377"/>
      <c r="AH34" s="377"/>
      <c r="AI34" s="377"/>
      <c r="AJ34" s="378"/>
      <c r="AK34" s="379"/>
      <c r="AL34" s="377"/>
      <c r="AM34" s="377"/>
      <c r="AN34" s="377"/>
      <c r="AO34" s="376"/>
      <c r="AP34" s="380"/>
      <c r="AQ34" s="377"/>
      <c r="AR34" s="377"/>
      <c r="AS34" s="377"/>
      <c r="AT34" s="378"/>
      <c r="AU34" s="379"/>
      <c r="AV34" s="377"/>
      <c r="AW34" s="377"/>
      <c r="AX34" s="377"/>
      <c r="AY34" s="376"/>
      <c r="AZ34" s="380"/>
      <c r="BA34" s="377"/>
      <c r="BB34" s="377"/>
      <c r="BC34" s="377"/>
      <c r="BD34" s="378"/>
      <c r="BE34" s="379"/>
      <c r="BF34" s="377"/>
      <c r="BG34" s="377"/>
      <c r="BH34" s="377"/>
      <c r="BI34" s="376"/>
      <c r="BJ34" s="380"/>
      <c r="BK34" s="377"/>
      <c r="BL34" s="377"/>
      <c r="BM34" s="377"/>
      <c r="BN34" s="378"/>
      <c r="BO34" s="379"/>
      <c r="BP34" s="377"/>
      <c r="BQ34" s="377"/>
      <c r="BR34" s="377"/>
      <c r="BS34" s="376"/>
      <c r="BT34" s="380"/>
      <c r="BU34" s="377"/>
      <c r="BV34" s="377"/>
      <c r="BW34" s="377"/>
      <c r="BX34" s="378"/>
      <c r="BY34" s="379"/>
      <c r="BZ34" s="377"/>
      <c r="CA34" s="377"/>
      <c r="CB34" s="377"/>
      <c r="CC34" s="376"/>
      <c r="CD34" s="380"/>
      <c r="CE34" s="377"/>
      <c r="CF34" s="377"/>
      <c r="CG34" s="377"/>
      <c r="CH34" s="376"/>
      <c r="CI34" s="380"/>
      <c r="CJ34" s="377"/>
      <c r="CK34" s="377"/>
      <c r="CL34" s="377"/>
      <c r="CM34" s="378"/>
    </row>
    <row r="35" spans="1:91" ht="25.5" customHeight="1">
      <c r="A35" s="416">
        <v>3928</v>
      </c>
      <c r="B35" s="417" t="s">
        <v>11</v>
      </c>
      <c r="C35" s="417" t="s">
        <v>44</v>
      </c>
      <c r="D35" s="417" t="s">
        <v>76</v>
      </c>
      <c r="E35" s="381" t="s">
        <v>53</v>
      </c>
      <c r="F35" s="417"/>
      <c r="G35" s="381" t="s">
        <v>424</v>
      </c>
      <c r="H35" s="384" t="s">
        <v>54</v>
      </c>
      <c r="I35" s="385"/>
      <c r="J35" s="381"/>
      <c r="K35" s="382"/>
      <c r="L35" s="418" t="s">
        <v>78</v>
      </c>
      <c r="M35" s="417" t="s">
        <v>77</v>
      </c>
      <c r="N35" s="417"/>
      <c r="O35" s="417" t="s">
        <v>77</v>
      </c>
      <c r="P35" s="419" t="s">
        <v>77</v>
      </c>
      <c r="Q35" s="418"/>
      <c r="R35" s="417"/>
      <c r="S35" s="417"/>
      <c r="T35" s="417"/>
      <c r="U35" s="420" t="s">
        <v>80</v>
      </c>
      <c r="V35" s="416"/>
      <c r="W35" s="381"/>
      <c r="X35" s="381"/>
      <c r="Y35" s="381"/>
      <c r="Z35" s="382"/>
      <c r="AA35" s="383"/>
      <c r="AB35" s="381"/>
      <c r="AC35" s="381"/>
      <c r="AD35" s="381"/>
      <c r="AE35" s="384"/>
      <c r="AF35" s="385"/>
      <c r="AG35" s="381"/>
      <c r="AH35" s="381"/>
      <c r="AI35" s="381"/>
      <c r="AJ35" s="382"/>
      <c r="AK35" s="383"/>
      <c r="AL35" s="381"/>
      <c r="AM35" s="381"/>
      <c r="AN35" s="381"/>
      <c r="AO35" s="384"/>
      <c r="AP35" s="385"/>
      <c r="AQ35" s="381"/>
      <c r="AR35" s="381"/>
      <c r="AS35" s="381"/>
      <c r="AT35" s="382"/>
      <c r="AU35" s="383"/>
      <c r="AV35" s="381"/>
      <c r="AW35" s="381"/>
      <c r="AX35" s="381"/>
      <c r="AY35" s="384"/>
      <c r="AZ35" s="385"/>
      <c r="BA35" s="381"/>
      <c r="BB35" s="381"/>
      <c r="BC35" s="381"/>
      <c r="BD35" s="382"/>
      <c r="BE35" s="383"/>
      <c r="BF35" s="381"/>
      <c r="BG35" s="381"/>
      <c r="BH35" s="381"/>
      <c r="BI35" s="384"/>
      <c r="BJ35" s="385"/>
      <c r="BK35" s="381"/>
      <c r="BL35" s="381"/>
      <c r="BM35" s="381"/>
      <c r="BN35" s="382"/>
      <c r="BO35" s="383"/>
      <c r="BP35" s="381"/>
      <c r="BQ35" s="381"/>
      <c r="BR35" s="381"/>
      <c r="BS35" s="384"/>
      <c r="BT35" s="385"/>
      <c r="BU35" s="381"/>
      <c r="BV35" s="381"/>
      <c r="BW35" s="381"/>
      <c r="BX35" s="382"/>
      <c r="BY35" s="383"/>
      <c r="BZ35" s="381"/>
      <c r="CA35" s="381"/>
      <c r="CB35" s="381"/>
      <c r="CC35" s="384"/>
      <c r="CD35" s="385"/>
      <c r="CE35" s="381"/>
      <c r="CF35" s="381"/>
      <c r="CG35" s="381"/>
      <c r="CH35" s="384"/>
      <c r="CI35" s="385"/>
      <c r="CJ35" s="381"/>
      <c r="CK35" s="381"/>
      <c r="CL35" s="381"/>
      <c r="CM35" s="382"/>
    </row>
    <row r="36" spans="1:91" ht="25.5" customHeight="1">
      <c r="A36" s="386">
        <v>3929</v>
      </c>
      <c r="B36" s="387" t="s">
        <v>11</v>
      </c>
      <c r="C36" s="387" t="s">
        <v>44</v>
      </c>
      <c r="D36" s="387" t="s">
        <v>76</v>
      </c>
      <c r="E36" s="372" t="s">
        <v>53</v>
      </c>
      <c r="F36" s="387"/>
      <c r="G36" s="372" t="s">
        <v>426</v>
      </c>
      <c r="H36" s="371" t="s">
        <v>54</v>
      </c>
      <c r="I36" s="375"/>
      <c r="J36" s="372"/>
      <c r="K36" s="373"/>
      <c r="L36" s="388" t="s">
        <v>78</v>
      </c>
      <c r="M36" s="387" t="s">
        <v>77</v>
      </c>
      <c r="N36" s="387"/>
      <c r="O36" s="387" t="s">
        <v>77</v>
      </c>
      <c r="P36" s="389" t="s">
        <v>77</v>
      </c>
      <c r="Q36" s="388"/>
      <c r="R36" s="387"/>
      <c r="S36" s="387"/>
      <c r="T36" s="387"/>
      <c r="U36" s="390" t="s">
        <v>80</v>
      </c>
      <c r="V36" s="386"/>
      <c r="W36" s="372"/>
      <c r="X36" s="372"/>
      <c r="Y36" s="372"/>
      <c r="Z36" s="373"/>
      <c r="AA36" s="374"/>
      <c r="AB36" s="372"/>
      <c r="AC36" s="372"/>
      <c r="AD36" s="372"/>
      <c r="AE36" s="371"/>
      <c r="AF36" s="375"/>
      <c r="AG36" s="372"/>
      <c r="AH36" s="372"/>
      <c r="AI36" s="372"/>
      <c r="AJ36" s="373"/>
      <c r="AK36" s="374"/>
      <c r="AL36" s="372"/>
      <c r="AM36" s="372"/>
      <c r="AN36" s="372"/>
      <c r="AO36" s="371"/>
      <c r="AP36" s="375"/>
      <c r="AQ36" s="372"/>
      <c r="AR36" s="372"/>
      <c r="AS36" s="372"/>
      <c r="AT36" s="373"/>
      <c r="AU36" s="374"/>
      <c r="AV36" s="372"/>
      <c r="AW36" s="372"/>
      <c r="AX36" s="372"/>
      <c r="AY36" s="371"/>
      <c r="AZ36" s="375"/>
      <c r="BA36" s="372"/>
      <c r="BB36" s="372"/>
      <c r="BC36" s="372"/>
      <c r="BD36" s="373"/>
      <c r="BE36" s="374"/>
      <c r="BF36" s="372"/>
      <c r="BG36" s="372"/>
      <c r="BH36" s="372"/>
      <c r="BI36" s="371"/>
      <c r="BJ36" s="375"/>
      <c r="BK36" s="372"/>
      <c r="BL36" s="372"/>
      <c r="BM36" s="372"/>
      <c r="BN36" s="373"/>
      <c r="BO36" s="374"/>
      <c r="BP36" s="372"/>
      <c r="BQ36" s="372"/>
      <c r="BR36" s="372"/>
      <c r="BS36" s="371"/>
      <c r="BT36" s="375"/>
      <c r="BU36" s="372"/>
      <c r="BV36" s="372"/>
      <c r="BW36" s="372"/>
      <c r="BX36" s="373"/>
      <c r="BY36" s="374"/>
      <c r="BZ36" s="372"/>
      <c r="CA36" s="372"/>
      <c r="CB36" s="372"/>
      <c r="CC36" s="371"/>
      <c r="CD36" s="375"/>
      <c r="CE36" s="372"/>
      <c r="CF36" s="372"/>
      <c r="CG36" s="372"/>
      <c r="CH36" s="371"/>
      <c r="CI36" s="375"/>
      <c r="CJ36" s="372"/>
      <c r="CK36" s="372"/>
      <c r="CL36" s="372"/>
      <c r="CM36" s="373"/>
    </row>
    <row r="37" spans="1:91" ht="25.5" customHeight="1">
      <c r="A37" s="386">
        <v>3930</v>
      </c>
      <c r="B37" s="387" t="s">
        <v>11</v>
      </c>
      <c r="C37" s="387" t="s">
        <v>44</v>
      </c>
      <c r="D37" s="387" t="s">
        <v>76</v>
      </c>
      <c r="E37" s="372" t="s">
        <v>53</v>
      </c>
      <c r="F37" s="387"/>
      <c r="G37" s="372" t="s">
        <v>428</v>
      </c>
      <c r="H37" s="371" t="s">
        <v>54</v>
      </c>
      <c r="I37" s="375"/>
      <c r="J37" s="372"/>
      <c r="K37" s="373"/>
      <c r="L37" s="388" t="s">
        <v>78</v>
      </c>
      <c r="M37" s="387" t="s">
        <v>77</v>
      </c>
      <c r="N37" s="387"/>
      <c r="O37" s="387" t="s">
        <v>77</v>
      </c>
      <c r="P37" s="389" t="s">
        <v>77</v>
      </c>
      <c r="Q37" s="388"/>
      <c r="R37" s="387"/>
      <c r="S37" s="387"/>
      <c r="T37" s="387"/>
      <c r="U37" s="390" t="s">
        <v>80</v>
      </c>
      <c r="V37" s="386"/>
      <c r="W37" s="372"/>
      <c r="X37" s="372"/>
      <c r="Y37" s="372"/>
      <c r="Z37" s="373"/>
      <c r="AA37" s="374"/>
      <c r="AB37" s="372"/>
      <c r="AC37" s="372"/>
      <c r="AD37" s="372"/>
      <c r="AE37" s="371"/>
      <c r="AF37" s="375"/>
      <c r="AG37" s="372"/>
      <c r="AH37" s="372"/>
      <c r="AI37" s="372"/>
      <c r="AJ37" s="373"/>
      <c r="AK37" s="374"/>
      <c r="AL37" s="372"/>
      <c r="AM37" s="372"/>
      <c r="AN37" s="372"/>
      <c r="AO37" s="371"/>
      <c r="AP37" s="375"/>
      <c r="AQ37" s="372"/>
      <c r="AR37" s="372"/>
      <c r="AS37" s="372"/>
      <c r="AT37" s="373"/>
      <c r="AU37" s="374"/>
      <c r="AV37" s="372"/>
      <c r="AW37" s="372"/>
      <c r="AX37" s="372"/>
      <c r="AY37" s="371"/>
      <c r="AZ37" s="375"/>
      <c r="BA37" s="372"/>
      <c r="BB37" s="372"/>
      <c r="BC37" s="372"/>
      <c r="BD37" s="373"/>
      <c r="BE37" s="374"/>
      <c r="BF37" s="372"/>
      <c r="BG37" s="372"/>
      <c r="BH37" s="372"/>
      <c r="BI37" s="371"/>
      <c r="BJ37" s="375"/>
      <c r="BK37" s="372"/>
      <c r="BL37" s="372"/>
      <c r="BM37" s="372"/>
      <c r="BN37" s="373"/>
      <c r="BO37" s="374"/>
      <c r="BP37" s="372"/>
      <c r="BQ37" s="372"/>
      <c r="BR37" s="372"/>
      <c r="BS37" s="371"/>
      <c r="BT37" s="375"/>
      <c r="BU37" s="372"/>
      <c r="BV37" s="372"/>
      <c r="BW37" s="372"/>
      <c r="BX37" s="373"/>
      <c r="BY37" s="374"/>
      <c r="BZ37" s="372"/>
      <c r="CA37" s="372"/>
      <c r="CB37" s="372"/>
      <c r="CC37" s="371"/>
      <c r="CD37" s="375"/>
      <c r="CE37" s="372"/>
      <c r="CF37" s="372"/>
      <c r="CG37" s="372"/>
      <c r="CH37" s="371"/>
      <c r="CI37" s="375"/>
      <c r="CJ37" s="372"/>
      <c r="CK37" s="372"/>
      <c r="CL37" s="372"/>
      <c r="CM37" s="373"/>
    </row>
    <row r="38" spans="1:91" ht="25.5" customHeight="1">
      <c r="A38" s="386">
        <v>3931</v>
      </c>
      <c r="B38" s="387" t="s">
        <v>11</v>
      </c>
      <c r="C38" s="387" t="s">
        <v>44</v>
      </c>
      <c r="D38" s="387" t="s">
        <v>76</v>
      </c>
      <c r="E38" s="372" t="s">
        <v>53</v>
      </c>
      <c r="F38" s="387"/>
      <c r="G38" s="372" t="s">
        <v>430</v>
      </c>
      <c r="H38" s="371" t="s">
        <v>54</v>
      </c>
      <c r="I38" s="375"/>
      <c r="J38" s="372"/>
      <c r="K38" s="373"/>
      <c r="L38" s="388" t="s">
        <v>78</v>
      </c>
      <c r="M38" s="387" t="s">
        <v>77</v>
      </c>
      <c r="N38" s="387"/>
      <c r="O38" s="387" t="s">
        <v>77</v>
      </c>
      <c r="P38" s="389" t="s">
        <v>77</v>
      </c>
      <c r="Q38" s="388"/>
      <c r="R38" s="387"/>
      <c r="S38" s="387"/>
      <c r="T38" s="387"/>
      <c r="U38" s="390" t="s">
        <v>80</v>
      </c>
      <c r="V38" s="386"/>
      <c r="W38" s="372"/>
      <c r="X38" s="372"/>
      <c r="Y38" s="372"/>
      <c r="Z38" s="373"/>
      <c r="AA38" s="374"/>
      <c r="AB38" s="372"/>
      <c r="AC38" s="372"/>
      <c r="AD38" s="372"/>
      <c r="AE38" s="371"/>
      <c r="AF38" s="375"/>
      <c r="AG38" s="372"/>
      <c r="AH38" s="372"/>
      <c r="AI38" s="372"/>
      <c r="AJ38" s="373"/>
      <c r="AK38" s="374"/>
      <c r="AL38" s="372"/>
      <c r="AM38" s="372"/>
      <c r="AN38" s="372"/>
      <c r="AO38" s="371"/>
      <c r="AP38" s="375"/>
      <c r="AQ38" s="372"/>
      <c r="AR38" s="372"/>
      <c r="AS38" s="372"/>
      <c r="AT38" s="373"/>
      <c r="AU38" s="374"/>
      <c r="AV38" s="372"/>
      <c r="AW38" s="372"/>
      <c r="AX38" s="372"/>
      <c r="AY38" s="371"/>
      <c r="AZ38" s="375"/>
      <c r="BA38" s="372"/>
      <c r="BB38" s="372"/>
      <c r="BC38" s="372"/>
      <c r="BD38" s="373"/>
      <c r="BE38" s="374"/>
      <c r="BF38" s="372"/>
      <c r="BG38" s="372"/>
      <c r="BH38" s="372"/>
      <c r="BI38" s="371"/>
      <c r="BJ38" s="375"/>
      <c r="BK38" s="372"/>
      <c r="BL38" s="372"/>
      <c r="BM38" s="372"/>
      <c r="BN38" s="373"/>
      <c r="BO38" s="374"/>
      <c r="BP38" s="372"/>
      <c r="BQ38" s="372"/>
      <c r="BR38" s="372"/>
      <c r="BS38" s="371"/>
      <c r="BT38" s="375"/>
      <c r="BU38" s="372"/>
      <c r="BV38" s="372"/>
      <c r="BW38" s="372"/>
      <c r="BX38" s="373"/>
      <c r="BY38" s="374"/>
      <c r="BZ38" s="372"/>
      <c r="CA38" s="372"/>
      <c r="CB38" s="372"/>
      <c r="CC38" s="371"/>
      <c r="CD38" s="375"/>
      <c r="CE38" s="372"/>
      <c r="CF38" s="372"/>
      <c r="CG38" s="372"/>
      <c r="CH38" s="371"/>
      <c r="CI38" s="375"/>
      <c r="CJ38" s="372"/>
      <c r="CK38" s="372"/>
      <c r="CL38" s="372"/>
      <c r="CM38" s="373"/>
    </row>
    <row r="39" spans="1:91" ht="25.5" customHeight="1" thickBot="1">
      <c r="A39" s="391">
        <v>3932</v>
      </c>
      <c r="B39" s="392" t="s">
        <v>11</v>
      </c>
      <c r="C39" s="392" t="s">
        <v>44</v>
      </c>
      <c r="D39" s="392" t="s">
        <v>76</v>
      </c>
      <c r="E39" s="393" t="s">
        <v>53</v>
      </c>
      <c r="F39" s="392"/>
      <c r="G39" s="393" t="s">
        <v>432</v>
      </c>
      <c r="H39" s="394" t="s">
        <v>54</v>
      </c>
      <c r="I39" s="395"/>
      <c r="J39" s="393"/>
      <c r="K39" s="396"/>
      <c r="L39" s="397" t="s">
        <v>78</v>
      </c>
      <c r="M39" s="392" t="s">
        <v>77</v>
      </c>
      <c r="N39" s="392"/>
      <c r="O39" s="392" t="s">
        <v>77</v>
      </c>
      <c r="P39" s="398" t="s">
        <v>77</v>
      </c>
      <c r="Q39" s="397"/>
      <c r="R39" s="392"/>
      <c r="S39" s="392"/>
      <c r="T39" s="392"/>
      <c r="U39" s="399" t="s">
        <v>80</v>
      </c>
      <c r="V39" s="391"/>
      <c r="W39" s="393"/>
      <c r="X39" s="393"/>
      <c r="Y39" s="393"/>
      <c r="Z39" s="396"/>
      <c r="AA39" s="400"/>
      <c r="AB39" s="393"/>
      <c r="AC39" s="393"/>
      <c r="AD39" s="393"/>
      <c r="AE39" s="394"/>
      <c r="AF39" s="395"/>
      <c r="AG39" s="393"/>
      <c r="AH39" s="393"/>
      <c r="AI39" s="393"/>
      <c r="AJ39" s="396"/>
      <c r="AK39" s="400"/>
      <c r="AL39" s="393"/>
      <c r="AM39" s="393"/>
      <c r="AN39" s="393"/>
      <c r="AO39" s="394"/>
      <c r="AP39" s="395"/>
      <c r="AQ39" s="393"/>
      <c r="AR39" s="393"/>
      <c r="AS39" s="393"/>
      <c r="AT39" s="396"/>
      <c r="AU39" s="400"/>
      <c r="AV39" s="393"/>
      <c r="AW39" s="393"/>
      <c r="AX39" s="393"/>
      <c r="AY39" s="394"/>
      <c r="AZ39" s="395"/>
      <c r="BA39" s="393"/>
      <c r="BB39" s="393"/>
      <c r="BC39" s="393"/>
      <c r="BD39" s="396"/>
      <c r="BE39" s="400"/>
      <c r="BF39" s="393"/>
      <c r="BG39" s="393"/>
      <c r="BH39" s="393"/>
      <c r="BI39" s="394"/>
      <c r="BJ39" s="395"/>
      <c r="BK39" s="393"/>
      <c r="BL39" s="393"/>
      <c r="BM39" s="393"/>
      <c r="BN39" s="396"/>
      <c r="BO39" s="400"/>
      <c r="BP39" s="393"/>
      <c r="BQ39" s="393"/>
      <c r="BR39" s="393"/>
      <c r="BS39" s="394"/>
      <c r="BT39" s="395"/>
      <c r="BU39" s="393"/>
      <c r="BV39" s="393"/>
      <c r="BW39" s="393"/>
      <c r="BX39" s="396"/>
      <c r="BY39" s="400"/>
      <c r="BZ39" s="393"/>
      <c r="CA39" s="393"/>
      <c r="CB39" s="393"/>
      <c r="CC39" s="394"/>
      <c r="CD39" s="395"/>
      <c r="CE39" s="393"/>
      <c r="CF39" s="393"/>
      <c r="CG39" s="393"/>
      <c r="CH39" s="394"/>
      <c r="CI39" s="395"/>
      <c r="CJ39" s="393"/>
      <c r="CK39" s="393"/>
      <c r="CL39" s="393"/>
      <c r="CM39" s="396"/>
    </row>
    <row r="40" spans="1:91" ht="25.5" customHeight="1">
      <c r="A40" s="401">
        <v>3933</v>
      </c>
      <c r="B40" s="402" t="s">
        <v>11</v>
      </c>
      <c r="C40" s="402" t="s">
        <v>44</v>
      </c>
      <c r="D40" s="402" t="s">
        <v>76</v>
      </c>
      <c r="E40" s="403" t="s">
        <v>53</v>
      </c>
      <c r="F40" s="402"/>
      <c r="G40" s="403" t="s">
        <v>434</v>
      </c>
      <c r="H40" s="404" t="s">
        <v>54</v>
      </c>
      <c r="I40" s="405"/>
      <c r="J40" s="403"/>
      <c r="K40" s="406"/>
      <c r="L40" s="407" t="s">
        <v>78</v>
      </c>
      <c r="M40" s="402" t="s">
        <v>77</v>
      </c>
      <c r="N40" s="402"/>
      <c r="O40" s="402" t="s">
        <v>77</v>
      </c>
      <c r="P40" s="408" t="s">
        <v>77</v>
      </c>
      <c r="Q40" s="407"/>
      <c r="R40" s="402"/>
      <c r="S40" s="402"/>
      <c r="T40" s="402"/>
      <c r="U40" s="409" t="s">
        <v>80</v>
      </c>
      <c r="V40" s="401"/>
      <c r="W40" s="403"/>
      <c r="X40" s="403"/>
      <c r="Y40" s="403"/>
      <c r="Z40" s="406"/>
      <c r="AA40" s="410"/>
      <c r="AB40" s="403"/>
      <c r="AC40" s="403"/>
      <c r="AD40" s="403"/>
      <c r="AE40" s="404"/>
      <c r="AF40" s="405"/>
      <c r="AG40" s="403"/>
      <c r="AH40" s="403"/>
      <c r="AI40" s="403"/>
      <c r="AJ40" s="406"/>
      <c r="AK40" s="410"/>
      <c r="AL40" s="403"/>
      <c r="AM40" s="403"/>
      <c r="AN40" s="403"/>
      <c r="AO40" s="404"/>
      <c r="AP40" s="405"/>
      <c r="AQ40" s="403"/>
      <c r="AR40" s="403"/>
      <c r="AS40" s="403"/>
      <c r="AT40" s="406"/>
      <c r="AU40" s="410"/>
      <c r="AV40" s="403"/>
      <c r="AW40" s="403"/>
      <c r="AX40" s="403"/>
      <c r="AY40" s="404"/>
      <c r="AZ40" s="405"/>
      <c r="BA40" s="403"/>
      <c r="BB40" s="403"/>
      <c r="BC40" s="403"/>
      <c r="BD40" s="406"/>
      <c r="BE40" s="410"/>
      <c r="BF40" s="403"/>
      <c r="BG40" s="403"/>
      <c r="BH40" s="403"/>
      <c r="BI40" s="404"/>
      <c r="BJ40" s="405"/>
      <c r="BK40" s="403"/>
      <c r="BL40" s="403"/>
      <c r="BM40" s="403"/>
      <c r="BN40" s="406"/>
      <c r="BO40" s="410"/>
      <c r="BP40" s="403"/>
      <c r="BQ40" s="403"/>
      <c r="BR40" s="403"/>
      <c r="BS40" s="404"/>
      <c r="BT40" s="405"/>
      <c r="BU40" s="403"/>
      <c r="BV40" s="403"/>
      <c r="BW40" s="403"/>
      <c r="BX40" s="406"/>
      <c r="BY40" s="410"/>
      <c r="BZ40" s="403"/>
      <c r="CA40" s="403"/>
      <c r="CB40" s="403"/>
      <c r="CC40" s="404"/>
      <c r="CD40" s="405"/>
      <c r="CE40" s="403"/>
      <c r="CF40" s="403"/>
      <c r="CG40" s="403"/>
      <c r="CH40" s="404"/>
      <c r="CI40" s="405"/>
      <c r="CJ40" s="403"/>
      <c r="CK40" s="403"/>
      <c r="CL40" s="403"/>
      <c r="CM40" s="406"/>
    </row>
    <row r="41" spans="1:91" ht="25.5" customHeight="1">
      <c r="A41" s="386">
        <v>3934</v>
      </c>
      <c r="B41" s="387" t="s">
        <v>11</v>
      </c>
      <c r="C41" s="387" t="s">
        <v>44</v>
      </c>
      <c r="D41" s="387" t="s">
        <v>76</v>
      </c>
      <c r="E41" s="372" t="s">
        <v>53</v>
      </c>
      <c r="F41" s="387"/>
      <c r="G41" s="372" t="s">
        <v>436</v>
      </c>
      <c r="H41" s="371" t="s">
        <v>54</v>
      </c>
      <c r="I41" s="375"/>
      <c r="J41" s="372"/>
      <c r="K41" s="373"/>
      <c r="L41" s="388" t="s">
        <v>78</v>
      </c>
      <c r="M41" s="387" t="s">
        <v>77</v>
      </c>
      <c r="N41" s="387"/>
      <c r="O41" s="387" t="s">
        <v>77</v>
      </c>
      <c r="P41" s="389" t="s">
        <v>77</v>
      </c>
      <c r="Q41" s="388"/>
      <c r="R41" s="387"/>
      <c r="S41" s="387"/>
      <c r="T41" s="387"/>
      <c r="U41" s="390" t="s">
        <v>80</v>
      </c>
      <c r="V41" s="386"/>
      <c r="W41" s="372"/>
      <c r="X41" s="372"/>
      <c r="Y41" s="372"/>
      <c r="Z41" s="373"/>
      <c r="AA41" s="374"/>
      <c r="AB41" s="372"/>
      <c r="AC41" s="372"/>
      <c r="AD41" s="372"/>
      <c r="AE41" s="371"/>
      <c r="AF41" s="375"/>
      <c r="AG41" s="372"/>
      <c r="AH41" s="372"/>
      <c r="AI41" s="372"/>
      <c r="AJ41" s="373"/>
      <c r="AK41" s="374"/>
      <c r="AL41" s="372"/>
      <c r="AM41" s="372"/>
      <c r="AN41" s="372"/>
      <c r="AO41" s="371"/>
      <c r="AP41" s="375"/>
      <c r="AQ41" s="372"/>
      <c r="AR41" s="372"/>
      <c r="AS41" s="372"/>
      <c r="AT41" s="373"/>
      <c r="AU41" s="374"/>
      <c r="AV41" s="372"/>
      <c r="AW41" s="372"/>
      <c r="AX41" s="372"/>
      <c r="AY41" s="371"/>
      <c r="AZ41" s="375"/>
      <c r="BA41" s="372"/>
      <c r="BB41" s="372"/>
      <c r="BC41" s="372"/>
      <c r="BD41" s="373"/>
      <c r="BE41" s="374"/>
      <c r="BF41" s="372"/>
      <c r="BG41" s="372"/>
      <c r="BH41" s="372"/>
      <c r="BI41" s="371"/>
      <c r="BJ41" s="375"/>
      <c r="BK41" s="372"/>
      <c r="BL41" s="372"/>
      <c r="BM41" s="372"/>
      <c r="BN41" s="373"/>
      <c r="BO41" s="374"/>
      <c r="BP41" s="372"/>
      <c r="BQ41" s="372"/>
      <c r="BR41" s="372"/>
      <c r="BS41" s="371"/>
      <c r="BT41" s="375"/>
      <c r="BU41" s="372"/>
      <c r="BV41" s="372"/>
      <c r="BW41" s="372"/>
      <c r="BX41" s="373"/>
      <c r="BY41" s="374"/>
      <c r="BZ41" s="372"/>
      <c r="CA41" s="372"/>
      <c r="CB41" s="372"/>
      <c r="CC41" s="371"/>
      <c r="CD41" s="375"/>
      <c r="CE41" s="372"/>
      <c r="CF41" s="372"/>
      <c r="CG41" s="372"/>
      <c r="CH41" s="371"/>
      <c r="CI41" s="375"/>
      <c r="CJ41" s="372"/>
      <c r="CK41" s="372"/>
      <c r="CL41" s="372"/>
      <c r="CM41" s="373"/>
    </row>
    <row r="42" spans="1:91" ht="25.5" customHeight="1">
      <c r="A42" s="386">
        <v>3935</v>
      </c>
      <c r="B42" s="387" t="s">
        <v>11</v>
      </c>
      <c r="C42" s="387" t="s">
        <v>44</v>
      </c>
      <c r="D42" s="387" t="s">
        <v>76</v>
      </c>
      <c r="E42" s="372" t="s">
        <v>53</v>
      </c>
      <c r="F42" s="387"/>
      <c r="G42" s="372" t="s">
        <v>438</v>
      </c>
      <c r="H42" s="371" t="s">
        <v>54</v>
      </c>
      <c r="I42" s="375"/>
      <c r="J42" s="372"/>
      <c r="K42" s="373"/>
      <c r="L42" s="388" t="s">
        <v>78</v>
      </c>
      <c r="M42" s="387" t="s">
        <v>77</v>
      </c>
      <c r="N42" s="387"/>
      <c r="O42" s="387" t="s">
        <v>77</v>
      </c>
      <c r="P42" s="389" t="s">
        <v>77</v>
      </c>
      <c r="Q42" s="388"/>
      <c r="R42" s="387"/>
      <c r="S42" s="387"/>
      <c r="T42" s="387"/>
      <c r="U42" s="390" t="s">
        <v>80</v>
      </c>
      <c r="V42" s="386"/>
      <c r="W42" s="372"/>
      <c r="X42" s="372"/>
      <c r="Y42" s="372"/>
      <c r="Z42" s="373"/>
      <c r="AA42" s="374"/>
      <c r="AB42" s="372"/>
      <c r="AC42" s="372"/>
      <c r="AD42" s="372"/>
      <c r="AE42" s="371"/>
      <c r="AF42" s="375"/>
      <c r="AG42" s="372"/>
      <c r="AH42" s="372"/>
      <c r="AI42" s="372"/>
      <c r="AJ42" s="373"/>
      <c r="AK42" s="374"/>
      <c r="AL42" s="372"/>
      <c r="AM42" s="372"/>
      <c r="AN42" s="372"/>
      <c r="AO42" s="371"/>
      <c r="AP42" s="375"/>
      <c r="AQ42" s="372"/>
      <c r="AR42" s="372"/>
      <c r="AS42" s="372"/>
      <c r="AT42" s="373"/>
      <c r="AU42" s="374"/>
      <c r="AV42" s="372"/>
      <c r="AW42" s="372"/>
      <c r="AX42" s="372"/>
      <c r="AY42" s="371"/>
      <c r="AZ42" s="375"/>
      <c r="BA42" s="372"/>
      <c r="BB42" s="372"/>
      <c r="BC42" s="372"/>
      <c r="BD42" s="373"/>
      <c r="BE42" s="374"/>
      <c r="BF42" s="372"/>
      <c r="BG42" s="372"/>
      <c r="BH42" s="372"/>
      <c r="BI42" s="371"/>
      <c r="BJ42" s="375"/>
      <c r="BK42" s="372"/>
      <c r="BL42" s="372"/>
      <c r="BM42" s="372"/>
      <c r="BN42" s="373"/>
      <c r="BO42" s="374"/>
      <c r="BP42" s="372"/>
      <c r="BQ42" s="372"/>
      <c r="BR42" s="372"/>
      <c r="BS42" s="371"/>
      <c r="BT42" s="375"/>
      <c r="BU42" s="372"/>
      <c r="BV42" s="372"/>
      <c r="BW42" s="372"/>
      <c r="BX42" s="373"/>
      <c r="BY42" s="374"/>
      <c r="BZ42" s="372"/>
      <c r="CA42" s="372"/>
      <c r="CB42" s="372"/>
      <c r="CC42" s="371"/>
      <c r="CD42" s="375"/>
      <c r="CE42" s="372"/>
      <c r="CF42" s="372"/>
      <c r="CG42" s="372"/>
      <c r="CH42" s="371"/>
      <c r="CI42" s="375"/>
      <c r="CJ42" s="372"/>
      <c r="CK42" s="372"/>
      <c r="CL42" s="372"/>
      <c r="CM42" s="373"/>
    </row>
    <row r="43" spans="1:91" ht="25.5" customHeight="1">
      <c r="A43" s="386">
        <v>3936</v>
      </c>
      <c r="B43" s="387" t="s">
        <v>11</v>
      </c>
      <c r="C43" s="387" t="s">
        <v>44</v>
      </c>
      <c r="D43" s="387" t="s">
        <v>76</v>
      </c>
      <c r="E43" s="372" t="s">
        <v>53</v>
      </c>
      <c r="F43" s="387"/>
      <c r="G43" s="372" t="s">
        <v>440</v>
      </c>
      <c r="H43" s="371" t="s">
        <v>54</v>
      </c>
      <c r="I43" s="375"/>
      <c r="J43" s="372"/>
      <c r="K43" s="373"/>
      <c r="L43" s="388" t="s">
        <v>78</v>
      </c>
      <c r="M43" s="387" t="s">
        <v>77</v>
      </c>
      <c r="N43" s="387"/>
      <c r="O43" s="387" t="s">
        <v>77</v>
      </c>
      <c r="P43" s="389" t="s">
        <v>77</v>
      </c>
      <c r="Q43" s="388"/>
      <c r="R43" s="387"/>
      <c r="S43" s="387"/>
      <c r="T43" s="387"/>
      <c r="U43" s="390" t="s">
        <v>80</v>
      </c>
      <c r="V43" s="386"/>
      <c r="W43" s="372"/>
      <c r="X43" s="372"/>
      <c r="Y43" s="372"/>
      <c r="Z43" s="373"/>
      <c r="AA43" s="374"/>
      <c r="AB43" s="372"/>
      <c r="AC43" s="372"/>
      <c r="AD43" s="372"/>
      <c r="AE43" s="371"/>
      <c r="AF43" s="375"/>
      <c r="AG43" s="372"/>
      <c r="AH43" s="372"/>
      <c r="AI43" s="372"/>
      <c r="AJ43" s="373"/>
      <c r="AK43" s="374"/>
      <c r="AL43" s="372"/>
      <c r="AM43" s="372"/>
      <c r="AN43" s="372"/>
      <c r="AO43" s="371"/>
      <c r="AP43" s="375"/>
      <c r="AQ43" s="372"/>
      <c r="AR43" s="372"/>
      <c r="AS43" s="372"/>
      <c r="AT43" s="373"/>
      <c r="AU43" s="374"/>
      <c r="AV43" s="372"/>
      <c r="AW43" s="372"/>
      <c r="AX43" s="372"/>
      <c r="AY43" s="371"/>
      <c r="AZ43" s="375"/>
      <c r="BA43" s="372"/>
      <c r="BB43" s="372"/>
      <c r="BC43" s="372"/>
      <c r="BD43" s="373"/>
      <c r="BE43" s="374"/>
      <c r="BF43" s="372"/>
      <c r="BG43" s="372"/>
      <c r="BH43" s="372"/>
      <c r="BI43" s="371"/>
      <c r="BJ43" s="375"/>
      <c r="BK43" s="372"/>
      <c r="BL43" s="372"/>
      <c r="BM43" s="372"/>
      <c r="BN43" s="373"/>
      <c r="BO43" s="374"/>
      <c r="BP43" s="372"/>
      <c r="BQ43" s="372"/>
      <c r="BR43" s="372"/>
      <c r="BS43" s="371"/>
      <c r="BT43" s="375"/>
      <c r="BU43" s="372"/>
      <c r="BV43" s="372"/>
      <c r="BW43" s="372"/>
      <c r="BX43" s="373"/>
      <c r="BY43" s="374"/>
      <c r="BZ43" s="372"/>
      <c r="CA43" s="372"/>
      <c r="CB43" s="372"/>
      <c r="CC43" s="371"/>
      <c r="CD43" s="375"/>
      <c r="CE43" s="372"/>
      <c r="CF43" s="372"/>
      <c r="CG43" s="372"/>
      <c r="CH43" s="371"/>
      <c r="CI43" s="375"/>
      <c r="CJ43" s="372"/>
      <c r="CK43" s="372"/>
      <c r="CL43" s="372"/>
      <c r="CM43" s="373"/>
    </row>
    <row r="44" spans="1:91" ht="25.5" customHeight="1" thickBot="1">
      <c r="A44" s="411">
        <v>3937</v>
      </c>
      <c r="B44" s="412" t="s">
        <v>11</v>
      </c>
      <c r="C44" s="412" t="s">
        <v>44</v>
      </c>
      <c r="D44" s="412" t="s">
        <v>76</v>
      </c>
      <c r="E44" s="377" t="s">
        <v>53</v>
      </c>
      <c r="F44" s="412"/>
      <c r="G44" s="377" t="s">
        <v>442</v>
      </c>
      <c r="H44" s="376" t="s">
        <v>54</v>
      </c>
      <c r="I44" s="380"/>
      <c r="J44" s="377"/>
      <c r="K44" s="378"/>
      <c r="L44" s="413" t="s">
        <v>78</v>
      </c>
      <c r="M44" s="412" t="s">
        <v>77</v>
      </c>
      <c r="N44" s="412"/>
      <c r="O44" s="412" t="s">
        <v>77</v>
      </c>
      <c r="P44" s="414" t="s">
        <v>77</v>
      </c>
      <c r="Q44" s="413"/>
      <c r="R44" s="412"/>
      <c r="S44" s="412"/>
      <c r="T44" s="412"/>
      <c r="U44" s="415" t="s">
        <v>80</v>
      </c>
      <c r="V44" s="411"/>
      <c r="W44" s="377"/>
      <c r="X44" s="377"/>
      <c r="Y44" s="377"/>
      <c r="Z44" s="378"/>
      <c r="AA44" s="379"/>
      <c r="AB44" s="377"/>
      <c r="AC44" s="377"/>
      <c r="AD44" s="377"/>
      <c r="AE44" s="376"/>
      <c r="AF44" s="380"/>
      <c r="AG44" s="377"/>
      <c r="AH44" s="377"/>
      <c r="AI44" s="377"/>
      <c r="AJ44" s="378"/>
      <c r="AK44" s="379"/>
      <c r="AL44" s="377"/>
      <c r="AM44" s="377"/>
      <c r="AN44" s="377"/>
      <c r="AO44" s="376"/>
      <c r="AP44" s="380"/>
      <c r="AQ44" s="377"/>
      <c r="AR44" s="377"/>
      <c r="AS44" s="377"/>
      <c r="AT44" s="378"/>
      <c r="AU44" s="379"/>
      <c r="AV44" s="377"/>
      <c r="AW44" s="377"/>
      <c r="AX44" s="377"/>
      <c r="AY44" s="376"/>
      <c r="AZ44" s="380"/>
      <c r="BA44" s="377"/>
      <c r="BB44" s="377"/>
      <c r="BC44" s="377"/>
      <c r="BD44" s="378"/>
      <c r="BE44" s="379"/>
      <c r="BF44" s="377"/>
      <c r="BG44" s="377"/>
      <c r="BH44" s="377"/>
      <c r="BI44" s="376"/>
      <c r="BJ44" s="380"/>
      <c r="BK44" s="377"/>
      <c r="BL44" s="377"/>
      <c r="BM44" s="377"/>
      <c r="BN44" s="378"/>
      <c r="BO44" s="379"/>
      <c r="BP44" s="377"/>
      <c r="BQ44" s="377"/>
      <c r="BR44" s="377"/>
      <c r="BS44" s="376"/>
      <c r="BT44" s="380"/>
      <c r="BU44" s="377"/>
      <c r="BV44" s="377"/>
      <c r="BW44" s="377"/>
      <c r="BX44" s="378"/>
      <c r="BY44" s="379"/>
      <c r="BZ44" s="377"/>
      <c r="CA44" s="377"/>
      <c r="CB44" s="377"/>
      <c r="CC44" s="376"/>
      <c r="CD44" s="380"/>
      <c r="CE44" s="377"/>
      <c r="CF44" s="377"/>
      <c r="CG44" s="377"/>
      <c r="CH44" s="376"/>
      <c r="CI44" s="380"/>
      <c r="CJ44" s="377"/>
      <c r="CK44" s="377"/>
      <c r="CL44" s="377"/>
      <c r="CM44" s="378"/>
    </row>
    <row r="45" spans="1:91" ht="25.5" customHeight="1">
      <c r="A45" s="416">
        <v>3938</v>
      </c>
      <c r="B45" s="417" t="s">
        <v>11</v>
      </c>
      <c r="C45" s="417" t="s">
        <v>44</v>
      </c>
      <c r="D45" s="417" t="s">
        <v>76</v>
      </c>
      <c r="E45" s="381" t="s">
        <v>53</v>
      </c>
      <c r="F45" s="417"/>
      <c r="G45" s="381" t="s">
        <v>444</v>
      </c>
      <c r="H45" s="384" t="s">
        <v>54</v>
      </c>
      <c r="I45" s="385"/>
      <c r="J45" s="381"/>
      <c r="K45" s="382"/>
      <c r="L45" s="418" t="s">
        <v>78</v>
      </c>
      <c r="M45" s="417" t="s">
        <v>77</v>
      </c>
      <c r="N45" s="417"/>
      <c r="O45" s="417" t="s">
        <v>77</v>
      </c>
      <c r="P45" s="419" t="s">
        <v>77</v>
      </c>
      <c r="Q45" s="418"/>
      <c r="R45" s="417"/>
      <c r="S45" s="417"/>
      <c r="T45" s="417"/>
      <c r="U45" s="420" t="s">
        <v>80</v>
      </c>
      <c r="V45" s="416"/>
      <c r="W45" s="381"/>
      <c r="X45" s="381"/>
      <c r="Y45" s="381"/>
      <c r="Z45" s="382"/>
      <c r="AA45" s="383"/>
      <c r="AB45" s="381"/>
      <c r="AC45" s="381"/>
      <c r="AD45" s="381"/>
      <c r="AE45" s="384"/>
      <c r="AF45" s="385"/>
      <c r="AG45" s="381"/>
      <c r="AH45" s="381"/>
      <c r="AI45" s="381"/>
      <c r="AJ45" s="382"/>
      <c r="AK45" s="383"/>
      <c r="AL45" s="381"/>
      <c r="AM45" s="381"/>
      <c r="AN45" s="381"/>
      <c r="AO45" s="384"/>
      <c r="AP45" s="385"/>
      <c r="AQ45" s="381"/>
      <c r="AR45" s="381"/>
      <c r="AS45" s="381"/>
      <c r="AT45" s="382"/>
      <c r="AU45" s="383"/>
      <c r="AV45" s="381"/>
      <c r="AW45" s="381"/>
      <c r="AX45" s="381"/>
      <c r="AY45" s="384"/>
      <c r="AZ45" s="385"/>
      <c r="BA45" s="381"/>
      <c r="BB45" s="381"/>
      <c r="BC45" s="381"/>
      <c r="BD45" s="382"/>
      <c r="BE45" s="383"/>
      <c r="BF45" s="381"/>
      <c r="BG45" s="381"/>
      <c r="BH45" s="381"/>
      <c r="BI45" s="384"/>
      <c r="BJ45" s="385"/>
      <c r="BK45" s="381"/>
      <c r="BL45" s="381"/>
      <c r="BM45" s="381"/>
      <c r="BN45" s="382"/>
      <c r="BO45" s="383"/>
      <c r="BP45" s="381"/>
      <c r="BQ45" s="381"/>
      <c r="BR45" s="381"/>
      <c r="BS45" s="384"/>
      <c r="BT45" s="385"/>
      <c r="BU45" s="381"/>
      <c r="BV45" s="381"/>
      <c r="BW45" s="381"/>
      <c r="BX45" s="382"/>
      <c r="BY45" s="383"/>
      <c r="BZ45" s="381"/>
      <c r="CA45" s="381"/>
      <c r="CB45" s="381"/>
      <c r="CC45" s="384"/>
      <c r="CD45" s="385"/>
      <c r="CE45" s="381"/>
      <c r="CF45" s="381"/>
      <c r="CG45" s="381"/>
      <c r="CH45" s="384"/>
      <c r="CI45" s="385"/>
      <c r="CJ45" s="381"/>
      <c r="CK45" s="381"/>
      <c r="CL45" s="381"/>
      <c r="CM45" s="382"/>
    </row>
    <row r="46" spans="1:91" ht="25.5" customHeight="1">
      <c r="A46" s="386">
        <v>3939</v>
      </c>
      <c r="B46" s="387" t="s">
        <v>11</v>
      </c>
      <c r="C46" s="387" t="s">
        <v>44</v>
      </c>
      <c r="D46" s="387" t="s">
        <v>76</v>
      </c>
      <c r="E46" s="372" t="s">
        <v>53</v>
      </c>
      <c r="F46" s="387"/>
      <c r="G46" s="372" t="s">
        <v>446</v>
      </c>
      <c r="H46" s="371" t="s">
        <v>54</v>
      </c>
      <c r="I46" s="375"/>
      <c r="J46" s="372"/>
      <c r="K46" s="373"/>
      <c r="L46" s="388" t="s">
        <v>78</v>
      </c>
      <c r="M46" s="387" t="s">
        <v>77</v>
      </c>
      <c r="N46" s="387"/>
      <c r="O46" s="387" t="s">
        <v>77</v>
      </c>
      <c r="P46" s="389" t="s">
        <v>77</v>
      </c>
      <c r="Q46" s="388"/>
      <c r="R46" s="387"/>
      <c r="S46" s="387"/>
      <c r="T46" s="387"/>
      <c r="U46" s="390" t="s">
        <v>80</v>
      </c>
      <c r="V46" s="386"/>
      <c r="W46" s="372"/>
      <c r="X46" s="372"/>
      <c r="Y46" s="372"/>
      <c r="Z46" s="373"/>
      <c r="AA46" s="374"/>
      <c r="AB46" s="372"/>
      <c r="AC46" s="372"/>
      <c r="AD46" s="372"/>
      <c r="AE46" s="371"/>
      <c r="AF46" s="375"/>
      <c r="AG46" s="372"/>
      <c r="AH46" s="372"/>
      <c r="AI46" s="372"/>
      <c r="AJ46" s="373"/>
      <c r="AK46" s="374"/>
      <c r="AL46" s="372"/>
      <c r="AM46" s="372"/>
      <c r="AN46" s="372"/>
      <c r="AO46" s="371"/>
      <c r="AP46" s="375"/>
      <c r="AQ46" s="372"/>
      <c r="AR46" s="372"/>
      <c r="AS46" s="372"/>
      <c r="AT46" s="373"/>
      <c r="AU46" s="374"/>
      <c r="AV46" s="372"/>
      <c r="AW46" s="372"/>
      <c r="AX46" s="372"/>
      <c r="AY46" s="371"/>
      <c r="AZ46" s="375"/>
      <c r="BA46" s="372"/>
      <c r="BB46" s="372"/>
      <c r="BC46" s="372"/>
      <c r="BD46" s="373"/>
      <c r="BE46" s="374"/>
      <c r="BF46" s="372"/>
      <c r="BG46" s="372"/>
      <c r="BH46" s="372"/>
      <c r="BI46" s="371"/>
      <c r="BJ46" s="375"/>
      <c r="BK46" s="372"/>
      <c r="BL46" s="372"/>
      <c r="BM46" s="372"/>
      <c r="BN46" s="373"/>
      <c r="BO46" s="374"/>
      <c r="BP46" s="372"/>
      <c r="BQ46" s="372"/>
      <c r="BR46" s="372"/>
      <c r="BS46" s="371"/>
      <c r="BT46" s="375"/>
      <c r="BU46" s="372"/>
      <c r="BV46" s="372"/>
      <c r="BW46" s="372"/>
      <c r="BX46" s="373"/>
      <c r="BY46" s="374"/>
      <c r="BZ46" s="372"/>
      <c r="CA46" s="372"/>
      <c r="CB46" s="372"/>
      <c r="CC46" s="371"/>
      <c r="CD46" s="375"/>
      <c r="CE46" s="372"/>
      <c r="CF46" s="372"/>
      <c r="CG46" s="372"/>
      <c r="CH46" s="371"/>
      <c r="CI46" s="375"/>
      <c r="CJ46" s="372"/>
      <c r="CK46" s="372"/>
      <c r="CL46" s="372"/>
      <c r="CM46" s="373"/>
    </row>
    <row r="47" spans="1:91" ht="25.5" customHeight="1">
      <c r="A47" s="386">
        <v>3940</v>
      </c>
      <c r="B47" s="387" t="s">
        <v>11</v>
      </c>
      <c r="C47" s="387" t="s">
        <v>44</v>
      </c>
      <c r="D47" s="387" t="s">
        <v>76</v>
      </c>
      <c r="E47" s="372" t="s">
        <v>53</v>
      </c>
      <c r="F47" s="387"/>
      <c r="G47" s="372" t="s">
        <v>448</v>
      </c>
      <c r="H47" s="371" t="s">
        <v>54</v>
      </c>
      <c r="I47" s="375"/>
      <c r="J47" s="372"/>
      <c r="K47" s="373"/>
      <c r="L47" s="388" t="s">
        <v>78</v>
      </c>
      <c r="M47" s="387" t="s">
        <v>77</v>
      </c>
      <c r="N47" s="387"/>
      <c r="O47" s="387" t="s">
        <v>77</v>
      </c>
      <c r="P47" s="389" t="s">
        <v>77</v>
      </c>
      <c r="Q47" s="388"/>
      <c r="R47" s="387"/>
      <c r="S47" s="387"/>
      <c r="T47" s="387"/>
      <c r="U47" s="390" t="s">
        <v>80</v>
      </c>
      <c r="V47" s="386"/>
      <c r="W47" s="372"/>
      <c r="X47" s="372"/>
      <c r="Y47" s="372"/>
      <c r="Z47" s="373"/>
      <c r="AA47" s="374"/>
      <c r="AB47" s="372"/>
      <c r="AC47" s="372"/>
      <c r="AD47" s="372"/>
      <c r="AE47" s="371"/>
      <c r="AF47" s="375"/>
      <c r="AG47" s="372"/>
      <c r="AH47" s="372"/>
      <c r="AI47" s="372"/>
      <c r="AJ47" s="373"/>
      <c r="AK47" s="374"/>
      <c r="AL47" s="372"/>
      <c r="AM47" s="372"/>
      <c r="AN47" s="372"/>
      <c r="AO47" s="371"/>
      <c r="AP47" s="375"/>
      <c r="AQ47" s="372"/>
      <c r="AR47" s="372"/>
      <c r="AS47" s="372"/>
      <c r="AT47" s="373"/>
      <c r="AU47" s="374"/>
      <c r="AV47" s="372"/>
      <c r="AW47" s="372"/>
      <c r="AX47" s="372"/>
      <c r="AY47" s="371"/>
      <c r="AZ47" s="375"/>
      <c r="BA47" s="372"/>
      <c r="BB47" s="372"/>
      <c r="BC47" s="372"/>
      <c r="BD47" s="373"/>
      <c r="BE47" s="374"/>
      <c r="BF47" s="372"/>
      <c r="BG47" s="372"/>
      <c r="BH47" s="372"/>
      <c r="BI47" s="371"/>
      <c r="BJ47" s="375"/>
      <c r="BK47" s="372"/>
      <c r="BL47" s="372"/>
      <c r="BM47" s="372"/>
      <c r="BN47" s="373"/>
      <c r="BO47" s="374"/>
      <c r="BP47" s="372"/>
      <c r="BQ47" s="372"/>
      <c r="BR47" s="372"/>
      <c r="BS47" s="371"/>
      <c r="BT47" s="375"/>
      <c r="BU47" s="372"/>
      <c r="BV47" s="372"/>
      <c r="BW47" s="372"/>
      <c r="BX47" s="373"/>
      <c r="BY47" s="374"/>
      <c r="BZ47" s="372"/>
      <c r="CA47" s="372"/>
      <c r="CB47" s="372"/>
      <c r="CC47" s="371"/>
      <c r="CD47" s="375"/>
      <c r="CE47" s="372"/>
      <c r="CF47" s="372"/>
      <c r="CG47" s="372"/>
      <c r="CH47" s="371"/>
      <c r="CI47" s="375"/>
      <c r="CJ47" s="372"/>
      <c r="CK47" s="372"/>
      <c r="CL47" s="372"/>
      <c r="CM47" s="373"/>
    </row>
    <row r="48" spans="1:91" ht="25.5" customHeight="1">
      <c r="A48" s="386">
        <v>3941</v>
      </c>
      <c r="B48" s="387" t="s">
        <v>11</v>
      </c>
      <c r="C48" s="387" t="s">
        <v>44</v>
      </c>
      <c r="D48" s="387" t="s">
        <v>76</v>
      </c>
      <c r="E48" s="372" t="s">
        <v>53</v>
      </c>
      <c r="F48" s="387"/>
      <c r="G48" s="372" t="s">
        <v>450</v>
      </c>
      <c r="H48" s="371" t="s">
        <v>54</v>
      </c>
      <c r="I48" s="375"/>
      <c r="J48" s="372"/>
      <c r="K48" s="373"/>
      <c r="L48" s="388" t="s">
        <v>78</v>
      </c>
      <c r="M48" s="387" t="s">
        <v>77</v>
      </c>
      <c r="N48" s="387"/>
      <c r="O48" s="387" t="s">
        <v>77</v>
      </c>
      <c r="P48" s="389" t="s">
        <v>77</v>
      </c>
      <c r="Q48" s="388"/>
      <c r="R48" s="387"/>
      <c r="S48" s="387"/>
      <c r="T48" s="387"/>
      <c r="U48" s="390" t="s">
        <v>80</v>
      </c>
      <c r="V48" s="386"/>
      <c r="W48" s="372"/>
      <c r="X48" s="372"/>
      <c r="Y48" s="372"/>
      <c r="Z48" s="373"/>
      <c r="AA48" s="374"/>
      <c r="AB48" s="372"/>
      <c r="AC48" s="372"/>
      <c r="AD48" s="372"/>
      <c r="AE48" s="371"/>
      <c r="AF48" s="375"/>
      <c r="AG48" s="372"/>
      <c r="AH48" s="372"/>
      <c r="AI48" s="372"/>
      <c r="AJ48" s="373"/>
      <c r="AK48" s="374"/>
      <c r="AL48" s="372"/>
      <c r="AM48" s="372"/>
      <c r="AN48" s="372"/>
      <c r="AO48" s="371"/>
      <c r="AP48" s="375"/>
      <c r="AQ48" s="372"/>
      <c r="AR48" s="372"/>
      <c r="AS48" s="372"/>
      <c r="AT48" s="373"/>
      <c r="AU48" s="374"/>
      <c r="AV48" s="372"/>
      <c r="AW48" s="372"/>
      <c r="AX48" s="372"/>
      <c r="AY48" s="371"/>
      <c r="AZ48" s="375"/>
      <c r="BA48" s="372"/>
      <c r="BB48" s="372"/>
      <c r="BC48" s="372"/>
      <c r="BD48" s="373"/>
      <c r="BE48" s="374"/>
      <c r="BF48" s="372"/>
      <c r="BG48" s="372"/>
      <c r="BH48" s="372"/>
      <c r="BI48" s="371"/>
      <c r="BJ48" s="375"/>
      <c r="BK48" s="372"/>
      <c r="BL48" s="372"/>
      <c r="BM48" s="372"/>
      <c r="BN48" s="373"/>
      <c r="BO48" s="374"/>
      <c r="BP48" s="372"/>
      <c r="BQ48" s="372"/>
      <c r="BR48" s="372"/>
      <c r="BS48" s="371"/>
      <c r="BT48" s="375"/>
      <c r="BU48" s="372"/>
      <c r="BV48" s="372"/>
      <c r="BW48" s="372"/>
      <c r="BX48" s="373"/>
      <c r="BY48" s="374"/>
      <c r="BZ48" s="372"/>
      <c r="CA48" s="372"/>
      <c r="CB48" s="372"/>
      <c r="CC48" s="371"/>
      <c r="CD48" s="375"/>
      <c r="CE48" s="372"/>
      <c r="CF48" s="372"/>
      <c r="CG48" s="372"/>
      <c r="CH48" s="371"/>
      <c r="CI48" s="375"/>
      <c r="CJ48" s="372"/>
      <c r="CK48" s="372"/>
      <c r="CL48" s="372"/>
      <c r="CM48" s="373"/>
    </row>
    <row r="49" spans="1:91" ht="25.5" customHeight="1" thickBot="1">
      <c r="A49" s="391">
        <v>3942</v>
      </c>
      <c r="B49" s="392" t="s">
        <v>11</v>
      </c>
      <c r="C49" s="392" t="s">
        <v>44</v>
      </c>
      <c r="D49" s="392" t="s">
        <v>76</v>
      </c>
      <c r="E49" s="393" t="s">
        <v>53</v>
      </c>
      <c r="F49" s="392"/>
      <c r="G49" s="393" t="s">
        <v>452</v>
      </c>
      <c r="H49" s="394" t="s">
        <v>54</v>
      </c>
      <c r="I49" s="395"/>
      <c r="J49" s="393"/>
      <c r="K49" s="396"/>
      <c r="L49" s="397" t="s">
        <v>78</v>
      </c>
      <c r="M49" s="392" t="s">
        <v>77</v>
      </c>
      <c r="N49" s="392"/>
      <c r="O49" s="392" t="s">
        <v>77</v>
      </c>
      <c r="P49" s="398" t="s">
        <v>77</v>
      </c>
      <c r="Q49" s="397"/>
      <c r="R49" s="392"/>
      <c r="S49" s="392"/>
      <c r="T49" s="392"/>
      <c r="U49" s="399" t="s">
        <v>80</v>
      </c>
      <c r="V49" s="391"/>
      <c r="W49" s="393"/>
      <c r="X49" s="393"/>
      <c r="Y49" s="393"/>
      <c r="Z49" s="396"/>
      <c r="AA49" s="400"/>
      <c r="AB49" s="393"/>
      <c r="AC49" s="393"/>
      <c r="AD49" s="393"/>
      <c r="AE49" s="394"/>
      <c r="AF49" s="395"/>
      <c r="AG49" s="393"/>
      <c r="AH49" s="393"/>
      <c r="AI49" s="393"/>
      <c r="AJ49" s="396"/>
      <c r="AK49" s="400"/>
      <c r="AL49" s="393"/>
      <c r="AM49" s="393"/>
      <c r="AN49" s="393"/>
      <c r="AO49" s="394"/>
      <c r="AP49" s="395"/>
      <c r="AQ49" s="393"/>
      <c r="AR49" s="393"/>
      <c r="AS49" s="393"/>
      <c r="AT49" s="396"/>
      <c r="AU49" s="400"/>
      <c r="AV49" s="393"/>
      <c r="AW49" s="393"/>
      <c r="AX49" s="393"/>
      <c r="AY49" s="394"/>
      <c r="AZ49" s="395"/>
      <c r="BA49" s="393"/>
      <c r="BB49" s="393"/>
      <c r="BC49" s="393"/>
      <c r="BD49" s="396"/>
      <c r="BE49" s="400"/>
      <c r="BF49" s="393"/>
      <c r="BG49" s="393"/>
      <c r="BH49" s="393"/>
      <c r="BI49" s="394"/>
      <c r="BJ49" s="395"/>
      <c r="BK49" s="393"/>
      <c r="BL49" s="393"/>
      <c r="BM49" s="393"/>
      <c r="BN49" s="396"/>
      <c r="BO49" s="400"/>
      <c r="BP49" s="393"/>
      <c r="BQ49" s="393"/>
      <c r="BR49" s="393"/>
      <c r="BS49" s="394"/>
      <c r="BT49" s="395"/>
      <c r="BU49" s="393"/>
      <c r="BV49" s="393"/>
      <c r="BW49" s="393"/>
      <c r="BX49" s="396"/>
      <c r="BY49" s="400"/>
      <c r="BZ49" s="393"/>
      <c r="CA49" s="393"/>
      <c r="CB49" s="393"/>
      <c r="CC49" s="394"/>
      <c r="CD49" s="395"/>
      <c r="CE49" s="393"/>
      <c r="CF49" s="393"/>
      <c r="CG49" s="393"/>
      <c r="CH49" s="394"/>
      <c r="CI49" s="395"/>
      <c r="CJ49" s="393"/>
      <c r="CK49" s="393"/>
      <c r="CL49" s="393"/>
      <c r="CM49" s="396"/>
    </row>
    <row r="50" spans="1:91" ht="25.5" customHeight="1">
      <c r="A50" s="401">
        <v>3943</v>
      </c>
      <c r="B50" s="402" t="s">
        <v>11</v>
      </c>
      <c r="C50" s="402" t="s">
        <v>44</v>
      </c>
      <c r="D50" s="402" t="s">
        <v>76</v>
      </c>
      <c r="E50" s="403" t="s">
        <v>53</v>
      </c>
      <c r="F50" s="402"/>
      <c r="G50" s="403" t="s">
        <v>454</v>
      </c>
      <c r="H50" s="404" t="s">
        <v>54</v>
      </c>
      <c r="I50" s="405"/>
      <c r="J50" s="403"/>
      <c r="K50" s="406"/>
      <c r="L50" s="407" t="s">
        <v>78</v>
      </c>
      <c r="M50" s="402" t="s">
        <v>77</v>
      </c>
      <c r="N50" s="402"/>
      <c r="O50" s="402" t="s">
        <v>77</v>
      </c>
      <c r="P50" s="408" t="s">
        <v>77</v>
      </c>
      <c r="Q50" s="407"/>
      <c r="R50" s="402"/>
      <c r="S50" s="402"/>
      <c r="T50" s="402"/>
      <c r="U50" s="409" t="s">
        <v>80</v>
      </c>
      <c r="V50" s="401"/>
      <c r="W50" s="403"/>
      <c r="X50" s="403"/>
      <c r="Y50" s="403"/>
      <c r="Z50" s="406"/>
      <c r="AA50" s="410"/>
      <c r="AB50" s="403"/>
      <c r="AC50" s="403"/>
      <c r="AD50" s="403"/>
      <c r="AE50" s="404"/>
      <c r="AF50" s="405"/>
      <c r="AG50" s="403"/>
      <c r="AH50" s="403"/>
      <c r="AI50" s="403"/>
      <c r="AJ50" s="406"/>
      <c r="AK50" s="410"/>
      <c r="AL50" s="403"/>
      <c r="AM50" s="403"/>
      <c r="AN50" s="403"/>
      <c r="AO50" s="404"/>
      <c r="AP50" s="405"/>
      <c r="AQ50" s="403"/>
      <c r="AR50" s="403"/>
      <c r="AS50" s="403"/>
      <c r="AT50" s="406"/>
      <c r="AU50" s="410"/>
      <c r="AV50" s="403"/>
      <c r="AW50" s="403"/>
      <c r="AX50" s="403"/>
      <c r="AY50" s="404"/>
      <c r="AZ50" s="405"/>
      <c r="BA50" s="403"/>
      <c r="BB50" s="403"/>
      <c r="BC50" s="403"/>
      <c r="BD50" s="406"/>
      <c r="BE50" s="410"/>
      <c r="BF50" s="403"/>
      <c r="BG50" s="403"/>
      <c r="BH50" s="403"/>
      <c r="BI50" s="404"/>
      <c r="BJ50" s="405"/>
      <c r="BK50" s="403"/>
      <c r="BL50" s="403"/>
      <c r="BM50" s="403"/>
      <c r="BN50" s="406"/>
      <c r="BO50" s="410"/>
      <c r="BP50" s="403"/>
      <c r="BQ50" s="403"/>
      <c r="BR50" s="403"/>
      <c r="BS50" s="404"/>
      <c r="BT50" s="405"/>
      <c r="BU50" s="403"/>
      <c r="BV50" s="403"/>
      <c r="BW50" s="403"/>
      <c r="BX50" s="406"/>
      <c r="BY50" s="410"/>
      <c r="BZ50" s="403"/>
      <c r="CA50" s="403"/>
      <c r="CB50" s="403"/>
      <c r="CC50" s="404"/>
      <c r="CD50" s="405"/>
      <c r="CE50" s="403"/>
      <c r="CF50" s="403"/>
      <c r="CG50" s="403"/>
      <c r="CH50" s="404"/>
      <c r="CI50" s="405"/>
      <c r="CJ50" s="403"/>
      <c r="CK50" s="403"/>
      <c r="CL50" s="403"/>
      <c r="CM50" s="406"/>
    </row>
    <row r="51" spans="1:91" ht="25.5" customHeight="1">
      <c r="A51" s="386">
        <v>3944</v>
      </c>
      <c r="B51" s="387" t="s">
        <v>11</v>
      </c>
      <c r="C51" s="387" t="s">
        <v>44</v>
      </c>
      <c r="D51" s="387" t="s">
        <v>76</v>
      </c>
      <c r="E51" s="372" t="s">
        <v>53</v>
      </c>
      <c r="F51" s="387"/>
      <c r="G51" s="372" t="s">
        <v>456</v>
      </c>
      <c r="H51" s="371" t="s">
        <v>54</v>
      </c>
      <c r="I51" s="375"/>
      <c r="J51" s="372"/>
      <c r="K51" s="373"/>
      <c r="L51" s="388" t="s">
        <v>78</v>
      </c>
      <c r="M51" s="387" t="s">
        <v>77</v>
      </c>
      <c r="N51" s="387"/>
      <c r="O51" s="387" t="s">
        <v>77</v>
      </c>
      <c r="P51" s="389" t="s">
        <v>77</v>
      </c>
      <c r="Q51" s="388"/>
      <c r="R51" s="387"/>
      <c r="S51" s="387"/>
      <c r="T51" s="387"/>
      <c r="U51" s="390" t="s">
        <v>80</v>
      </c>
      <c r="V51" s="386"/>
      <c r="W51" s="372"/>
      <c r="X51" s="372"/>
      <c r="Y51" s="372"/>
      <c r="Z51" s="373"/>
      <c r="AA51" s="374"/>
      <c r="AB51" s="372"/>
      <c r="AC51" s="372"/>
      <c r="AD51" s="372"/>
      <c r="AE51" s="371"/>
      <c r="AF51" s="375"/>
      <c r="AG51" s="372"/>
      <c r="AH51" s="372"/>
      <c r="AI51" s="372"/>
      <c r="AJ51" s="373"/>
      <c r="AK51" s="374"/>
      <c r="AL51" s="372"/>
      <c r="AM51" s="372"/>
      <c r="AN51" s="372"/>
      <c r="AO51" s="371"/>
      <c r="AP51" s="375"/>
      <c r="AQ51" s="372"/>
      <c r="AR51" s="372"/>
      <c r="AS51" s="372"/>
      <c r="AT51" s="373"/>
      <c r="AU51" s="374"/>
      <c r="AV51" s="372"/>
      <c r="AW51" s="372"/>
      <c r="AX51" s="372"/>
      <c r="AY51" s="371"/>
      <c r="AZ51" s="375"/>
      <c r="BA51" s="372"/>
      <c r="BB51" s="372"/>
      <c r="BC51" s="372"/>
      <c r="BD51" s="373"/>
      <c r="BE51" s="374"/>
      <c r="BF51" s="372"/>
      <c r="BG51" s="372"/>
      <c r="BH51" s="372"/>
      <c r="BI51" s="371"/>
      <c r="BJ51" s="375"/>
      <c r="BK51" s="372"/>
      <c r="BL51" s="372"/>
      <c r="BM51" s="372"/>
      <c r="BN51" s="373"/>
      <c r="BO51" s="374"/>
      <c r="BP51" s="372"/>
      <c r="BQ51" s="372"/>
      <c r="BR51" s="372"/>
      <c r="BS51" s="371"/>
      <c r="BT51" s="375"/>
      <c r="BU51" s="372"/>
      <c r="BV51" s="372"/>
      <c r="BW51" s="372"/>
      <c r="BX51" s="373"/>
      <c r="BY51" s="374"/>
      <c r="BZ51" s="372"/>
      <c r="CA51" s="372"/>
      <c r="CB51" s="372"/>
      <c r="CC51" s="371"/>
      <c r="CD51" s="375"/>
      <c r="CE51" s="372"/>
      <c r="CF51" s="372"/>
      <c r="CG51" s="372"/>
      <c r="CH51" s="371"/>
      <c r="CI51" s="375"/>
      <c r="CJ51" s="372"/>
      <c r="CK51" s="372"/>
      <c r="CL51" s="372"/>
      <c r="CM51" s="373"/>
    </row>
    <row r="52" spans="1:91" ht="25.5" customHeight="1">
      <c r="A52" s="386">
        <v>3945</v>
      </c>
      <c r="B52" s="387" t="s">
        <v>11</v>
      </c>
      <c r="C52" s="387" t="s">
        <v>44</v>
      </c>
      <c r="D52" s="387" t="s">
        <v>76</v>
      </c>
      <c r="E52" s="372" t="s">
        <v>53</v>
      </c>
      <c r="F52" s="387"/>
      <c r="G52" s="372" t="s">
        <v>458</v>
      </c>
      <c r="H52" s="371" t="s">
        <v>54</v>
      </c>
      <c r="I52" s="375"/>
      <c r="J52" s="372"/>
      <c r="K52" s="373"/>
      <c r="L52" s="388" t="s">
        <v>78</v>
      </c>
      <c r="M52" s="387" t="s">
        <v>77</v>
      </c>
      <c r="N52" s="387"/>
      <c r="O52" s="387" t="s">
        <v>77</v>
      </c>
      <c r="P52" s="389" t="s">
        <v>77</v>
      </c>
      <c r="Q52" s="388"/>
      <c r="R52" s="387"/>
      <c r="S52" s="387"/>
      <c r="T52" s="387"/>
      <c r="U52" s="390" t="s">
        <v>80</v>
      </c>
      <c r="V52" s="386"/>
      <c r="W52" s="372"/>
      <c r="X52" s="372"/>
      <c r="Y52" s="372"/>
      <c r="Z52" s="373"/>
      <c r="AA52" s="374"/>
      <c r="AB52" s="372"/>
      <c r="AC52" s="372"/>
      <c r="AD52" s="372"/>
      <c r="AE52" s="371"/>
      <c r="AF52" s="375"/>
      <c r="AG52" s="372"/>
      <c r="AH52" s="372"/>
      <c r="AI52" s="372"/>
      <c r="AJ52" s="373"/>
      <c r="AK52" s="374"/>
      <c r="AL52" s="372"/>
      <c r="AM52" s="372"/>
      <c r="AN52" s="372"/>
      <c r="AO52" s="371"/>
      <c r="AP52" s="375"/>
      <c r="AQ52" s="372"/>
      <c r="AR52" s="372"/>
      <c r="AS52" s="372"/>
      <c r="AT52" s="373"/>
      <c r="AU52" s="374"/>
      <c r="AV52" s="372"/>
      <c r="AW52" s="372"/>
      <c r="AX52" s="372"/>
      <c r="AY52" s="371"/>
      <c r="AZ52" s="375"/>
      <c r="BA52" s="372"/>
      <c r="BB52" s="372"/>
      <c r="BC52" s="372"/>
      <c r="BD52" s="373"/>
      <c r="BE52" s="374"/>
      <c r="BF52" s="372"/>
      <c r="BG52" s="372"/>
      <c r="BH52" s="372"/>
      <c r="BI52" s="371"/>
      <c r="BJ52" s="375"/>
      <c r="BK52" s="372"/>
      <c r="BL52" s="372"/>
      <c r="BM52" s="372"/>
      <c r="BN52" s="373"/>
      <c r="BO52" s="374"/>
      <c r="BP52" s="372"/>
      <c r="BQ52" s="372"/>
      <c r="BR52" s="372"/>
      <c r="BS52" s="371"/>
      <c r="BT52" s="375"/>
      <c r="BU52" s="372"/>
      <c r="BV52" s="372"/>
      <c r="BW52" s="372"/>
      <c r="BX52" s="373"/>
      <c r="BY52" s="374"/>
      <c r="BZ52" s="372"/>
      <c r="CA52" s="372"/>
      <c r="CB52" s="372"/>
      <c r="CC52" s="371"/>
      <c r="CD52" s="375"/>
      <c r="CE52" s="372"/>
      <c r="CF52" s="372"/>
      <c r="CG52" s="372"/>
      <c r="CH52" s="371"/>
      <c r="CI52" s="375"/>
      <c r="CJ52" s="372"/>
      <c r="CK52" s="372"/>
      <c r="CL52" s="372"/>
      <c r="CM52" s="373"/>
    </row>
    <row r="53" spans="1:91" ht="25.5" customHeight="1">
      <c r="A53" s="386">
        <v>3946</v>
      </c>
      <c r="B53" s="387" t="s">
        <v>11</v>
      </c>
      <c r="C53" s="387" t="s">
        <v>44</v>
      </c>
      <c r="D53" s="387" t="s">
        <v>76</v>
      </c>
      <c r="E53" s="372" t="s">
        <v>53</v>
      </c>
      <c r="F53" s="387"/>
      <c r="G53" s="372" t="s">
        <v>460</v>
      </c>
      <c r="H53" s="371" t="s">
        <v>54</v>
      </c>
      <c r="I53" s="375"/>
      <c r="J53" s="372"/>
      <c r="K53" s="373"/>
      <c r="L53" s="388" t="s">
        <v>78</v>
      </c>
      <c r="M53" s="387" t="s">
        <v>77</v>
      </c>
      <c r="N53" s="387"/>
      <c r="O53" s="387" t="s">
        <v>77</v>
      </c>
      <c r="P53" s="389" t="s">
        <v>77</v>
      </c>
      <c r="Q53" s="388"/>
      <c r="R53" s="387"/>
      <c r="S53" s="387"/>
      <c r="T53" s="387"/>
      <c r="U53" s="390" t="s">
        <v>80</v>
      </c>
      <c r="V53" s="386"/>
      <c r="W53" s="372"/>
      <c r="X53" s="372"/>
      <c r="Y53" s="372"/>
      <c r="Z53" s="373"/>
      <c r="AA53" s="374"/>
      <c r="AB53" s="372"/>
      <c r="AC53" s="372"/>
      <c r="AD53" s="372"/>
      <c r="AE53" s="371"/>
      <c r="AF53" s="375"/>
      <c r="AG53" s="372"/>
      <c r="AH53" s="372"/>
      <c r="AI53" s="372"/>
      <c r="AJ53" s="373"/>
      <c r="AK53" s="374"/>
      <c r="AL53" s="372"/>
      <c r="AM53" s="372"/>
      <c r="AN53" s="372"/>
      <c r="AO53" s="371"/>
      <c r="AP53" s="375"/>
      <c r="AQ53" s="372"/>
      <c r="AR53" s="372"/>
      <c r="AS53" s="372"/>
      <c r="AT53" s="373"/>
      <c r="AU53" s="374"/>
      <c r="AV53" s="372"/>
      <c r="AW53" s="372"/>
      <c r="AX53" s="372"/>
      <c r="AY53" s="371"/>
      <c r="AZ53" s="375"/>
      <c r="BA53" s="372"/>
      <c r="BB53" s="372"/>
      <c r="BC53" s="372"/>
      <c r="BD53" s="373"/>
      <c r="BE53" s="374"/>
      <c r="BF53" s="372"/>
      <c r="BG53" s="372"/>
      <c r="BH53" s="372"/>
      <c r="BI53" s="371"/>
      <c r="BJ53" s="375"/>
      <c r="BK53" s="372"/>
      <c r="BL53" s="372"/>
      <c r="BM53" s="372"/>
      <c r="BN53" s="373"/>
      <c r="BO53" s="374"/>
      <c r="BP53" s="372"/>
      <c r="BQ53" s="372"/>
      <c r="BR53" s="372"/>
      <c r="BS53" s="371"/>
      <c r="BT53" s="375"/>
      <c r="BU53" s="372"/>
      <c r="BV53" s="372"/>
      <c r="BW53" s="372"/>
      <c r="BX53" s="373"/>
      <c r="BY53" s="374"/>
      <c r="BZ53" s="372"/>
      <c r="CA53" s="372"/>
      <c r="CB53" s="372"/>
      <c r="CC53" s="371"/>
      <c r="CD53" s="375"/>
      <c r="CE53" s="372"/>
      <c r="CF53" s="372"/>
      <c r="CG53" s="372"/>
      <c r="CH53" s="371"/>
      <c r="CI53" s="375"/>
      <c r="CJ53" s="372"/>
      <c r="CK53" s="372"/>
      <c r="CL53" s="372"/>
      <c r="CM53" s="373"/>
    </row>
    <row r="54" spans="1:91" ht="25.5" customHeight="1" thickBot="1">
      <c r="A54" s="411">
        <v>3947</v>
      </c>
      <c r="B54" s="412" t="s">
        <v>11</v>
      </c>
      <c r="C54" s="412" t="s">
        <v>44</v>
      </c>
      <c r="D54" s="412" t="s">
        <v>76</v>
      </c>
      <c r="E54" s="377" t="s">
        <v>53</v>
      </c>
      <c r="F54" s="412"/>
      <c r="G54" s="377" t="s">
        <v>462</v>
      </c>
      <c r="H54" s="376" t="s">
        <v>54</v>
      </c>
      <c r="I54" s="380"/>
      <c r="J54" s="377"/>
      <c r="K54" s="378"/>
      <c r="L54" s="413" t="s">
        <v>78</v>
      </c>
      <c r="M54" s="412" t="s">
        <v>77</v>
      </c>
      <c r="N54" s="412"/>
      <c r="O54" s="412" t="s">
        <v>77</v>
      </c>
      <c r="P54" s="414" t="s">
        <v>77</v>
      </c>
      <c r="Q54" s="413"/>
      <c r="R54" s="412"/>
      <c r="S54" s="412"/>
      <c r="T54" s="412"/>
      <c r="U54" s="415" t="s">
        <v>80</v>
      </c>
      <c r="V54" s="411"/>
      <c r="W54" s="377"/>
      <c r="X54" s="377"/>
      <c r="Y54" s="377"/>
      <c r="Z54" s="378"/>
      <c r="AA54" s="379"/>
      <c r="AB54" s="377"/>
      <c r="AC54" s="377"/>
      <c r="AD54" s="377"/>
      <c r="AE54" s="376"/>
      <c r="AF54" s="380"/>
      <c r="AG54" s="377"/>
      <c r="AH54" s="377"/>
      <c r="AI54" s="377"/>
      <c r="AJ54" s="378"/>
      <c r="AK54" s="379"/>
      <c r="AL54" s="377"/>
      <c r="AM54" s="377"/>
      <c r="AN54" s="377"/>
      <c r="AO54" s="376"/>
      <c r="AP54" s="380"/>
      <c r="AQ54" s="377"/>
      <c r="AR54" s="377"/>
      <c r="AS54" s="377"/>
      <c r="AT54" s="378"/>
      <c r="AU54" s="379"/>
      <c r="AV54" s="377"/>
      <c r="AW54" s="377"/>
      <c r="AX54" s="377"/>
      <c r="AY54" s="376"/>
      <c r="AZ54" s="380"/>
      <c r="BA54" s="377"/>
      <c r="BB54" s="377"/>
      <c r="BC54" s="377"/>
      <c r="BD54" s="378"/>
      <c r="BE54" s="379"/>
      <c r="BF54" s="377"/>
      <c r="BG54" s="377"/>
      <c r="BH54" s="377"/>
      <c r="BI54" s="376"/>
      <c r="BJ54" s="380"/>
      <c r="BK54" s="377"/>
      <c r="BL54" s="377"/>
      <c r="BM54" s="377"/>
      <c r="BN54" s="378"/>
      <c r="BO54" s="379"/>
      <c r="BP54" s="377"/>
      <c r="BQ54" s="377"/>
      <c r="BR54" s="377"/>
      <c r="BS54" s="376"/>
      <c r="BT54" s="380"/>
      <c r="BU54" s="377"/>
      <c r="BV54" s="377"/>
      <c r="BW54" s="377"/>
      <c r="BX54" s="378"/>
      <c r="BY54" s="379"/>
      <c r="BZ54" s="377"/>
      <c r="CA54" s="377"/>
      <c r="CB54" s="377"/>
      <c r="CC54" s="376"/>
      <c r="CD54" s="380"/>
      <c r="CE54" s="377"/>
      <c r="CF54" s="377"/>
      <c r="CG54" s="377"/>
      <c r="CH54" s="376"/>
      <c r="CI54" s="380"/>
      <c r="CJ54" s="377"/>
      <c r="CK54" s="377"/>
      <c r="CL54" s="377"/>
      <c r="CM54" s="378"/>
    </row>
    <row r="55" spans="1:91" ht="25.5" customHeight="1">
      <c r="A55" s="416">
        <v>3948</v>
      </c>
      <c r="B55" s="417" t="s">
        <v>11</v>
      </c>
      <c r="C55" s="417" t="s">
        <v>44</v>
      </c>
      <c r="D55" s="417" t="s">
        <v>76</v>
      </c>
      <c r="E55" s="381" t="s">
        <v>53</v>
      </c>
      <c r="F55" s="417"/>
      <c r="G55" s="381" t="s">
        <v>464</v>
      </c>
      <c r="H55" s="384" t="s">
        <v>54</v>
      </c>
      <c r="I55" s="385"/>
      <c r="J55" s="381"/>
      <c r="K55" s="382"/>
      <c r="L55" s="418" t="s">
        <v>78</v>
      </c>
      <c r="M55" s="417" t="s">
        <v>77</v>
      </c>
      <c r="N55" s="417"/>
      <c r="O55" s="417" t="s">
        <v>77</v>
      </c>
      <c r="P55" s="419" t="s">
        <v>77</v>
      </c>
      <c r="Q55" s="418"/>
      <c r="R55" s="417"/>
      <c r="S55" s="417"/>
      <c r="T55" s="417"/>
      <c r="U55" s="420" t="s">
        <v>80</v>
      </c>
      <c r="V55" s="416"/>
      <c r="W55" s="381"/>
      <c r="X55" s="381"/>
      <c r="Y55" s="381"/>
      <c r="Z55" s="382"/>
      <c r="AA55" s="383"/>
      <c r="AB55" s="381"/>
      <c r="AC55" s="381"/>
      <c r="AD55" s="381"/>
      <c r="AE55" s="384"/>
      <c r="AF55" s="385"/>
      <c r="AG55" s="381"/>
      <c r="AH55" s="381"/>
      <c r="AI55" s="381"/>
      <c r="AJ55" s="382"/>
      <c r="AK55" s="383"/>
      <c r="AL55" s="381"/>
      <c r="AM55" s="381"/>
      <c r="AN55" s="381"/>
      <c r="AO55" s="384"/>
      <c r="AP55" s="385"/>
      <c r="AQ55" s="381"/>
      <c r="AR55" s="381"/>
      <c r="AS55" s="381"/>
      <c r="AT55" s="382"/>
      <c r="AU55" s="383"/>
      <c r="AV55" s="381"/>
      <c r="AW55" s="381"/>
      <c r="AX55" s="381"/>
      <c r="AY55" s="384"/>
      <c r="AZ55" s="385"/>
      <c r="BA55" s="381"/>
      <c r="BB55" s="381"/>
      <c r="BC55" s="381"/>
      <c r="BD55" s="382"/>
      <c r="BE55" s="383"/>
      <c r="BF55" s="381"/>
      <c r="BG55" s="381"/>
      <c r="BH55" s="381"/>
      <c r="BI55" s="384"/>
      <c r="BJ55" s="385"/>
      <c r="BK55" s="381"/>
      <c r="BL55" s="381"/>
      <c r="BM55" s="381"/>
      <c r="BN55" s="382"/>
      <c r="BO55" s="383"/>
      <c r="BP55" s="381"/>
      <c r="BQ55" s="381"/>
      <c r="BR55" s="381"/>
      <c r="BS55" s="384"/>
      <c r="BT55" s="385"/>
      <c r="BU55" s="381"/>
      <c r="BV55" s="381"/>
      <c r="BW55" s="381"/>
      <c r="BX55" s="382"/>
      <c r="BY55" s="383"/>
      <c r="BZ55" s="381"/>
      <c r="CA55" s="381"/>
      <c r="CB55" s="381"/>
      <c r="CC55" s="384"/>
      <c r="CD55" s="385"/>
      <c r="CE55" s="381"/>
      <c r="CF55" s="381"/>
      <c r="CG55" s="381"/>
      <c r="CH55" s="384"/>
      <c r="CI55" s="385"/>
      <c r="CJ55" s="381"/>
      <c r="CK55" s="381"/>
      <c r="CL55" s="381"/>
      <c r="CM55" s="382"/>
    </row>
    <row r="56" spans="1:91" ht="25.5" customHeight="1">
      <c r="A56" s="386">
        <v>3949</v>
      </c>
      <c r="B56" s="387" t="s">
        <v>11</v>
      </c>
      <c r="C56" s="387" t="s">
        <v>44</v>
      </c>
      <c r="D56" s="387" t="s">
        <v>76</v>
      </c>
      <c r="E56" s="372" t="s">
        <v>53</v>
      </c>
      <c r="F56" s="387"/>
      <c r="G56" s="372" t="s">
        <v>466</v>
      </c>
      <c r="H56" s="371" t="s">
        <v>54</v>
      </c>
      <c r="I56" s="375"/>
      <c r="J56" s="372"/>
      <c r="K56" s="373"/>
      <c r="L56" s="388" t="s">
        <v>78</v>
      </c>
      <c r="M56" s="387" t="s">
        <v>77</v>
      </c>
      <c r="N56" s="387"/>
      <c r="O56" s="387" t="s">
        <v>77</v>
      </c>
      <c r="P56" s="389" t="s">
        <v>77</v>
      </c>
      <c r="Q56" s="388"/>
      <c r="R56" s="387"/>
      <c r="S56" s="387"/>
      <c r="T56" s="387"/>
      <c r="U56" s="390" t="s">
        <v>80</v>
      </c>
      <c r="V56" s="386"/>
      <c r="W56" s="372"/>
      <c r="X56" s="372"/>
      <c r="Y56" s="372"/>
      <c r="Z56" s="373"/>
      <c r="AA56" s="374"/>
      <c r="AB56" s="372"/>
      <c r="AC56" s="372"/>
      <c r="AD56" s="372"/>
      <c r="AE56" s="371"/>
      <c r="AF56" s="375"/>
      <c r="AG56" s="372"/>
      <c r="AH56" s="372"/>
      <c r="AI56" s="372"/>
      <c r="AJ56" s="373"/>
      <c r="AK56" s="374"/>
      <c r="AL56" s="372"/>
      <c r="AM56" s="372"/>
      <c r="AN56" s="372"/>
      <c r="AO56" s="371"/>
      <c r="AP56" s="375"/>
      <c r="AQ56" s="372"/>
      <c r="AR56" s="372"/>
      <c r="AS56" s="372"/>
      <c r="AT56" s="373"/>
      <c r="AU56" s="374"/>
      <c r="AV56" s="372"/>
      <c r="AW56" s="372"/>
      <c r="AX56" s="372"/>
      <c r="AY56" s="371"/>
      <c r="AZ56" s="375"/>
      <c r="BA56" s="372"/>
      <c r="BB56" s="372"/>
      <c r="BC56" s="372"/>
      <c r="BD56" s="373"/>
      <c r="BE56" s="374"/>
      <c r="BF56" s="372"/>
      <c r="BG56" s="372"/>
      <c r="BH56" s="372"/>
      <c r="BI56" s="371"/>
      <c r="BJ56" s="375"/>
      <c r="BK56" s="372"/>
      <c r="BL56" s="372"/>
      <c r="BM56" s="372"/>
      <c r="BN56" s="373"/>
      <c r="BO56" s="374"/>
      <c r="BP56" s="372"/>
      <c r="BQ56" s="372"/>
      <c r="BR56" s="372"/>
      <c r="BS56" s="371"/>
      <c r="BT56" s="375"/>
      <c r="BU56" s="372"/>
      <c r="BV56" s="372"/>
      <c r="BW56" s="372"/>
      <c r="BX56" s="373"/>
      <c r="BY56" s="374"/>
      <c r="BZ56" s="372"/>
      <c r="CA56" s="372"/>
      <c r="CB56" s="372"/>
      <c r="CC56" s="371"/>
      <c r="CD56" s="375"/>
      <c r="CE56" s="372"/>
      <c r="CF56" s="372"/>
      <c r="CG56" s="372"/>
      <c r="CH56" s="371"/>
      <c r="CI56" s="375"/>
      <c r="CJ56" s="372"/>
      <c r="CK56" s="372"/>
      <c r="CL56" s="372"/>
      <c r="CM56" s="373"/>
    </row>
    <row r="57" spans="1:91" ht="25.5" customHeight="1">
      <c r="A57" s="386">
        <v>3950</v>
      </c>
      <c r="B57" s="387" t="s">
        <v>11</v>
      </c>
      <c r="C57" s="387" t="s">
        <v>44</v>
      </c>
      <c r="D57" s="387" t="s">
        <v>76</v>
      </c>
      <c r="E57" s="372" t="s">
        <v>53</v>
      </c>
      <c r="F57" s="387"/>
      <c r="G57" s="372" t="s">
        <v>468</v>
      </c>
      <c r="H57" s="371" t="s">
        <v>54</v>
      </c>
      <c r="I57" s="375"/>
      <c r="J57" s="372"/>
      <c r="K57" s="373"/>
      <c r="L57" s="388" t="s">
        <v>78</v>
      </c>
      <c r="M57" s="387" t="s">
        <v>77</v>
      </c>
      <c r="N57" s="387"/>
      <c r="O57" s="387" t="s">
        <v>77</v>
      </c>
      <c r="P57" s="389" t="s">
        <v>77</v>
      </c>
      <c r="Q57" s="388"/>
      <c r="R57" s="387"/>
      <c r="S57" s="387"/>
      <c r="T57" s="387"/>
      <c r="U57" s="390" t="s">
        <v>80</v>
      </c>
      <c r="V57" s="386"/>
      <c r="W57" s="372"/>
      <c r="X57" s="372"/>
      <c r="Y57" s="372"/>
      <c r="Z57" s="373"/>
      <c r="AA57" s="374"/>
      <c r="AB57" s="372"/>
      <c r="AC57" s="372"/>
      <c r="AD57" s="372"/>
      <c r="AE57" s="371"/>
      <c r="AF57" s="375"/>
      <c r="AG57" s="372"/>
      <c r="AH57" s="372"/>
      <c r="AI57" s="372"/>
      <c r="AJ57" s="373"/>
      <c r="AK57" s="374"/>
      <c r="AL57" s="372"/>
      <c r="AM57" s="372"/>
      <c r="AN57" s="372"/>
      <c r="AO57" s="371"/>
      <c r="AP57" s="375"/>
      <c r="AQ57" s="372"/>
      <c r="AR57" s="372"/>
      <c r="AS57" s="372"/>
      <c r="AT57" s="373"/>
      <c r="AU57" s="374"/>
      <c r="AV57" s="372"/>
      <c r="AW57" s="372"/>
      <c r="AX57" s="372"/>
      <c r="AY57" s="371"/>
      <c r="AZ57" s="375"/>
      <c r="BA57" s="372"/>
      <c r="BB57" s="372"/>
      <c r="BC57" s="372"/>
      <c r="BD57" s="373"/>
      <c r="BE57" s="374"/>
      <c r="BF57" s="372"/>
      <c r="BG57" s="372"/>
      <c r="BH57" s="372"/>
      <c r="BI57" s="371"/>
      <c r="BJ57" s="375"/>
      <c r="BK57" s="372"/>
      <c r="BL57" s="372"/>
      <c r="BM57" s="372"/>
      <c r="BN57" s="373"/>
      <c r="BO57" s="374"/>
      <c r="BP57" s="372"/>
      <c r="BQ57" s="372"/>
      <c r="BR57" s="372"/>
      <c r="BS57" s="371"/>
      <c r="BT57" s="375"/>
      <c r="BU57" s="372"/>
      <c r="BV57" s="372"/>
      <c r="BW57" s="372"/>
      <c r="BX57" s="373"/>
      <c r="BY57" s="374"/>
      <c r="BZ57" s="372"/>
      <c r="CA57" s="372"/>
      <c r="CB57" s="372"/>
      <c r="CC57" s="371"/>
      <c r="CD57" s="375"/>
      <c r="CE57" s="372"/>
      <c r="CF57" s="372"/>
      <c r="CG57" s="372"/>
      <c r="CH57" s="371"/>
      <c r="CI57" s="375"/>
      <c r="CJ57" s="372"/>
      <c r="CK57" s="372"/>
      <c r="CL57" s="372"/>
      <c r="CM57" s="373"/>
    </row>
    <row r="58" spans="1:91" ht="25.5" customHeight="1">
      <c r="A58" s="386">
        <v>3951</v>
      </c>
      <c r="B58" s="387" t="s">
        <v>11</v>
      </c>
      <c r="C58" s="387" t="s">
        <v>44</v>
      </c>
      <c r="D58" s="387" t="s">
        <v>76</v>
      </c>
      <c r="E58" s="372" t="s">
        <v>53</v>
      </c>
      <c r="F58" s="387"/>
      <c r="G58" s="372" t="s">
        <v>470</v>
      </c>
      <c r="H58" s="371" t="s">
        <v>54</v>
      </c>
      <c r="I58" s="375"/>
      <c r="J58" s="372"/>
      <c r="K58" s="373"/>
      <c r="L58" s="388" t="s">
        <v>78</v>
      </c>
      <c r="M58" s="387" t="s">
        <v>77</v>
      </c>
      <c r="N58" s="387"/>
      <c r="O58" s="387" t="s">
        <v>77</v>
      </c>
      <c r="P58" s="389" t="s">
        <v>77</v>
      </c>
      <c r="Q58" s="388"/>
      <c r="R58" s="387"/>
      <c r="S58" s="387"/>
      <c r="T58" s="387"/>
      <c r="U58" s="390" t="s">
        <v>80</v>
      </c>
      <c r="V58" s="386"/>
      <c r="W58" s="372"/>
      <c r="X58" s="372"/>
      <c r="Y58" s="372"/>
      <c r="Z58" s="373"/>
      <c r="AA58" s="374"/>
      <c r="AB58" s="372"/>
      <c r="AC58" s="372"/>
      <c r="AD58" s="372"/>
      <c r="AE58" s="371"/>
      <c r="AF58" s="375"/>
      <c r="AG58" s="372"/>
      <c r="AH58" s="372"/>
      <c r="AI58" s="372"/>
      <c r="AJ58" s="373"/>
      <c r="AK58" s="374"/>
      <c r="AL58" s="372"/>
      <c r="AM58" s="372"/>
      <c r="AN58" s="372"/>
      <c r="AO58" s="371"/>
      <c r="AP58" s="375"/>
      <c r="AQ58" s="372"/>
      <c r="AR58" s="372"/>
      <c r="AS58" s="372"/>
      <c r="AT58" s="373"/>
      <c r="AU58" s="374"/>
      <c r="AV58" s="372"/>
      <c r="AW58" s="372"/>
      <c r="AX58" s="372"/>
      <c r="AY58" s="371"/>
      <c r="AZ58" s="375"/>
      <c r="BA58" s="372"/>
      <c r="BB58" s="372"/>
      <c r="BC58" s="372"/>
      <c r="BD58" s="373"/>
      <c r="BE58" s="374"/>
      <c r="BF58" s="372"/>
      <c r="BG58" s="372"/>
      <c r="BH58" s="372"/>
      <c r="BI58" s="371"/>
      <c r="BJ58" s="375"/>
      <c r="BK58" s="372"/>
      <c r="BL58" s="372"/>
      <c r="BM58" s="372"/>
      <c r="BN58" s="373"/>
      <c r="BO58" s="374"/>
      <c r="BP58" s="372"/>
      <c r="BQ58" s="372"/>
      <c r="BR58" s="372"/>
      <c r="BS58" s="371"/>
      <c r="BT58" s="375"/>
      <c r="BU58" s="372"/>
      <c r="BV58" s="372"/>
      <c r="BW58" s="372"/>
      <c r="BX58" s="373"/>
      <c r="BY58" s="374"/>
      <c r="BZ58" s="372"/>
      <c r="CA58" s="372"/>
      <c r="CB58" s="372"/>
      <c r="CC58" s="371"/>
      <c r="CD58" s="375"/>
      <c r="CE58" s="372"/>
      <c r="CF58" s="372"/>
      <c r="CG58" s="372"/>
      <c r="CH58" s="371"/>
      <c r="CI58" s="375"/>
      <c r="CJ58" s="372"/>
      <c r="CK58" s="372"/>
      <c r="CL58" s="372"/>
      <c r="CM58" s="373"/>
    </row>
    <row r="59" spans="1:91" ht="25.5" customHeight="1" thickBot="1">
      <c r="A59" s="411">
        <v>3952</v>
      </c>
      <c r="B59" s="412" t="s">
        <v>11</v>
      </c>
      <c r="C59" s="412" t="s">
        <v>44</v>
      </c>
      <c r="D59" s="412" t="s">
        <v>76</v>
      </c>
      <c r="E59" s="377" t="s">
        <v>53</v>
      </c>
      <c r="F59" s="412"/>
      <c r="G59" s="377" t="s">
        <v>472</v>
      </c>
      <c r="H59" s="376" t="s">
        <v>54</v>
      </c>
      <c r="I59" s="380"/>
      <c r="J59" s="377"/>
      <c r="K59" s="378"/>
      <c r="L59" s="413" t="s">
        <v>78</v>
      </c>
      <c r="M59" s="412" t="s">
        <v>77</v>
      </c>
      <c r="N59" s="412"/>
      <c r="O59" s="412" t="s">
        <v>77</v>
      </c>
      <c r="P59" s="414" t="s">
        <v>77</v>
      </c>
      <c r="Q59" s="413"/>
      <c r="R59" s="412"/>
      <c r="S59" s="412"/>
      <c r="T59" s="412"/>
      <c r="U59" s="415" t="s">
        <v>80</v>
      </c>
      <c r="V59" s="411"/>
      <c r="W59" s="377"/>
      <c r="X59" s="377"/>
      <c r="Y59" s="377"/>
      <c r="Z59" s="378"/>
      <c r="AA59" s="379"/>
      <c r="AB59" s="377"/>
      <c r="AC59" s="377"/>
      <c r="AD59" s="377"/>
      <c r="AE59" s="376"/>
      <c r="AF59" s="380"/>
      <c r="AG59" s="377"/>
      <c r="AH59" s="377"/>
      <c r="AI59" s="377"/>
      <c r="AJ59" s="378"/>
      <c r="AK59" s="379"/>
      <c r="AL59" s="377"/>
      <c r="AM59" s="377"/>
      <c r="AN59" s="377"/>
      <c r="AO59" s="376"/>
      <c r="AP59" s="380"/>
      <c r="AQ59" s="377"/>
      <c r="AR59" s="377"/>
      <c r="AS59" s="377"/>
      <c r="AT59" s="378"/>
      <c r="AU59" s="379"/>
      <c r="AV59" s="377"/>
      <c r="AW59" s="377"/>
      <c r="AX59" s="377"/>
      <c r="AY59" s="376"/>
      <c r="AZ59" s="380"/>
      <c r="BA59" s="377"/>
      <c r="BB59" s="377"/>
      <c r="BC59" s="377"/>
      <c r="BD59" s="378"/>
      <c r="BE59" s="379"/>
      <c r="BF59" s="377"/>
      <c r="BG59" s="377"/>
      <c r="BH59" s="377"/>
      <c r="BI59" s="376"/>
      <c r="BJ59" s="380"/>
      <c r="BK59" s="377"/>
      <c r="BL59" s="377"/>
      <c r="BM59" s="377"/>
      <c r="BN59" s="378"/>
      <c r="BO59" s="379"/>
      <c r="BP59" s="377"/>
      <c r="BQ59" s="377"/>
      <c r="BR59" s="377"/>
      <c r="BS59" s="376"/>
      <c r="BT59" s="380"/>
      <c r="BU59" s="377"/>
      <c r="BV59" s="377"/>
      <c r="BW59" s="377"/>
      <c r="BX59" s="378"/>
      <c r="BY59" s="379"/>
      <c r="BZ59" s="377"/>
      <c r="CA59" s="377"/>
      <c r="CB59" s="377"/>
      <c r="CC59" s="376"/>
      <c r="CD59" s="380"/>
      <c r="CE59" s="377"/>
      <c r="CF59" s="377"/>
      <c r="CG59" s="377"/>
      <c r="CH59" s="376"/>
      <c r="CI59" s="380"/>
      <c r="CJ59" s="377"/>
      <c r="CK59" s="377"/>
      <c r="CL59" s="377"/>
      <c r="CM59" s="378"/>
    </row>
    <row r="60" spans="1:91" ht="15" customHeight="1" thickBot="1">
      <c r="A60" s="48"/>
      <c r="B60" s="179"/>
      <c r="C60" s="180"/>
      <c r="D60" s="181"/>
      <c r="E60" s="17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50"/>
      <c r="CH60" s="50"/>
      <c r="CI60" s="50"/>
      <c r="CJ60" s="50"/>
      <c r="CK60" s="50"/>
      <c r="CL60" s="50"/>
      <c r="CM60" s="51"/>
    </row>
    <row r="61" spans="1:91" ht="25.5" customHeight="1" thickBot="1">
      <c r="A61" s="275" t="s">
        <v>31</v>
      </c>
      <c r="B61" s="276"/>
      <c r="C61" s="277"/>
      <c r="D61" s="192"/>
      <c r="E61" s="278" t="s">
        <v>32</v>
      </c>
      <c r="F61" s="276"/>
      <c r="G61" s="277"/>
      <c r="H61" s="193" t="s">
        <v>8</v>
      </c>
      <c r="I61" s="192" t="s">
        <v>9</v>
      </c>
      <c r="J61" s="192" t="s">
        <v>33</v>
      </c>
      <c r="K61" s="192" t="s">
        <v>10</v>
      </c>
      <c r="L61" s="291"/>
      <c r="M61" s="292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  <c r="AA61" s="292"/>
      <c r="AB61" s="292"/>
      <c r="AC61" s="292"/>
      <c r="AD61" s="292"/>
      <c r="AE61" s="292"/>
      <c r="AF61" s="292"/>
      <c r="AG61" s="292"/>
      <c r="AH61" s="292"/>
      <c r="AI61" s="292"/>
      <c r="AJ61" s="292"/>
      <c r="AK61" s="292"/>
      <c r="AL61" s="292"/>
      <c r="AM61" s="292"/>
      <c r="AN61" s="292"/>
      <c r="AO61" s="292"/>
      <c r="AP61" s="292"/>
      <c r="AQ61" s="292"/>
      <c r="AR61" s="292"/>
      <c r="AS61" s="292"/>
      <c r="AT61" s="292"/>
      <c r="AU61" s="292"/>
      <c r="AV61" s="292"/>
      <c r="AW61" s="292"/>
      <c r="AX61" s="292"/>
      <c r="AY61" s="292"/>
      <c r="AZ61" s="292"/>
      <c r="BA61" s="292"/>
      <c r="BB61" s="292"/>
      <c r="BC61" s="292"/>
      <c r="BD61" s="292"/>
      <c r="BE61" s="293"/>
      <c r="BF61" s="300"/>
      <c r="BG61" s="300"/>
      <c r="BH61" s="300"/>
      <c r="BI61" s="300"/>
      <c r="BJ61" s="300"/>
      <c r="BK61" s="300"/>
      <c r="BL61" s="300"/>
      <c r="BM61" s="300"/>
      <c r="BN61" s="300"/>
      <c r="BO61" s="300"/>
      <c r="BP61" s="300"/>
      <c r="BQ61" s="300"/>
      <c r="BR61" s="300"/>
      <c r="BS61" s="300"/>
      <c r="BT61" s="300"/>
      <c r="BU61" s="301"/>
      <c r="BV61" s="291"/>
      <c r="BW61" s="247"/>
      <c r="BX61" s="247"/>
      <c r="BY61" s="247"/>
      <c r="BZ61" s="247"/>
      <c r="CA61" s="247"/>
      <c r="CB61" s="247"/>
      <c r="CC61" s="247"/>
      <c r="CD61" s="247"/>
      <c r="CE61" s="247"/>
      <c r="CF61" s="247"/>
      <c r="CG61" s="247"/>
      <c r="CH61" s="247"/>
      <c r="CI61" s="247"/>
      <c r="CJ61" s="247"/>
      <c r="CK61" s="247"/>
      <c r="CL61" s="247"/>
      <c r="CM61" s="248"/>
    </row>
    <row r="62" spans="1:91" ht="25.5" customHeight="1">
      <c r="A62" s="288"/>
      <c r="B62" s="289"/>
      <c r="C62" s="289"/>
      <c r="D62" s="52"/>
      <c r="E62" s="290"/>
      <c r="F62" s="290"/>
      <c r="G62" s="290"/>
      <c r="H62" s="53"/>
      <c r="I62" s="53"/>
      <c r="J62" s="53"/>
      <c r="K62" s="54"/>
      <c r="L62" s="294"/>
      <c r="M62" s="295"/>
      <c r="N62" s="295"/>
      <c r="O62" s="295"/>
      <c r="P62" s="295"/>
      <c r="Q62" s="295"/>
      <c r="R62" s="295"/>
      <c r="S62" s="295"/>
      <c r="T62" s="295"/>
      <c r="U62" s="295"/>
      <c r="V62" s="295"/>
      <c r="W62" s="295"/>
      <c r="X62" s="295"/>
      <c r="Y62" s="295"/>
      <c r="Z62" s="295"/>
      <c r="AA62" s="295"/>
      <c r="AB62" s="295"/>
      <c r="AC62" s="295"/>
      <c r="AD62" s="295"/>
      <c r="AE62" s="295"/>
      <c r="AF62" s="295"/>
      <c r="AG62" s="295"/>
      <c r="AH62" s="295"/>
      <c r="AI62" s="295"/>
      <c r="AJ62" s="295"/>
      <c r="AK62" s="295"/>
      <c r="AL62" s="295"/>
      <c r="AM62" s="295"/>
      <c r="AN62" s="295"/>
      <c r="AO62" s="295"/>
      <c r="AP62" s="295"/>
      <c r="AQ62" s="295"/>
      <c r="AR62" s="295"/>
      <c r="AS62" s="295"/>
      <c r="AT62" s="295"/>
      <c r="AU62" s="295"/>
      <c r="AV62" s="295"/>
      <c r="AW62" s="295"/>
      <c r="AX62" s="295"/>
      <c r="AY62" s="295"/>
      <c r="AZ62" s="295"/>
      <c r="BA62" s="295"/>
      <c r="BB62" s="295"/>
      <c r="BC62" s="295"/>
      <c r="BD62" s="295"/>
      <c r="BE62" s="296"/>
      <c r="BF62" s="302"/>
      <c r="BG62" s="302"/>
      <c r="BH62" s="302"/>
      <c r="BI62" s="302"/>
      <c r="BJ62" s="302"/>
      <c r="BK62" s="302"/>
      <c r="BL62" s="302"/>
      <c r="BM62" s="302"/>
      <c r="BN62" s="302"/>
      <c r="BO62" s="302"/>
      <c r="BP62" s="302"/>
      <c r="BQ62" s="302"/>
      <c r="BR62" s="302"/>
      <c r="BS62" s="302"/>
      <c r="BT62" s="302"/>
      <c r="BU62" s="303"/>
      <c r="BV62" s="306"/>
      <c r="BW62" s="249"/>
      <c r="BX62" s="249"/>
      <c r="BY62" s="249"/>
      <c r="BZ62" s="249"/>
      <c r="CA62" s="249"/>
      <c r="CB62" s="249"/>
      <c r="CC62" s="249"/>
      <c r="CD62" s="249"/>
      <c r="CE62" s="249"/>
      <c r="CF62" s="249"/>
      <c r="CG62" s="249"/>
      <c r="CH62" s="249"/>
      <c r="CI62" s="249"/>
      <c r="CJ62" s="249"/>
      <c r="CK62" s="249"/>
      <c r="CL62" s="249"/>
      <c r="CM62" s="250"/>
    </row>
    <row r="63" spans="1:91" ht="25.5" customHeight="1" thickBot="1">
      <c r="A63" s="288"/>
      <c r="B63" s="289"/>
      <c r="C63" s="289"/>
      <c r="D63" s="52"/>
      <c r="E63" s="290"/>
      <c r="F63" s="290"/>
      <c r="G63" s="290"/>
      <c r="H63" s="53"/>
      <c r="I63" s="53"/>
      <c r="J63" s="53"/>
      <c r="K63" s="54"/>
      <c r="L63" s="294"/>
      <c r="M63" s="295"/>
      <c r="N63" s="295"/>
      <c r="O63" s="295"/>
      <c r="P63" s="295"/>
      <c r="Q63" s="295"/>
      <c r="R63" s="295"/>
      <c r="S63" s="295"/>
      <c r="T63" s="295"/>
      <c r="U63" s="295"/>
      <c r="V63" s="295"/>
      <c r="W63" s="295"/>
      <c r="X63" s="295"/>
      <c r="Y63" s="295"/>
      <c r="Z63" s="295"/>
      <c r="AA63" s="295"/>
      <c r="AB63" s="295"/>
      <c r="AC63" s="295"/>
      <c r="AD63" s="295"/>
      <c r="AE63" s="295"/>
      <c r="AF63" s="295"/>
      <c r="AG63" s="295"/>
      <c r="AH63" s="295"/>
      <c r="AI63" s="295"/>
      <c r="AJ63" s="295"/>
      <c r="AK63" s="295"/>
      <c r="AL63" s="295"/>
      <c r="AM63" s="295"/>
      <c r="AN63" s="295"/>
      <c r="AO63" s="295"/>
      <c r="AP63" s="295"/>
      <c r="AQ63" s="295"/>
      <c r="AR63" s="295"/>
      <c r="AS63" s="295"/>
      <c r="AT63" s="295"/>
      <c r="AU63" s="295"/>
      <c r="AV63" s="295"/>
      <c r="AW63" s="295"/>
      <c r="AX63" s="295"/>
      <c r="AY63" s="295"/>
      <c r="AZ63" s="295"/>
      <c r="BA63" s="295"/>
      <c r="BB63" s="295"/>
      <c r="BC63" s="295"/>
      <c r="BD63" s="295"/>
      <c r="BE63" s="296"/>
      <c r="BF63" s="304"/>
      <c r="BG63" s="304"/>
      <c r="BH63" s="304"/>
      <c r="BI63" s="304"/>
      <c r="BJ63" s="304"/>
      <c r="BK63" s="304"/>
      <c r="BL63" s="304"/>
      <c r="BM63" s="304"/>
      <c r="BN63" s="304"/>
      <c r="BO63" s="304"/>
      <c r="BP63" s="304"/>
      <c r="BQ63" s="304"/>
      <c r="BR63" s="304"/>
      <c r="BS63" s="304"/>
      <c r="BT63" s="304"/>
      <c r="BU63" s="305"/>
      <c r="BV63" s="263"/>
      <c r="BW63" s="251"/>
      <c r="BX63" s="251"/>
      <c r="BY63" s="251"/>
      <c r="BZ63" s="251"/>
      <c r="CA63" s="251"/>
      <c r="CB63" s="251"/>
      <c r="CC63" s="251"/>
      <c r="CD63" s="251"/>
      <c r="CE63" s="251"/>
      <c r="CF63" s="251"/>
      <c r="CG63" s="251"/>
      <c r="CH63" s="251"/>
      <c r="CI63" s="251"/>
      <c r="CJ63" s="251"/>
      <c r="CK63" s="251"/>
      <c r="CL63" s="251"/>
      <c r="CM63" s="252"/>
    </row>
    <row r="64" spans="1:91" ht="27" customHeight="1">
      <c r="A64" s="288"/>
      <c r="B64" s="289"/>
      <c r="C64" s="289"/>
      <c r="D64" s="52"/>
      <c r="E64" s="290"/>
      <c r="F64" s="290"/>
      <c r="G64" s="290"/>
      <c r="H64" s="53"/>
      <c r="I64" s="53"/>
      <c r="J64" s="53"/>
      <c r="K64" s="54"/>
      <c r="L64" s="294"/>
      <c r="M64" s="295"/>
      <c r="N64" s="295"/>
      <c r="O64" s="295"/>
      <c r="P64" s="295"/>
      <c r="Q64" s="295"/>
      <c r="R64" s="295"/>
      <c r="S64" s="295"/>
      <c r="T64" s="295"/>
      <c r="U64" s="295"/>
      <c r="V64" s="295"/>
      <c r="W64" s="295"/>
      <c r="X64" s="295"/>
      <c r="Y64" s="295"/>
      <c r="Z64" s="295"/>
      <c r="AA64" s="295"/>
      <c r="AB64" s="295"/>
      <c r="AC64" s="295"/>
      <c r="AD64" s="295"/>
      <c r="AE64" s="295"/>
      <c r="AF64" s="295"/>
      <c r="AG64" s="295"/>
      <c r="AH64" s="295"/>
      <c r="AI64" s="295"/>
      <c r="AJ64" s="295"/>
      <c r="AK64" s="295"/>
      <c r="AL64" s="295"/>
      <c r="AM64" s="295"/>
      <c r="AN64" s="295"/>
      <c r="AO64" s="295"/>
      <c r="AP64" s="295"/>
      <c r="AQ64" s="295"/>
      <c r="AR64" s="295"/>
      <c r="AS64" s="295"/>
      <c r="AT64" s="295"/>
      <c r="AU64" s="295"/>
      <c r="AV64" s="295"/>
      <c r="AW64" s="295"/>
      <c r="AX64" s="295"/>
      <c r="AY64" s="295"/>
      <c r="AZ64" s="295"/>
      <c r="BA64" s="295"/>
      <c r="BB64" s="295"/>
      <c r="BC64" s="295"/>
      <c r="BD64" s="295"/>
      <c r="BE64" s="296"/>
      <c r="BF64" s="247" t="s">
        <v>89</v>
      </c>
      <c r="BG64" s="247"/>
      <c r="BH64" s="247"/>
      <c r="BI64" s="247"/>
      <c r="BJ64" s="247"/>
      <c r="BK64" s="247"/>
      <c r="BL64" s="247"/>
      <c r="BM64" s="247"/>
      <c r="BN64" s="247"/>
      <c r="BO64" s="247"/>
      <c r="BP64" s="247"/>
      <c r="BQ64" s="247"/>
      <c r="BR64" s="247"/>
      <c r="BS64" s="247"/>
      <c r="BT64" s="247"/>
      <c r="BU64" s="248"/>
      <c r="BV64" s="279" t="s">
        <v>90</v>
      </c>
      <c r="BW64" s="280"/>
      <c r="BX64" s="280"/>
      <c r="BY64" s="280"/>
      <c r="BZ64" s="280"/>
      <c r="CA64" s="280"/>
      <c r="CB64" s="280"/>
      <c r="CC64" s="280"/>
      <c r="CD64" s="280"/>
      <c r="CE64" s="280"/>
      <c r="CF64" s="280"/>
      <c r="CG64" s="280"/>
      <c r="CH64" s="280"/>
      <c r="CI64" s="280"/>
      <c r="CJ64" s="280"/>
      <c r="CK64" s="280"/>
      <c r="CL64" s="280"/>
      <c r="CM64" s="281"/>
    </row>
    <row r="65" spans="1:91" ht="25.5" customHeight="1">
      <c r="A65" s="288"/>
      <c r="B65" s="289"/>
      <c r="C65" s="289"/>
      <c r="D65" s="52"/>
      <c r="E65" s="290"/>
      <c r="F65" s="290"/>
      <c r="G65" s="290"/>
      <c r="H65" s="53"/>
      <c r="I65" s="53"/>
      <c r="J65" s="53"/>
      <c r="K65" s="54"/>
      <c r="L65" s="294"/>
      <c r="M65" s="295"/>
      <c r="N65" s="295"/>
      <c r="O65" s="295"/>
      <c r="P65" s="295"/>
      <c r="Q65" s="295"/>
      <c r="R65" s="295"/>
      <c r="S65" s="295"/>
      <c r="T65" s="295"/>
      <c r="U65" s="295"/>
      <c r="V65" s="295"/>
      <c r="W65" s="295"/>
      <c r="X65" s="295"/>
      <c r="Y65" s="295"/>
      <c r="Z65" s="295"/>
      <c r="AA65" s="295"/>
      <c r="AB65" s="295"/>
      <c r="AC65" s="295"/>
      <c r="AD65" s="295"/>
      <c r="AE65" s="295"/>
      <c r="AF65" s="295"/>
      <c r="AG65" s="295"/>
      <c r="AH65" s="295"/>
      <c r="AI65" s="295"/>
      <c r="AJ65" s="295"/>
      <c r="AK65" s="295"/>
      <c r="AL65" s="295"/>
      <c r="AM65" s="295"/>
      <c r="AN65" s="295"/>
      <c r="AO65" s="295"/>
      <c r="AP65" s="295"/>
      <c r="AQ65" s="295"/>
      <c r="AR65" s="295"/>
      <c r="AS65" s="295"/>
      <c r="AT65" s="295"/>
      <c r="AU65" s="295"/>
      <c r="AV65" s="295"/>
      <c r="AW65" s="295"/>
      <c r="AX65" s="295"/>
      <c r="AY65" s="295"/>
      <c r="AZ65" s="295"/>
      <c r="BA65" s="295"/>
      <c r="BB65" s="295"/>
      <c r="BC65" s="295"/>
      <c r="BD65" s="295"/>
      <c r="BE65" s="296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50"/>
      <c r="BV65" s="282"/>
      <c r="BW65" s="283"/>
      <c r="BX65" s="283"/>
      <c r="BY65" s="283"/>
      <c r="BZ65" s="283"/>
      <c r="CA65" s="283"/>
      <c r="CB65" s="283"/>
      <c r="CC65" s="283"/>
      <c r="CD65" s="283"/>
      <c r="CE65" s="283"/>
      <c r="CF65" s="283"/>
      <c r="CG65" s="283"/>
      <c r="CH65" s="283"/>
      <c r="CI65" s="283"/>
      <c r="CJ65" s="283"/>
      <c r="CK65" s="283"/>
      <c r="CL65" s="283"/>
      <c r="CM65" s="284"/>
    </row>
    <row r="66" spans="1:91" ht="25.5" customHeight="1" thickBot="1">
      <c r="A66" s="288"/>
      <c r="B66" s="289"/>
      <c r="C66" s="289"/>
      <c r="D66" s="52"/>
      <c r="E66" s="290"/>
      <c r="F66" s="290"/>
      <c r="G66" s="290"/>
      <c r="H66" s="53"/>
      <c r="I66" s="53"/>
      <c r="J66" s="53"/>
      <c r="K66" s="54"/>
      <c r="L66" s="294"/>
      <c r="M66" s="295"/>
      <c r="N66" s="295"/>
      <c r="O66" s="295"/>
      <c r="P66" s="295"/>
      <c r="Q66" s="295"/>
      <c r="R66" s="295"/>
      <c r="S66" s="295"/>
      <c r="T66" s="295"/>
      <c r="U66" s="295"/>
      <c r="V66" s="295"/>
      <c r="W66" s="295"/>
      <c r="X66" s="295"/>
      <c r="Y66" s="295"/>
      <c r="Z66" s="295"/>
      <c r="AA66" s="295"/>
      <c r="AB66" s="295"/>
      <c r="AC66" s="295"/>
      <c r="AD66" s="295"/>
      <c r="AE66" s="295"/>
      <c r="AF66" s="295"/>
      <c r="AG66" s="295"/>
      <c r="AH66" s="295"/>
      <c r="AI66" s="295"/>
      <c r="AJ66" s="295"/>
      <c r="AK66" s="295"/>
      <c r="AL66" s="295"/>
      <c r="AM66" s="295"/>
      <c r="AN66" s="295"/>
      <c r="AO66" s="295"/>
      <c r="AP66" s="295"/>
      <c r="AQ66" s="295"/>
      <c r="AR66" s="295"/>
      <c r="AS66" s="295"/>
      <c r="AT66" s="295"/>
      <c r="AU66" s="295"/>
      <c r="AV66" s="295"/>
      <c r="AW66" s="295"/>
      <c r="AX66" s="295"/>
      <c r="AY66" s="295"/>
      <c r="AZ66" s="295"/>
      <c r="BA66" s="295"/>
      <c r="BB66" s="295"/>
      <c r="BC66" s="295"/>
      <c r="BD66" s="295"/>
      <c r="BE66" s="296"/>
      <c r="BF66" s="251"/>
      <c r="BG66" s="251"/>
      <c r="BH66" s="251"/>
      <c r="BI66" s="251"/>
      <c r="BJ66" s="251"/>
      <c r="BK66" s="251"/>
      <c r="BL66" s="251"/>
      <c r="BM66" s="251"/>
      <c r="BN66" s="251"/>
      <c r="BO66" s="251"/>
      <c r="BP66" s="251"/>
      <c r="BQ66" s="251"/>
      <c r="BR66" s="251"/>
      <c r="BS66" s="251"/>
      <c r="BT66" s="251"/>
      <c r="BU66" s="252"/>
      <c r="BV66" s="285"/>
      <c r="BW66" s="286"/>
      <c r="BX66" s="286"/>
      <c r="BY66" s="286"/>
      <c r="BZ66" s="286"/>
      <c r="CA66" s="286"/>
      <c r="CB66" s="286"/>
      <c r="CC66" s="286"/>
      <c r="CD66" s="286"/>
      <c r="CE66" s="286"/>
      <c r="CF66" s="286"/>
      <c r="CG66" s="286"/>
      <c r="CH66" s="286"/>
      <c r="CI66" s="286"/>
      <c r="CJ66" s="286"/>
      <c r="CK66" s="286"/>
      <c r="CL66" s="286"/>
      <c r="CM66" s="287"/>
    </row>
    <row r="67" spans="1:91" ht="25.5" customHeight="1">
      <c r="A67" s="255" t="e">
        <f>IF(#REF!&lt;&gt;"",#REF!,"")</f>
        <v>#REF!</v>
      </c>
      <c r="B67" s="256"/>
      <c r="C67" s="256"/>
      <c r="D67" s="185"/>
      <c r="E67" s="257" t="e">
        <f>IF(#REF!&lt;&gt;"",#REF!,"")</f>
        <v>#REF!</v>
      </c>
      <c r="F67" s="257"/>
      <c r="G67" s="257"/>
      <c r="H67" s="186" t="e">
        <f>IF(#REF!&lt;&gt;"",#REF!,"")</f>
        <v>#REF!</v>
      </c>
      <c r="I67" s="186" t="e">
        <f>IF(#REF!&lt;&gt;"",#REF!,"")</f>
        <v>#REF!</v>
      </c>
      <c r="J67" s="186" t="e">
        <f>IF(#REF!&lt;&gt;"",#REF!,"")</f>
        <v>#REF!</v>
      </c>
      <c r="K67" s="187" t="e">
        <f>IF(#REF!&lt;&gt;"",#REF!,"")</f>
        <v>#REF!</v>
      </c>
      <c r="L67" s="294"/>
      <c r="M67" s="295"/>
      <c r="N67" s="295"/>
      <c r="O67" s="295"/>
      <c r="P67" s="295"/>
      <c r="Q67" s="295"/>
      <c r="R67" s="295"/>
      <c r="S67" s="295"/>
      <c r="T67" s="295"/>
      <c r="U67" s="295"/>
      <c r="V67" s="295"/>
      <c r="W67" s="295"/>
      <c r="X67" s="295"/>
      <c r="Y67" s="295"/>
      <c r="Z67" s="295"/>
      <c r="AA67" s="295"/>
      <c r="AB67" s="295"/>
      <c r="AC67" s="295"/>
      <c r="AD67" s="295"/>
      <c r="AE67" s="295"/>
      <c r="AF67" s="295"/>
      <c r="AG67" s="295"/>
      <c r="AH67" s="295"/>
      <c r="AI67" s="295"/>
      <c r="AJ67" s="295"/>
      <c r="AK67" s="295"/>
      <c r="AL67" s="295"/>
      <c r="AM67" s="295"/>
      <c r="AN67" s="295"/>
      <c r="AO67" s="295"/>
      <c r="AP67" s="295"/>
      <c r="AQ67" s="295"/>
      <c r="AR67" s="295"/>
      <c r="AS67" s="295"/>
      <c r="AT67" s="295"/>
      <c r="AU67" s="295"/>
      <c r="AV67" s="295"/>
      <c r="AW67" s="295"/>
      <c r="AX67" s="295"/>
      <c r="AY67" s="295"/>
      <c r="AZ67" s="295"/>
      <c r="BA67" s="295"/>
      <c r="BB67" s="295"/>
      <c r="BC67" s="295"/>
      <c r="BD67" s="295"/>
      <c r="BE67" s="296"/>
      <c r="BF67" s="272" t="s">
        <v>34</v>
      </c>
      <c r="BG67" s="272"/>
      <c r="BH67" s="272"/>
      <c r="BI67" s="272"/>
      <c r="BJ67" s="272"/>
      <c r="BK67" s="272"/>
      <c r="BL67" s="272"/>
      <c r="BM67" s="272"/>
      <c r="BN67" s="272"/>
      <c r="BO67" s="272"/>
      <c r="BP67" s="272"/>
      <c r="BQ67" s="272"/>
      <c r="BR67" s="272"/>
      <c r="BS67" s="272"/>
      <c r="BT67" s="272"/>
      <c r="BU67" s="254"/>
      <c r="BV67" s="273" t="s">
        <v>35</v>
      </c>
      <c r="BW67" s="272"/>
      <c r="BX67" s="274"/>
      <c r="BY67" s="253" t="s">
        <v>36</v>
      </c>
      <c r="BZ67" s="272"/>
      <c r="CA67" s="272"/>
      <c r="CB67" s="272"/>
      <c r="CC67" s="272"/>
      <c r="CD67" s="272"/>
      <c r="CE67" s="272"/>
      <c r="CF67" s="272"/>
      <c r="CG67" s="272"/>
      <c r="CH67" s="272"/>
      <c r="CI67" s="272"/>
      <c r="CJ67" s="272"/>
      <c r="CK67" s="274"/>
      <c r="CL67" s="253" t="s">
        <v>37</v>
      </c>
      <c r="CM67" s="254"/>
    </row>
    <row r="68" spans="1:91" ht="25.5" customHeight="1">
      <c r="A68" s="255" t="e">
        <f>IF(#REF!&lt;&gt;"",#REF!,"")</f>
        <v>#REF!</v>
      </c>
      <c r="B68" s="256"/>
      <c r="C68" s="256"/>
      <c r="D68" s="185"/>
      <c r="E68" s="257" t="e">
        <f>IF(#REF!&lt;&gt;"",#REF!,"")</f>
        <v>#REF!</v>
      </c>
      <c r="F68" s="257"/>
      <c r="G68" s="257"/>
      <c r="H68" s="186" t="e">
        <f>IF(#REF!&lt;&gt;"",#REF!,"")</f>
        <v>#REF!</v>
      </c>
      <c r="I68" s="186" t="e">
        <f>IF(#REF!&lt;&gt;"",#REF!,"")</f>
        <v>#REF!</v>
      </c>
      <c r="J68" s="186" t="e">
        <f>IF(#REF!&lt;&gt;"",#REF!,"")</f>
        <v>#REF!</v>
      </c>
      <c r="K68" s="187" t="e">
        <f>IF(#REF!&lt;&gt;"",#REF!,"")</f>
        <v>#REF!</v>
      </c>
      <c r="L68" s="294"/>
      <c r="M68" s="295"/>
      <c r="N68" s="295"/>
      <c r="O68" s="295"/>
      <c r="P68" s="295"/>
      <c r="Q68" s="295"/>
      <c r="R68" s="295"/>
      <c r="S68" s="295"/>
      <c r="T68" s="295"/>
      <c r="U68" s="295"/>
      <c r="V68" s="295"/>
      <c r="W68" s="295"/>
      <c r="X68" s="295"/>
      <c r="Y68" s="295"/>
      <c r="Z68" s="295"/>
      <c r="AA68" s="295"/>
      <c r="AB68" s="295"/>
      <c r="AC68" s="295"/>
      <c r="AD68" s="295"/>
      <c r="AE68" s="295"/>
      <c r="AF68" s="295"/>
      <c r="AG68" s="295"/>
      <c r="AH68" s="295"/>
      <c r="AI68" s="295"/>
      <c r="AJ68" s="295"/>
      <c r="AK68" s="295"/>
      <c r="AL68" s="295"/>
      <c r="AM68" s="295"/>
      <c r="AN68" s="295"/>
      <c r="AO68" s="295"/>
      <c r="AP68" s="295"/>
      <c r="AQ68" s="295"/>
      <c r="AR68" s="295"/>
      <c r="AS68" s="295"/>
      <c r="AT68" s="295"/>
      <c r="AU68" s="295"/>
      <c r="AV68" s="295"/>
      <c r="AW68" s="295"/>
      <c r="AX68" s="295"/>
      <c r="AY68" s="295"/>
      <c r="AZ68" s="295"/>
      <c r="BA68" s="295"/>
      <c r="BB68" s="295"/>
      <c r="BC68" s="295"/>
      <c r="BD68" s="295"/>
      <c r="BE68" s="296"/>
      <c r="BF68" s="258" t="s">
        <v>5</v>
      </c>
      <c r="BG68" s="259"/>
      <c r="BH68" s="259"/>
      <c r="BI68" s="259"/>
      <c r="BJ68" s="259"/>
      <c r="BK68" s="259"/>
      <c r="BL68" s="259"/>
      <c r="BM68" s="259"/>
      <c r="BN68" s="259"/>
      <c r="BO68" s="259"/>
      <c r="BP68" s="259"/>
      <c r="BQ68" s="259"/>
      <c r="BR68" s="259"/>
      <c r="BS68" s="259"/>
      <c r="BT68" s="259"/>
      <c r="BU68" s="260"/>
      <c r="BV68" s="261" t="s">
        <v>12</v>
      </c>
      <c r="BW68" s="259"/>
      <c r="BX68" s="262"/>
      <c r="BY68" s="265" t="s">
        <v>1693</v>
      </c>
      <c r="BZ68" s="266"/>
      <c r="CA68" s="266"/>
      <c r="CB68" s="266"/>
      <c r="CC68" s="266"/>
      <c r="CD68" s="266"/>
      <c r="CE68" s="266"/>
      <c r="CF68" s="266"/>
      <c r="CG68" s="266"/>
      <c r="CH68" s="266"/>
      <c r="CI68" s="266"/>
      <c r="CJ68" s="266"/>
      <c r="CK68" s="267"/>
      <c r="CL68" s="227" t="s">
        <v>11</v>
      </c>
      <c r="CM68" s="260"/>
    </row>
    <row r="69" spans="1:91" ht="25.5" customHeight="1" thickBot="1">
      <c r="A69" s="255" t="e">
        <f>IF(#REF!&lt;&gt;"",#REF!,"")</f>
        <v>#REF!</v>
      </c>
      <c r="B69" s="256"/>
      <c r="C69" s="256"/>
      <c r="D69" s="185"/>
      <c r="E69" s="257" t="e">
        <f>IF(#REF!&lt;&gt;"",#REF!,"")</f>
        <v>#REF!</v>
      </c>
      <c r="F69" s="257"/>
      <c r="G69" s="257"/>
      <c r="H69" s="186" t="e">
        <f>IF(#REF!&lt;&gt;"",#REF!,"")</f>
        <v>#REF!</v>
      </c>
      <c r="I69" s="186" t="e">
        <f>IF(#REF!&lt;&gt;"",#REF!,"")</f>
        <v>#REF!</v>
      </c>
      <c r="J69" s="186" t="e">
        <f>IF(#REF!&lt;&gt;"",#REF!,"")</f>
        <v>#REF!</v>
      </c>
      <c r="K69" s="187" t="e">
        <f>IF(#REF!&lt;&gt;"",#REF!,"")</f>
        <v>#REF!</v>
      </c>
      <c r="L69" s="297"/>
      <c r="M69" s="298"/>
      <c r="N69" s="298"/>
      <c r="O69" s="298"/>
      <c r="P69" s="298"/>
      <c r="Q69" s="298"/>
      <c r="R69" s="298"/>
      <c r="S69" s="298"/>
      <c r="T69" s="298"/>
      <c r="U69" s="298"/>
      <c r="V69" s="298"/>
      <c r="W69" s="298"/>
      <c r="X69" s="298"/>
      <c r="Y69" s="298"/>
      <c r="Z69" s="298"/>
      <c r="AA69" s="298"/>
      <c r="AB69" s="298"/>
      <c r="AC69" s="298"/>
      <c r="AD69" s="298"/>
      <c r="AE69" s="298"/>
      <c r="AF69" s="298"/>
      <c r="AG69" s="298"/>
      <c r="AH69" s="298"/>
      <c r="AI69" s="298"/>
      <c r="AJ69" s="298"/>
      <c r="AK69" s="298"/>
      <c r="AL69" s="298"/>
      <c r="AM69" s="298"/>
      <c r="AN69" s="298"/>
      <c r="AO69" s="298"/>
      <c r="AP69" s="298"/>
      <c r="AQ69" s="298"/>
      <c r="AR69" s="298"/>
      <c r="AS69" s="298"/>
      <c r="AT69" s="298"/>
      <c r="AU69" s="298"/>
      <c r="AV69" s="298"/>
      <c r="AW69" s="298"/>
      <c r="AX69" s="298"/>
      <c r="AY69" s="298"/>
      <c r="AZ69" s="298"/>
      <c r="BA69" s="298"/>
      <c r="BB69" s="298"/>
      <c r="BC69" s="298"/>
      <c r="BD69" s="298"/>
      <c r="BE69" s="299"/>
      <c r="BF69" s="251"/>
      <c r="BG69" s="251"/>
      <c r="BH69" s="251"/>
      <c r="BI69" s="251"/>
      <c r="BJ69" s="251"/>
      <c r="BK69" s="251"/>
      <c r="BL69" s="251"/>
      <c r="BM69" s="251"/>
      <c r="BN69" s="251"/>
      <c r="BO69" s="251"/>
      <c r="BP69" s="251"/>
      <c r="BQ69" s="251"/>
      <c r="BR69" s="251"/>
      <c r="BS69" s="251"/>
      <c r="BT69" s="251"/>
      <c r="BU69" s="252"/>
      <c r="BV69" s="263"/>
      <c r="BW69" s="251"/>
      <c r="BX69" s="264"/>
      <c r="BY69" s="268"/>
      <c r="BZ69" s="269"/>
      <c r="CA69" s="269"/>
      <c r="CB69" s="269"/>
      <c r="CC69" s="269"/>
      <c r="CD69" s="269"/>
      <c r="CE69" s="269"/>
      <c r="CF69" s="269"/>
      <c r="CG69" s="269"/>
      <c r="CH69" s="269"/>
      <c r="CI69" s="269"/>
      <c r="CJ69" s="269"/>
      <c r="CK69" s="270"/>
      <c r="CL69" s="271"/>
      <c r="CM69" s="252"/>
    </row>
    <row r="70" spans="1:91" ht="12" customHeight="1">
      <c r="A70" s="55"/>
      <c r="B70" s="56"/>
      <c r="C70" s="56"/>
      <c r="D70" s="56"/>
      <c r="E70" s="57"/>
      <c r="F70" s="58"/>
      <c r="G70" s="58"/>
      <c r="H70" s="58"/>
      <c r="I70" s="59"/>
      <c r="BL70" s="17"/>
      <c r="BM70" s="17"/>
      <c r="BN70" s="17"/>
      <c r="BO70" s="17"/>
      <c r="BP70" s="17"/>
      <c r="BQ70" s="17"/>
      <c r="BR70" s="17"/>
      <c r="BS70" s="17"/>
      <c r="BT70" s="61"/>
      <c r="CD70" s="57"/>
      <c r="CE70" s="57"/>
      <c r="CF70" s="57"/>
      <c r="CG70" s="57"/>
      <c r="CH70" s="57"/>
      <c r="CI70" s="57"/>
      <c r="CJ70" s="57"/>
      <c r="CK70" s="57"/>
      <c r="CL70" s="57"/>
      <c r="CM70" s="57"/>
    </row>
  </sheetData>
  <mergeCells count="45"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BV64:CM66"/>
    <mergeCell ref="A65:C65"/>
    <mergeCell ref="E65:G65"/>
    <mergeCell ref="A66:C66"/>
    <mergeCell ref="E66:G66"/>
    <mergeCell ref="A67:C67"/>
    <mergeCell ref="E67:G67"/>
    <mergeCell ref="BF67:BU67"/>
    <mergeCell ref="BV67:BX67"/>
    <mergeCell ref="BY67:CK67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BF64:BU66"/>
    <mergeCell ref="G7:G9"/>
    <mergeCell ref="H7:H9"/>
    <mergeCell ref="I7:K7"/>
    <mergeCell ref="J8:K8"/>
    <mergeCell ref="A61:C61"/>
    <mergeCell ref="E61:G61"/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29" orientation="landscape" r:id="rId1"/>
  <headerFooter alignWithMargins="0">
    <oddFooter xml:space="preserve">&amp;L&amp;Z&amp;F&amp;C&amp;D&amp;RConcise DesignShutdown Key 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DQ70"/>
  <sheetViews>
    <sheetView showGridLines="0" view="pageBreakPreview" topLeftCell="C1" zoomScale="50" zoomScaleNormal="50" zoomScaleSheetLayoutView="50" zoomScalePageLayoutView="50" workbookViewId="0">
      <selection activeCell="I1" sqref="I1:K9"/>
    </sheetView>
  </sheetViews>
  <sheetFormatPr defaultColWidth="12.7109375" defaultRowHeight="12" customHeight="1"/>
  <cols>
    <col min="1" max="1" width="8.7109375" style="21" hidden="1" customWidth="1"/>
    <col min="2" max="2" width="7.42578125" style="21" hidden="1" customWidth="1"/>
    <col min="3" max="3" width="19" style="21" customWidth="1"/>
    <col min="4" max="4" width="25.42578125" style="21" hidden="1" customWidth="1"/>
    <col min="5" max="5" width="95.85546875" style="27" bestFit="1" customWidth="1"/>
    <col min="6" max="6" width="18.42578125" style="196" hidden="1" customWidth="1"/>
    <col min="7" max="7" width="31.5703125" style="196" bestFit="1" customWidth="1"/>
    <col min="8" max="8" width="33" style="196" bestFit="1" customWidth="1"/>
    <col min="9" max="10" width="8.42578125" style="41" customWidth="1"/>
    <col min="11" max="11" width="10.85546875" style="41" bestFit="1" customWidth="1"/>
    <col min="12" max="12" width="6.140625" style="60" hidden="1" customWidth="1"/>
    <col min="13" max="14" width="6.140625" style="27" customWidth="1"/>
    <col min="15" max="16" width="6.140625" style="27" hidden="1" customWidth="1"/>
    <col min="17" max="21" width="6.140625" style="27" customWidth="1"/>
    <col min="22" max="22" width="6.140625" style="60" customWidth="1"/>
    <col min="23" max="31" width="6.140625" style="27" customWidth="1"/>
    <col min="32" max="32" width="6.140625" style="60" customWidth="1"/>
    <col min="33" max="41" width="6.140625" style="27" customWidth="1"/>
    <col min="42" max="42" width="6.140625" style="60" customWidth="1"/>
    <col min="43" max="51" width="6.140625" style="27" customWidth="1"/>
    <col min="52" max="52" width="6.140625" style="60" customWidth="1"/>
    <col min="53" max="61" width="6.140625" style="27" customWidth="1"/>
    <col min="62" max="62" width="6.140625" style="60" customWidth="1"/>
    <col min="63" max="71" width="6.140625" style="27" customWidth="1"/>
    <col min="72" max="72" width="6.140625" style="60" customWidth="1"/>
    <col min="73" max="80" width="6.140625" style="27" customWidth="1"/>
    <col min="81" max="81" width="6.140625" style="62" customWidth="1"/>
    <col min="82" max="91" width="6.140625" style="27" customWidth="1"/>
    <col min="92" max="16384" width="12.7109375" style="27"/>
  </cols>
  <sheetData>
    <row r="1" spans="1:121" s="194" customFormat="1" ht="20.25" customHeight="1">
      <c r="A1" s="15"/>
      <c r="B1" s="16"/>
      <c r="C1" s="16"/>
      <c r="D1" s="16"/>
      <c r="E1" s="17"/>
      <c r="F1" s="195"/>
      <c r="G1" s="195"/>
      <c r="H1" s="195"/>
      <c r="I1" s="18"/>
      <c r="J1" s="19" t="s">
        <v>13</v>
      </c>
      <c r="K1" s="20"/>
      <c r="L1" s="407">
        <v>1</v>
      </c>
      <c r="M1" s="402">
        <v>2</v>
      </c>
      <c r="N1" s="402">
        <v>3</v>
      </c>
      <c r="O1" s="402">
        <v>4</v>
      </c>
      <c r="P1" s="408">
        <v>6</v>
      </c>
      <c r="Q1" s="407">
        <v>7</v>
      </c>
      <c r="R1" s="402">
        <v>238</v>
      </c>
      <c r="S1" s="402">
        <v>889</v>
      </c>
      <c r="T1" s="402">
        <v>887</v>
      </c>
      <c r="U1" s="409">
        <v>888</v>
      </c>
      <c r="V1" s="401">
        <v>231</v>
      </c>
      <c r="W1" s="403">
        <v>7777</v>
      </c>
      <c r="X1" s="403"/>
      <c r="Y1" s="403"/>
      <c r="Z1" s="406"/>
      <c r="AA1" s="410"/>
      <c r="AB1" s="403"/>
      <c r="AC1" s="403"/>
      <c r="AD1" s="403"/>
      <c r="AE1" s="404"/>
      <c r="AF1" s="405"/>
      <c r="AG1" s="403"/>
      <c r="AH1" s="403"/>
      <c r="AI1" s="403"/>
      <c r="AJ1" s="406"/>
      <c r="AK1" s="410"/>
      <c r="AL1" s="403"/>
      <c r="AM1" s="403"/>
      <c r="AN1" s="403"/>
      <c r="AO1" s="404"/>
      <c r="AP1" s="405"/>
      <c r="AQ1" s="403"/>
      <c r="AR1" s="403"/>
      <c r="AS1" s="403"/>
      <c r="AT1" s="406"/>
      <c r="AU1" s="410"/>
      <c r="AV1" s="403"/>
      <c r="AW1" s="403"/>
      <c r="AX1" s="403"/>
      <c r="AY1" s="404"/>
      <c r="AZ1" s="405"/>
      <c r="BA1" s="403"/>
      <c r="BB1" s="403"/>
      <c r="BC1" s="403"/>
      <c r="BD1" s="406"/>
      <c r="BE1" s="410"/>
      <c r="BF1" s="403"/>
      <c r="BG1" s="403"/>
      <c r="BH1" s="403"/>
      <c r="BI1" s="404"/>
      <c r="BJ1" s="405"/>
      <c r="BK1" s="403"/>
      <c r="BL1" s="403"/>
      <c r="BM1" s="403"/>
      <c r="BN1" s="406"/>
      <c r="BO1" s="410"/>
      <c r="BP1" s="403"/>
      <c r="BQ1" s="403"/>
      <c r="BR1" s="403"/>
      <c r="BS1" s="404"/>
      <c r="BT1" s="405"/>
      <c r="BU1" s="403"/>
      <c r="BV1" s="403"/>
      <c r="BW1" s="403"/>
      <c r="BX1" s="406"/>
      <c r="BY1" s="410"/>
      <c r="BZ1" s="403"/>
      <c r="CA1" s="403"/>
      <c r="CB1" s="403"/>
      <c r="CC1" s="404"/>
      <c r="CD1" s="405"/>
      <c r="CE1" s="403"/>
      <c r="CF1" s="403"/>
      <c r="CG1" s="403"/>
      <c r="CH1" s="404"/>
      <c r="CI1" s="405"/>
      <c r="CJ1" s="403"/>
      <c r="CK1" s="403"/>
      <c r="CL1" s="403"/>
      <c r="CM1" s="406"/>
      <c r="CN1" s="21"/>
      <c r="CO1" s="21"/>
      <c r="CP1" s="21"/>
      <c r="CQ1" s="21"/>
      <c r="CR1" s="21"/>
      <c r="CS1" s="21"/>
      <c r="CT1" s="21"/>
      <c r="CU1" s="21"/>
      <c r="CV1" s="21"/>
      <c r="CW1" s="21"/>
      <c r="CX1" s="21"/>
      <c r="CY1" s="21"/>
      <c r="CZ1" s="21"/>
      <c r="DA1" s="21"/>
      <c r="DB1" s="21"/>
      <c r="DC1" s="21"/>
      <c r="DD1" s="21"/>
      <c r="DE1" s="21"/>
      <c r="DF1" s="21"/>
      <c r="DG1" s="21"/>
      <c r="DH1" s="21"/>
      <c r="DI1" s="21"/>
      <c r="DJ1" s="21"/>
      <c r="DK1" s="21"/>
      <c r="DL1" s="21"/>
      <c r="DM1" s="21"/>
      <c r="DN1" s="21"/>
      <c r="DO1" s="21"/>
      <c r="DP1" s="21"/>
      <c r="DQ1" s="21"/>
    </row>
    <row r="2" spans="1:121" s="194" customFormat="1" ht="24" customHeight="1" thickBot="1">
      <c r="A2" s="22"/>
      <c r="B2" s="21"/>
      <c r="C2" s="21"/>
      <c r="D2" s="21"/>
      <c r="F2" s="196"/>
      <c r="G2" s="196"/>
      <c r="H2" s="196"/>
      <c r="I2" s="23"/>
      <c r="J2" s="24" t="s">
        <v>14</v>
      </c>
      <c r="K2" s="25"/>
      <c r="L2" s="388" t="s">
        <v>11</v>
      </c>
      <c r="M2" s="387" t="s">
        <v>11</v>
      </c>
      <c r="N2" s="387" t="s">
        <v>11</v>
      </c>
      <c r="O2" s="387" t="s">
        <v>11</v>
      </c>
      <c r="P2" s="389" t="s">
        <v>11</v>
      </c>
      <c r="Q2" s="388" t="s">
        <v>77</v>
      </c>
      <c r="R2" s="387" t="s">
        <v>11</v>
      </c>
      <c r="S2" s="387" t="s">
        <v>11</v>
      </c>
      <c r="T2" s="387" t="s">
        <v>11</v>
      </c>
      <c r="U2" s="390" t="s">
        <v>11</v>
      </c>
      <c r="V2" s="386" t="s">
        <v>11</v>
      </c>
      <c r="W2" s="372" t="s">
        <v>11</v>
      </c>
      <c r="X2" s="372"/>
      <c r="Y2" s="372"/>
      <c r="Z2" s="373"/>
      <c r="AA2" s="374"/>
      <c r="AB2" s="372"/>
      <c r="AC2" s="372"/>
      <c r="AD2" s="372"/>
      <c r="AE2" s="371"/>
      <c r="AF2" s="375"/>
      <c r="AG2" s="372"/>
      <c r="AH2" s="372"/>
      <c r="AI2" s="372"/>
      <c r="AJ2" s="373"/>
      <c r="AK2" s="374"/>
      <c r="AL2" s="372"/>
      <c r="AM2" s="372"/>
      <c r="AN2" s="372"/>
      <c r="AO2" s="371"/>
      <c r="AP2" s="375"/>
      <c r="AQ2" s="372"/>
      <c r="AR2" s="372"/>
      <c r="AS2" s="372"/>
      <c r="AT2" s="373"/>
      <c r="AU2" s="374"/>
      <c r="AV2" s="372"/>
      <c r="AW2" s="372"/>
      <c r="AX2" s="372"/>
      <c r="AY2" s="371"/>
      <c r="AZ2" s="375"/>
      <c r="BA2" s="372"/>
      <c r="BB2" s="372"/>
      <c r="BC2" s="372"/>
      <c r="BD2" s="373"/>
      <c r="BE2" s="374"/>
      <c r="BF2" s="372"/>
      <c r="BG2" s="372"/>
      <c r="BH2" s="372"/>
      <c r="BI2" s="371"/>
      <c r="BJ2" s="375"/>
      <c r="BK2" s="372"/>
      <c r="BL2" s="372"/>
      <c r="BM2" s="372"/>
      <c r="BN2" s="373"/>
      <c r="BO2" s="374"/>
      <c r="BP2" s="372"/>
      <c r="BQ2" s="372"/>
      <c r="BR2" s="372"/>
      <c r="BS2" s="371"/>
      <c r="BT2" s="375"/>
      <c r="BU2" s="372"/>
      <c r="BV2" s="372"/>
      <c r="BW2" s="372"/>
      <c r="BX2" s="373"/>
      <c r="BY2" s="374"/>
      <c r="BZ2" s="372"/>
      <c r="CA2" s="372"/>
      <c r="CB2" s="372"/>
      <c r="CC2" s="371"/>
      <c r="CD2" s="375"/>
      <c r="CE2" s="372"/>
      <c r="CF2" s="372"/>
      <c r="CG2" s="372"/>
      <c r="CH2" s="371"/>
      <c r="CI2" s="375"/>
      <c r="CJ2" s="372"/>
      <c r="CK2" s="372"/>
      <c r="CL2" s="372"/>
      <c r="CM2" s="373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  <c r="DO2" s="26"/>
      <c r="DP2" s="26"/>
      <c r="DQ2" s="21"/>
    </row>
    <row r="3" spans="1:121" ht="111" customHeight="1">
      <c r="A3" s="22"/>
      <c r="I3" s="307" t="s">
        <v>15</v>
      </c>
      <c r="J3" s="308"/>
      <c r="K3" s="309"/>
      <c r="L3" s="421" t="s">
        <v>76</v>
      </c>
      <c r="M3" s="422" t="s">
        <v>76</v>
      </c>
      <c r="N3" s="422" t="s">
        <v>76</v>
      </c>
      <c r="O3" s="422" t="s">
        <v>76</v>
      </c>
      <c r="P3" s="423" t="s">
        <v>76</v>
      </c>
      <c r="Q3" s="421"/>
      <c r="R3" s="422" t="s">
        <v>16</v>
      </c>
      <c r="S3" s="422" t="s">
        <v>44</v>
      </c>
      <c r="T3" s="422" t="s">
        <v>44</v>
      </c>
      <c r="U3" s="424" t="s">
        <v>44</v>
      </c>
      <c r="V3" s="425" t="s">
        <v>44</v>
      </c>
      <c r="W3" s="372" t="s">
        <v>93</v>
      </c>
      <c r="X3" s="372"/>
      <c r="Y3" s="372"/>
      <c r="Z3" s="373"/>
      <c r="AA3" s="374"/>
      <c r="AB3" s="372"/>
      <c r="AC3" s="372"/>
      <c r="AD3" s="372"/>
      <c r="AE3" s="371"/>
      <c r="AF3" s="375"/>
      <c r="AG3" s="372"/>
      <c r="AH3" s="372"/>
      <c r="AI3" s="372"/>
      <c r="AJ3" s="373"/>
      <c r="AK3" s="374"/>
      <c r="AL3" s="372"/>
      <c r="AM3" s="372"/>
      <c r="AN3" s="372"/>
      <c r="AO3" s="371"/>
      <c r="AP3" s="375"/>
      <c r="AQ3" s="372"/>
      <c r="AR3" s="372"/>
      <c r="AS3" s="372"/>
      <c r="AT3" s="373"/>
      <c r="AU3" s="374"/>
      <c r="AV3" s="372"/>
      <c r="AW3" s="372"/>
      <c r="AX3" s="372"/>
      <c r="AY3" s="371"/>
      <c r="AZ3" s="375"/>
      <c r="BA3" s="372"/>
      <c r="BB3" s="372"/>
      <c r="BC3" s="372"/>
      <c r="BD3" s="373"/>
      <c r="BE3" s="374"/>
      <c r="BF3" s="372"/>
      <c r="BG3" s="372"/>
      <c r="BH3" s="372"/>
      <c r="BI3" s="371"/>
      <c r="BJ3" s="375"/>
      <c r="BK3" s="372"/>
      <c r="BL3" s="372"/>
      <c r="BM3" s="372"/>
      <c r="BN3" s="373"/>
      <c r="BO3" s="374"/>
      <c r="BP3" s="372"/>
      <c r="BQ3" s="372"/>
      <c r="BR3" s="372"/>
      <c r="BS3" s="371"/>
      <c r="BT3" s="375"/>
      <c r="BU3" s="372"/>
      <c r="BV3" s="372"/>
      <c r="BW3" s="372"/>
      <c r="BX3" s="373"/>
      <c r="BY3" s="374"/>
      <c r="BZ3" s="372"/>
      <c r="CA3" s="372"/>
      <c r="CB3" s="372"/>
      <c r="CC3" s="371"/>
      <c r="CD3" s="375"/>
      <c r="CE3" s="372"/>
      <c r="CF3" s="372"/>
      <c r="CG3" s="372"/>
      <c r="CH3" s="371"/>
      <c r="CI3" s="375"/>
      <c r="CJ3" s="372"/>
      <c r="CK3" s="372"/>
      <c r="CL3" s="372"/>
      <c r="CM3" s="373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</row>
    <row r="4" spans="1:121" s="29" customFormat="1" ht="156.75" customHeight="1">
      <c r="A4" s="22"/>
      <c r="B4" s="21"/>
      <c r="C4" s="21"/>
      <c r="D4" s="21"/>
      <c r="F4" s="21"/>
      <c r="G4" s="21"/>
      <c r="H4" s="30"/>
      <c r="I4" s="310" t="s">
        <v>17</v>
      </c>
      <c r="J4" s="311"/>
      <c r="K4" s="312"/>
      <c r="L4" s="421" t="s">
        <v>76</v>
      </c>
      <c r="M4" s="422" t="s">
        <v>76</v>
      </c>
      <c r="N4" s="422" t="s">
        <v>76</v>
      </c>
      <c r="O4" s="422" t="s">
        <v>76</v>
      </c>
      <c r="P4" s="423" t="s">
        <v>76</v>
      </c>
      <c r="Q4" s="421" t="s">
        <v>77</v>
      </c>
      <c r="R4" s="422" t="s">
        <v>76</v>
      </c>
      <c r="S4" s="422" t="s">
        <v>76</v>
      </c>
      <c r="T4" s="422" t="s">
        <v>76</v>
      </c>
      <c r="U4" s="424" t="s">
        <v>76</v>
      </c>
      <c r="V4" s="425" t="s">
        <v>76</v>
      </c>
      <c r="W4" s="372" t="s">
        <v>93</v>
      </c>
      <c r="X4" s="372"/>
      <c r="Y4" s="372"/>
      <c r="Z4" s="373"/>
      <c r="AA4" s="374"/>
      <c r="AB4" s="372"/>
      <c r="AC4" s="372"/>
      <c r="AD4" s="372"/>
      <c r="AE4" s="371"/>
      <c r="AF4" s="375"/>
      <c r="AG4" s="372"/>
      <c r="AH4" s="372"/>
      <c r="AI4" s="372"/>
      <c r="AJ4" s="373"/>
      <c r="AK4" s="374"/>
      <c r="AL4" s="372"/>
      <c r="AM4" s="372"/>
      <c r="AN4" s="372"/>
      <c r="AO4" s="371"/>
      <c r="AP4" s="375"/>
      <c r="AQ4" s="372"/>
      <c r="AR4" s="372"/>
      <c r="AS4" s="372"/>
      <c r="AT4" s="373"/>
      <c r="AU4" s="374"/>
      <c r="AV4" s="372"/>
      <c r="AW4" s="372"/>
      <c r="AX4" s="372"/>
      <c r="AY4" s="371"/>
      <c r="AZ4" s="375"/>
      <c r="BA4" s="372"/>
      <c r="BB4" s="372"/>
      <c r="BC4" s="372"/>
      <c r="BD4" s="373"/>
      <c r="BE4" s="374"/>
      <c r="BF4" s="372"/>
      <c r="BG4" s="372"/>
      <c r="BH4" s="372"/>
      <c r="BI4" s="371"/>
      <c r="BJ4" s="375"/>
      <c r="BK4" s="372"/>
      <c r="BL4" s="372"/>
      <c r="BM4" s="372"/>
      <c r="BN4" s="373"/>
      <c r="BO4" s="374"/>
      <c r="BP4" s="372"/>
      <c r="BQ4" s="372"/>
      <c r="BR4" s="372"/>
      <c r="BS4" s="371"/>
      <c r="BT4" s="375"/>
      <c r="BU4" s="372"/>
      <c r="BV4" s="372"/>
      <c r="BW4" s="372"/>
      <c r="BX4" s="373"/>
      <c r="BY4" s="374"/>
      <c r="BZ4" s="372"/>
      <c r="CA4" s="372"/>
      <c r="CB4" s="372"/>
      <c r="CC4" s="371"/>
      <c r="CD4" s="375"/>
      <c r="CE4" s="372"/>
      <c r="CF4" s="372"/>
      <c r="CG4" s="372"/>
      <c r="CH4" s="371"/>
      <c r="CI4" s="375"/>
      <c r="CJ4" s="372"/>
      <c r="CK4" s="372"/>
      <c r="CL4" s="372"/>
      <c r="CM4" s="373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6"/>
      <c r="DF4" s="28"/>
      <c r="DG4" s="26"/>
      <c r="DH4" s="28"/>
      <c r="DI4" s="26"/>
      <c r="DJ4" s="28"/>
      <c r="DK4" s="26"/>
      <c r="DL4" s="28"/>
      <c r="DM4" s="26"/>
      <c r="DN4" s="28"/>
      <c r="DO4" s="26"/>
      <c r="DP4" s="28"/>
      <c r="DQ4" s="28"/>
    </row>
    <row r="5" spans="1:121" s="21" customFormat="1" ht="408" customHeight="1">
      <c r="A5" s="22"/>
      <c r="H5" s="30" t="s">
        <v>18</v>
      </c>
      <c r="I5" s="203" t="s">
        <v>7</v>
      </c>
      <c r="J5" s="204"/>
      <c r="K5" s="313"/>
      <c r="L5" s="426" t="s">
        <v>69</v>
      </c>
      <c r="M5" s="427" t="s">
        <v>72</v>
      </c>
      <c r="N5" s="427" t="s">
        <v>71</v>
      </c>
      <c r="O5" s="427" t="s">
        <v>83</v>
      </c>
      <c r="P5" s="428" t="s">
        <v>82</v>
      </c>
      <c r="Q5" s="426"/>
      <c r="R5" s="427" t="s">
        <v>56</v>
      </c>
      <c r="S5" s="427" t="s">
        <v>59</v>
      </c>
      <c r="T5" s="427" t="s">
        <v>57</v>
      </c>
      <c r="U5" s="429" t="s">
        <v>58</v>
      </c>
      <c r="V5" s="430" t="s">
        <v>55</v>
      </c>
      <c r="W5" s="372" t="s">
        <v>93</v>
      </c>
      <c r="X5" s="372"/>
      <c r="Y5" s="372"/>
      <c r="Z5" s="373"/>
      <c r="AA5" s="374"/>
      <c r="AB5" s="372"/>
      <c r="AC5" s="372"/>
      <c r="AD5" s="372"/>
      <c r="AE5" s="371"/>
      <c r="AF5" s="375"/>
      <c r="AG5" s="372"/>
      <c r="AH5" s="372"/>
      <c r="AI5" s="372"/>
      <c r="AJ5" s="373"/>
      <c r="AK5" s="374"/>
      <c r="AL5" s="372"/>
      <c r="AM5" s="372"/>
      <c r="AN5" s="372"/>
      <c r="AO5" s="371"/>
      <c r="AP5" s="375"/>
      <c r="AQ5" s="372"/>
      <c r="AR5" s="372"/>
      <c r="AS5" s="372"/>
      <c r="AT5" s="373"/>
      <c r="AU5" s="374"/>
      <c r="AV5" s="372"/>
      <c r="AW5" s="372"/>
      <c r="AX5" s="372"/>
      <c r="AY5" s="371"/>
      <c r="AZ5" s="375"/>
      <c r="BA5" s="372"/>
      <c r="BB5" s="372"/>
      <c r="BC5" s="372"/>
      <c r="BD5" s="373"/>
      <c r="BE5" s="374"/>
      <c r="BF5" s="372"/>
      <c r="BG5" s="372"/>
      <c r="BH5" s="372"/>
      <c r="BI5" s="371"/>
      <c r="BJ5" s="375"/>
      <c r="BK5" s="372"/>
      <c r="BL5" s="372"/>
      <c r="BM5" s="372"/>
      <c r="BN5" s="373"/>
      <c r="BO5" s="374"/>
      <c r="BP5" s="372"/>
      <c r="BQ5" s="372"/>
      <c r="BR5" s="372"/>
      <c r="BS5" s="371"/>
      <c r="BT5" s="375"/>
      <c r="BU5" s="372"/>
      <c r="BV5" s="372"/>
      <c r="BW5" s="372"/>
      <c r="BX5" s="373"/>
      <c r="BY5" s="374"/>
      <c r="BZ5" s="372"/>
      <c r="CA5" s="372"/>
      <c r="CB5" s="372"/>
      <c r="CC5" s="371"/>
      <c r="CD5" s="375"/>
      <c r="CE5" s="372"/>
      <c r="CF5" s="372"/>
      <c r="CG5" s="372"/>
      <c r="CH5" s="371"/>
      <c r="CI5" s="375"/>
      <c r="CJ5" s="372"/>
      <c r="CK5" s="372"/>
      <c r="CL5" s="372"/>
      <c r="CM5" s="373"/>
      <c r="CN5" s="31"/>
      <c r="CO5" s="32"/>
      <c r="CP5" s="31"/>
      <c r="CQ5" s="32"/>
      <c r="CR5" s="31"/>
      <c r="CS5" s="32"/>
      <c r="CT5" s="31"/>
      <c r="CU5" s="32"/>
      <c r="CV5" s="31"/>
      <c r="CW5" s="33"/>
      <c r="CX5" s="31"/>
      <c r="CY5" s="33"/>
      <c r="CZ5" s="31"/>
      <c r="DA5" s="31"/>
      <c r="DB5" s="31"/>
      <c r="DC5" s="32"/>
      <c r="DD5" s="31"/>
      <c r="DE5" s="31"/>
      <c r="DF5" s="31"/>
      <c r="DG5" s="31"/>
      <c r="DH5" s="31"/>
      <c r="DI5" s="31"/>
      <c r="DJ5" s="31"/>
      <c r="DK5" s="32"/>
      <c r="DL5" s="31"/>
      <c r="DM5" s="33"/>
      <c r="DN5" s="31"/>
      <c r="DO5" s="31"/>
      <c r="DP5" s="31"/>
      <c r="DQ5" s="33"/>
    </row>
    <row r="6" spans="1:121" s="21" customFormat="1" ht="140.25" customHeight="1" thickBot="1">
      <c r="A6" s="22"/>
      <c r="D6" s="197"/>
      <c r="E6" s="197" t="s">
        <v>19</v>
      </c>
      <c r="I6" s="232" t="s">
        <v>20</v>
      </c>
      <c r="J6" s="233"/>
      <c r="K6" s="314"/>
      <c r="L6" s="431" t="s">
        <v>66</v>
      </c>
      <c r="M6" s="432" t="s">
        <v>64</v>
      </c>
      <c r="N6" s="432" t="s">
        <v>65</v>
      </c>
      <c r="O6" s="432" t="s">
        <v>67</v>
      </c>
      <c r="P6" s="433" t="s">
        <v>68</v>
      </c>
      <c r="Q6" s="431"/>
      <c r="R6" s="432" t="s">
        <v>21</v>
      </c>
      <c r="S6" s="432" t="s">
        <v>63</v>
      </c>
      <c r="T6" s="432" t="s">
        <v>61</v>
      </c>
      <c r="U6" s="434" t="s">
        <v>62</v>
      </c>
      <c r="V6" s="435" t="s">
        <v>60</v>
      </c>
      <c r="W6" s="393" t="s">
        <v>92</v>
      </c>
      <c r="X6" s="393"/>
      <c r="Y6" s="393"/>
      <c r="Z6" s="396"/>
      <c r="AA6" s="400"/>
      <c r="AB6" s="393"/>
      <c r="AC6" s="393"/>
      <c r="AD6" s="393"/>
      <c r="AE6" s="394"/>
      <c r="AF6" s="395"/>
      <c r="AG6" s="393"/>
      <c r="AH6" s="393"/>
      <c r="AI6" s="393"/>
      <c r="AJ6" s="396"/>
      <c r="AK6" s="400"/>
      <c r="AL6" s="393"/>
      <c r="AM6" s="393"/>
      <c r="AN6" s="393"/>
      <c r="AO6" s="394"/>
      <c r="AP6" s="395"/>
      <c r="AQ6" s="393"/>
      <c r="AR6" s="393"/>
      <c r="AS6" s="393"/>
      <c r="AT6" s="396"/>
      <c r="AU6" s="400"/>
      <c r="AV6" s="393"/>
      <c r="AW6" s="393"/>
      <c r="AX6" s="393"/>
      <c r="AY6" s="394"/>
      <c r="AZ6" s="395"/>
      <c r="BA6" s="393"/>
      <c r="BB6" s="393"/>
      <c r="BC6" s="393"/>
      <c r="BD6" s="396"/>
      <c r="BE6" s="400"/>
      <c r="BF6" s="393"/>
      <c r="BG6" s="393"/>
      <c r="BH6" s="393"/>
      <c r="BI6" s="394"/>
      <c r="BJ6" s="395"/>
      <c r="BK6" s="393"/>
      <c r="BL6" s="393"/>
      <c r="BM6" s="393"/>
      <c r="BN6" s="396"/>
      <c r="BO6" s="400"/>
      <c r="BP6" s="393"/>
      <c r="BQ6" s="393"/>
      <c r="BR6" s="393"/>
      <c r="BS6" s="394"/>
      <c r="BT6" s="395"/>
      <c r="BU6" s="393"/>
      <c r="BV6" s="393"/>
      <c r="BW6" s="393"/>
      <c r="BX6" s="396"/>
      <c r="BY6" s="400"/>
      <c r="BZ6" s="393"/>
      <c r="CA6" s="393"/>
      <c r="CB6" s="393"/>
      <c r="CC6" s="394"/>
      <c r="CD6" s="395"/>
      <c r="CE6" s="393"/>
      <c r="CF6" s="393"/>
      <c r="CG6" s="393"/>
      <c r="CH6" s="394"/>
      <c r="CI6" s="395"/>
      <c r="CJ6" s="393"/>
      <c r="CK6" s="393"/>
      <c r="CL6" s="393"/>
      <c r="CM6" s="396"/>
      <c r="CN6" s="28"/>
      <c r="CO6" s="28"/>
      <c r="CP6" s="28"/>
      <c r="CQ6" s="34"/>
      <c r="CR6" s="33"/>
      <c r="CS6" s="33"/>
      <c r="CT6" s="34"/>
      <c r="CU6" s="35"/>
      <c r="CV6" s="36"/>
      <c r="CW6" s="37"/>
      <c r="CX6" s="37"/>
      <c r="CY6" s="37"/>
      <c r="CZ6" s="38"/>
      <c r="DA6" s="39"/>
      <c r="DB6" s="39"/>
      <c r="DC6" s="39"/>
      <c r="DD6" s="28"/>
      <c r="DE6" s="39"/>
      <c r="DF6" s="40"/>
      <c r="DG6" s="39"/>
      <c r="DH6" s="40"/>
      <c r="DI6" s="39"/>
      <c r="DJ6" s="40"/>
      <c r="DK6" s="39"/>
      <c r="DL6" s="40"/>
      <c r="DM6" s="39"/>
      <c r="DN6" s="40"/>
      <c r="DO6" s="39"/>
      <c r="DP6" s="40"/>
      <c r="DQ6" s="40"/>
    </row>
    <row r="7" spans="1:121" s="41" customFormat="1" ht="25.5" customHeight="1">
      <c r="A7" s="221" t="s">
        <v>22</v>
      </c>
      <c r="B7" s="212" t="s">
        <v>23</v>
      </c>
      <c r="C7" s="212" t="s">
        <v>24</v>
      </c>
      <c r="D7" s="212" t="s">
        <v>25</v>
      </c>
      <c r="E7" s="212" t="s">
        <v>7</v>
      </c>
      <c r="F7" s="212" t="s">
        <v>26</v>
      </c>
      <c r="G7" s="212" t="s">
        <v>20</v>
      </c>
      <c r="H7" s="225" t="s">
        <v>27</v>
      </c>
      <c r="I7" s="318" t="s">
        <v>28</v>
      </c>
      <c r="J7" s="212"/>
      <c r="K7" s="319"/>
      <c r="L7" s="407"/>
      <c r="M7" s="402"/>
      <c r="N7" s="402"/>
      <c r="O7" s="402"/>
      <c r="P7" s="408"/>
      <c r="Q7" s="407"/>
      <c r="R7" s="402"/>
      <c r="S7" s="402"/>
      <c r="T7" s="402"/>
      <c r="U7" s="409"/>
      <c r="V7" s="401"/>
      <c r="W7" s="403" t="s">
        <v>93</v>
      </c>
      <c r="X7" s="403"/>
      <c r="Y7" s="403"/>
      <c r="Z7" s="406"/>
      <c r="AA7" s="410"/>
      <c r="AB7" s="403"/>
      <c r="AC7" s="403"/>
      <c r="AD7" s="403"/>
      <c r="AE7" s="404"/>
      <c r="AF7" s="405"/>
      <c r="AG7" s="403"/>
      <c r="AH7" s="403"/>
      <c r="AI7" s="403"/>
      <c r="AJ7" s="406"/>
      <c r="AK7" s="410"/>
      <c r="AL7" s="403"/>
      <c r="AM7" s="403"/>
      <c r="AN7" s="403"/>
      <c r="AO7" s="404"/>
      <c r="AP7" s="405"/>
      <c r="AQ7" s="403"/>
      <c r="AR7" s="403"/>
      <c r="AS7" s="403"/>
      <c r="AT7" s="406"/>
      <c r="AU7" s="410"/>
      <c r="AV7" s="403"/>
      <c r="AW7" s="403"/>
      <c r="AX7" s="403"/>
      <c r="AY7" s="404"/>
      <c r="AZ7" s="405"/>
      <c r="BA7" s="403"/>
      <c r="BB7" s="403"/>
      <c r="BC7" s="403"/>
      <c r="BD7" s="406"/>
      <c r="BE7" s="410"/>
      <c r="BF7" s="403"/>
      <c r="BG7" s="403"/>
      <c r="BH7" s="403"/>
      <c r="BI7" s="404"/>
      <c r="BJ7" s="405"/>
      <c r="BK7" s="403"/>
      <c r="BL7" s="403"/>
      <c r="BM7" s="403"/>
      <c r="BN7" s="406"/>
      <c r="BO7" s="410"/>
      <c r="BP7" s="403"/>
      <c r="BQ7" s="403"/>
      <c r="BR7" s="403"/>
      <c r="BS7" s="404"/>
      <c r="BT7" s="405"/>
      <c r="BU7" s="403"/>
      <c r="BV7" s="403"/>
      <c r="BW7" s="403"/>
      <c r="BX7" s="406"/>
      <c r="BY7" s="410"/>
      <c r="BZ7" s="403"/>
      <c r="CA7" s="403"/>
      <c r="CB7" s="403"/>
      <c r="CC7" s="404"/>
      <c r="CD7" s="405"/>
      <c r="CE7" s="403"/>
      <c r="CF7" s="403"/>
      <c r="CG7" s="403"/>
      <c r="CH7" s="404"/>
      <c r="CI7" s="405"/>
      <c r="CJ7" s="403"/>
      <c r="CK7" s="403"/>
      <c r="CL7" s="403"/>
      <c r="CM7" s="406"/>
    </row>
    <row r="8" spans="1:121" s="41" customFormat="1" ht="25.5" customHeight="1">
      <c r="A8" s="222"/>
      <c r="B8" s="213"/>
      <c r="C8" s="213"/>
      <c r="D8" s="213"/>
      <c r="E8" s="213"/>
      <c r="F8" s="213"/>
      <c r="G8" s="213"/>
      <c r="H8" s="226"/>
      <c r="I8" s="42"/>
      <c r="J8" s="214" t="s">
        <v>29</v>
      </c>
      <c r="K8" s="320"/>
      <c r="L8" s="388"/>
      <c r="M8" s="387"/>
      <c r="N8" s="387"/>
      <c r="O8" s="387"/>
      <c r="P8" s="389"/>
      <c r="Q8" s="388"/>
      <c r="R8" s="387"/>
      <c r="S8" s="387"/>
      <c r="T8" s="387"/>
      <c r="U8" s="390"/>
      <c r="V8" s="386"/>
      <c r="W8" s="372" t="s">
        <v>93</v>
      </c>
      <c r="X8" s="372"/>
      <c r="Y8" s="372"/>
      <c r="Z8" s="373"/>
      <c r="AA8" s="374"/>
      <c r="AB8" s="372"/>
      <c r="AC8" s="372"/>
      <c r="AD8" s="372"/>
      <c r="AE8" s="371"/>
      <c r="AF8" s="375"/>
      <c r="AG8" s="372"/>
      <c r="AH8" s="372"/>
      <c r="AI8" s="372"/>
      <c r="AJ8" s="373"/>
      <c r="AK8" s="374"/>
      <c r="AL8" s="372"/>
      <c r="AM8" s="372"/>
      <c r="AN8" s="372"/>
      <c r="AO8" s="371"/>
      <c r="AP8" s="375"/>
      <c r="AQ8" s="372"/>
      <c r="AR8" s="372"/>
      <c r="AS8" s="372"/>
      <c r="AT8" s="373"/>
      <c r="AU8" s="374"/>
      <c r="AV8" s="372"/>
      <c r="AW8" s="372"/>
      <c r="AX8" s="372"/>
      <c r="AY8" s="371"/>
      <c r="AZ8" s="375"/>
      <c r="BA8" s="372"/>
      <c r="BB8" s="372"/>
      <c r="BC8" s="372"/>
      <c r="BD8" s="373"/>
      <c r="BE8" s="374"/>
      <c r="BF8" s="372"/>
      <c r="BG8" s="372"/>
      <c r="BH8" s="372"/>
      <c r="BI8" s="371"/>
      <c r="BJ8" s="375"/>
      <c r="BK8" s="372"/>
      <c r="BL8" s="372"/>
      <c r="BM8" s="372"/>
      <c r="BN8" s="373"/>
      <c r="BO8" s="374"/>
      <c r="BP8" s="372"/>
      <c r="BQ8" s="372"/>
      <c r="BR8" s="372"/>
      <c r="BS8" s="371"/>
      <c r="BT8" s="375"/>
      <c r="BU8" s="372"/>
      <c r="BV8" s="372"/>
      <c r="BW8" s="372"/>
      <c r="BX8" s="373"/>
      <c r="BY8" s="374"/>
      <c r="BZ8" s="372"/>
      <c r="CA8" s="372"/>
      <c r="CB8" s="372"/>
      <c r="CC8" s="371"/>
      <c r="CD8" s="375"/>
      <c r="CE8" s="372"/>
      <c r="CF8" s="372"/>
      <c r="CG8" s="372"/>
      <c r="CH8" s="371"/>
      <c r="CI8" s="375"/>
      <c r="CJ8" s="372"/>
      <c r="CK8" s="372"/>
      <c r="CL8" s="372"/>
      <c r="CM8" s="373"/>
    </row>
    <row r="9" spans="1:121" s="41" customFormat="1" ht="25.5" customHeight="1" thickBot="1">
      <c r="A9" s="315"/>
      <c r="B9" s="316"/>
      <c r="C9" s="316"/>
      <c r="D9" s="316"/>
      <c r="E9" s="316"/>
      <c r="F9" s="316"/>
      <c r="G9" s="316"/>
      <c r="H9" s="317"/>
      <c r="I9" s="43"/>
      <c r="J9" s="191"/>
      <c r="K9" s="44" t="s">
        <v>30</v>
      </c>
      <c r="L9" s="413"/>
      <c r="M9" s="412"/>
      <c r="N9" s="412"/>
      <c r="O9" s="412"/>
      <c r="P9" s="414"/>
      <c r="Q9" s="413"/>
      <c r="R9" s="412"/>
      <c r="S9" s="412"/>
      <c r="T9" s="412"/>
      <c r="U9" s="415"/>
      <c r="V9" s="411"/>
      <c r="W9" s="377" t="s">
        <v>93</v>
      </c>
      <c r="X9" s="377"/>
      <c r="Y9" s="377"/>
      <c r="Z9" s="378"/>
      <c r="AA9" s="379"/>
      <c r="AB9" s="377"/>
      <c r="AC9" s="377"/>
      <c r="AD9" s="377"/>
      <c r="AE9" s="376"/>
      <c r="AF9" s="380"/>
      <c r="AG9" s="377"/>
      <c r="AH9" s="377"/>
      <c r="AI9" s="377"/>
      <c r="AJ9" s="378"/>
      <c r="AK9" s="379"/>
      <c r="AL9" s="377"/>
      <c r="AM9" s="377"/>
      <c r="AN9" s="377"/>
      <c r="AO9" s="376"/>
      <c r="AP9" s="380"/>
      <c r="AQ9" s="377"/>
      <c r="AR9" s="377"/>
      <c r="AS9" s="377"/>
      <c r="AT9" s="378"/>
      <c r="AU9" s="379"/>
      <c r="AV9" s="377"/>
      <c r="AW9" s="377"/>
      <c r="AX9" s="377"/>
      <c r="AY9" s="376"/>
      <c r="AZ9" s="380"/>
      <c r="BA9" s="377"/>
      <c r="BB9" s="377"/>
      <c r="BC9" s="377"/>
      <c r="BD9" s="378"/>
      <c r="BE9" s="379"/>
      <c r="BF9" s="377"/>
      <c r="BG9" s="377"/>
      <c r="BH9" s="377"/>
      <c r="BI9" s="376"/>
      <c r="BJ9" s="380"/>
      <c r="BK9" s="377"/>
      <c r="BL9" s="377"/>
      <c r="BM9" s="377"/>
      <c r="BN9" s="378"/>
      <c r="BO9" s="379"/>
      <c r="BP9" s="377"/>
      <c r="BQ9" s="377"/>
      <c r="BR9" s="377"/>
      <c r="BS9" s="376"/>
      <c r="BT9" s="380"/>
      <c r="BU9" s="377"/>
      <c r="BV9" s="377"/>
      <c r="BW9" s="377"/>
      <c r="BX9" s="378"/>
      <c r="BY9" s="379"/>
      <c r="BZ9" s="377"/>
      <c r="CA9" s="377"/>
      <c r="CB9" s="377"/>
      <c r="CC9" s="376"/>
      <c r="CD9" s="380"/>
      <c r="CE9" s="377"/>
      <c r="CF9" s="377"/>
      <c r="CG9" s="377"/>
      <c r="CH9" s="376"/>
      <c r="CI9" s="380"/>
      <c r="CJ9" s="377"/>
      <c r="CK9" s="377"/>
      <c r="CL9" s="377"/>
      <c r="CM9" s="378"/>
    </row>
    <row r="10" spans="1:121" ht="25.5" hidden="1" customHeight="1">
      <c r="A10" s="100">
        <v>3953</v>
      </c>
      <c r="B10" s="101" t="s">
        <v>11</v>
      </c>
      <c r="C10" s="101" t="s">
        <v>44</v>
      </c>
      <c r="D10" s="101" t="s">
        <v>76</v>
      </c>
      <c r="E10" s="102" t="s">
        <v>53</v>
      </c>
      <c r="F10" s="101"/>
      <c r="G10" s="102" t="s">
        <v>474</v>
      </c>
      <c r="H10" s="177" t="s">
        <v>54</v>
      </c>
      <c r="I10" s="104"/>
      <c r="J10" s="102"/>
      <c r="K10" s="103"/>
      <c r="L10" s="347" t="s">
        <v>78</v>
      </c>
      <c r="M10" s="342" t="s">
        <v>77</v>
      </c>
      <c r="N10" s="342"/>
      <c r="O10" s="342" t="s">
        <v>77</v>
      </c>
      <c r="P10" s="348" t="s">
        <v>77</v>
      </c>
      <c r="Q10" s="347"/>
      <c r="R10" s="342"/>
      <c r="S10" s="342"/>
      <c r="T10" s="342"/>
      <c r="U10" s="349" t="s">
        <v>80</v>
      </c>
      <c r="V10" s="341"/>
      <c r="W10" s="343"/>
      <c r="X10" s="343"/>
      <c r="Y10" s="343"/>
      <c r="Z10" s="346"/>
      <c r="AA10" s="350"/>
      <c r="AB10" s="343"/>
      <c r="AC10" s="343"/>
      <c r="AD10" s="343"/>
      <c r="AE10" s="344"/>
      <c r="AF10" s="345"/>
      <c r="AG10" s="343"/>
      <c r="AH10" s="343"/>
      <c r="AI10" s="343"/>
      <c r="AJ10" s="346"/>
      <c r="AK10" s="350"/>
      <c r="AL10" s="343"/>
      <c r="AM10" s="343"/>
      <c r="AN10" s="343"/>
      <c r="AO10" s="344"/>
      <c r="AP10" s="345"/>
      <c r="AQ10" s="343"/>
      <c r="AR10" s="343"/>
      <c r="AS10" s="343"/>
      <c r="AT10" s="346"/>
      <c r="AU10" s="350"/>
      <c r="AV10" s="343"/>
      <c r="AW10" s="343"/>
      <c r="AX10" s="343"/>
      <c r="AY10" s="344"/>
      <c r="AZ10" s="345"/>
      <c r="BA10" s="343"/>
      <c r="BB10" s="343"/>
      <c r="BC10" s="343"/>
      <c r="BD10" s="346"/>
      <c r="BE10" s="350"/>
      <c r="BF10" s="343"/>
      <c r="BG10" s="343"/>
      <c r="BH10" s="343"/>
      <c r="BI10" s="344"/>
      <c r="BJ10" s="345"/>
      <c r="BK10" s="343"/>
      <c r="BL10" s="343"/>
      <c r="BM10" s="343"/>
      <c r="BN10" s="346"/>
      <c r="BO10" s="350"/>
      <c r="BP10" s="343"/>
      <c r="BQ10" s="343"/>
      <c r="BR10" s="343"/>
      <c r="BS10" s="344"/>
      <c r="BT10" s="345"/>
      <c r="BU10" s="343"/>
      <c r="BV10" s="343"/>
      <c r="BW10" s="343"/>
      <c r="BX10" s="346"/>
      <c r="BY10" s="350"/>
      <c r="BZ10" s="343"/>
      <c r="CA10" s="343"/>
      <c r="CB10" s="343"/>
      <c r="CC10" s="344"/>
      <c r="CD10" s="345"/>
      <c r="CE10" s="343"/>
      <c r="CF10" s="343"/>
      <c r="CG10" s="343"/>
      <c r="CH10" s="344"/>
      <c r="CI10" s="345"/>
      <c r="CJ10" s="343"/>
      <c r="CK10" s="343"/>
      <c r="CL10" s="343"/>
      <c r="CM10" s="346"/>
      <c r="CN10" s="45"/>
      <c r="CO10" s="45"/>
      <c r="CP10" s="45"/>
      <c r="CQ10" s="45"/>
      <c r="CR10" s="45"/>
      <c r="CS10" s="45"/>
      <c r="CT10" s="45"/>
      <c r="CU10" s="45"/>
      <c r="CV10" s="45"/>
      <c r="CW10" s="45"/>
      <c r="CX10" s="45"/>
      <c r="CY10" s="45"/>
      <c r="CZ10" s="45"/>
      <c r="DA10" s="45"/>
      <c r="DB10" s="45"/>
      <c r="DC10" s="45"/>
      <c r="DD10" s="45"/>
      <c r="DE10" s="45"/>
      <c r="DF10" s="45"/>
      <c r="DG10" s="45"/>
      <c r="DH10" s="45"/>
      <c r="DI10" s="45"/>
      <c r="DJ10" s="45"/>
      <c r="DK10" s="45"/>
      <c r="DL10" s="45"/>
      <c r="DM10" s="45"/>
      <c r="DN10" s="45"/>
    </row>
    <row r="11" spans="1:121" ht="25.5" customHeight="1">
      <c r="A11" s="321">
        <v>3954</v>
      </c>
      <c r="B11" s="322" t="s">
        <v>11</v>
      </c>
      <c r="C11" s="322" t="s">
        <v>44</v>
      </c>
      <c r="D11" s="322" t="s">
        <v>76</v>
      </c>
      <c r="E11" s="323" t="s">
        <v>53</v>
      </c>
      <c r="F11" s="322"/>
      <c r="G11" s="323" t="s">
        <v>476</v>
      </c>
      <c r="H11" s="324" t="s">
        <v>54</v>
      </c>
      <c r="I11" s="325"/>
      <c r="J11" s="323"/>
      <c r="K11" s="326"/>
      <c r="L11" s="327" t="s">
        <v>78</v>
      </c>
      <c r="M11" s="322" t="s">
        <v>77</v>
      </c>
      <c r="N11" s="322"/>
      <c r="O11" s="322" t="s">
        <v>77</v>
      </c>
      <c r="P11" s="328" t="s">
        <v>77</v>
      </c>
      <c r="Q11" s="327"/>
      <c r="R11" s="322"/>
      <c r="S11" s="322"/>
      <c r="T11" s="322"/>
      <c r="U11" s="329" t="s">
        <v>80</v>
      </c>
      <c r="V11" s="321"/>
      <c r="W11" s="323"/>
      <c r="X11" s="323"/>
      <c r="Y11" s="323"/>
      <c r="Z11" s="326"/>
      <c r="AA11" s="330"/>
      <c r="AB11" s="323"/>
      <c r="AC11" s="323"/>
      <c r="AD11" s="323"/>
      <c r="AE11" s="324"/>
      <c r="AF11" s="325"/>
      <c r="AG11" s="323"/>
      <c r="AH11" s="323"/>
      <c r="AI11" s="323"/>
      <c r="AJ11" s="326"/>
      <c r="AK11" s="330"/>
      <c r="AL11" s="323"/>
      <c r="AM11" s="323"/>
      <c r="AN11" s="323"/>
      <c r="AO11" s="324"/>
      <c r="AP11" s="325"/>
      <c r="AQ11" s="323"/>
      <c r="AR11" s="323"/>
      <c r="AS11" s="323"/>
      <c r="AT11" s="326"/>
      <c r="AU11" s="330"/>
      <c r="AV11" s="323"/>
      <c r="AW11" s="323"/>
      <c r="AX11" s="323"/>
      <c r="AY11" s="324"/>
      <c r="AZ11" s="325"/>
      <c r="BA11" s="323"/>
      <c r="BB11" s="323"/>
      <c r="BC11" s="323"/>
      <c r="BD11" s="326"/>
      <c r="BE11" s="330"/>
      <c r="BF11" s="323"/>
      <c r="BG11" s="323"/>
      <c r="BH11" s="323"/>
      <c r="BI11" s="324"/>
      <c r="BJ11" s="325"/>
      <c r="BK11" s="323"/>
      <c r="BL11" s="323"/>
      <c r="BM11" s="323"/>
      <c r="BN11" s="326"/>
      <c r="BO11" s="330"/>
      <c r="BP11" s="323"/>
      <c r="BQ11" s="323"/>
      <c r="BR11" s="323"/>
      <c r="BS11" s="324"/>
      <c r="BT11" s="325"/>
      <c r="BU11" s="323"/>
      <c r="BV11" s="323"/>
      <c r="BW11" s="323"/>
      <c r="BX11" s="326"/>
      <c r="BY11" s="330"/>
      <c r="BZ11" s="323"/>
      <c r="CA11" s="323"/>
      <c r="CB11" s="323"/>
      <c r="CC11" s="324"/>
      <c r="CD11" s="325"/>
      <c r="CE11" s="323"/>
      <c r="CF11" s="323"/>
      <c r="CG11" s="323"/>
      <c r="CH11" s="324"/>
      <c r="CI11" s="325"/>
      <c r="CJ11" s="323"/>
      <c r="CK11" s="323"/>
      <c r="CL11" s="323"/>
      <c r="CM11" s="326"/>
      <c r="CN11" s="46"/>
      <c r="CO11" s="45"/>
      <c r="CP11" s="45"/>
      <c r="CQ11" s="45"/>
      <c r="CR11" s="46"/>
      <c r="CS11" s="45"/>
      <c r="CT11" s="45"/>
      <c r="CU11" s="45"/>
      <c r="CV11" s="45"/>
      <c r="CW11" s="45"/>
      <c r="CX11" s="46"/>
      <c r="CY11" s="45"/>
      <c r="CZ11" s="45"/>
      <c r="DA11" s="46"/>
      <c r="DB11" s="47"/>
      <c r="DC11" s="46"/>
      <c r="DD11" s="46"/>
      <c r="DE11" s="45"/>
      <c r="DF11" s="46"/>
      <c r="DG11" s="46"/>
      <c r="DH11" s="45"/>
      <c r="DI11" s="45"/>
      <c r="DJ11" s="45"/>
      <c r="DK11" s="45"/>
      <c r="DL11" s="45"/>
      <c r="DM11" s="45"/>
      <c r="DN11" s="45"/>
    </row>
    <row r="12" spans="1:121" ht="25.5" customHeight="1">
      <c r="A12" s="321">
        <v>3955</v>
      </c>
      <c r="B12" s="322" t="s">
        <v>11</v>
      </c>
      <c r="C12" s="322" t="s">
        <v>44</v>
      </c>
      <c r="D12" s="322" t="s">
        <v>76</v>
      </c>
      <c r="E12" s="323" t="s">
        <v>53</v>
      </c>
      <c r="F12" s="322"/>
      <c r="G12" s="323" t="s">
        <v>478</v>
      </c>
      <c r="H12" s="324" t="s">
        <v>54</v>
      </c>
      <c r="I12" s="325"/>
      <c r="J12" s="323"/>
      <c r="K12" s="326"/>
      <c r="L12" s="327" t="s">
        <v>78</v>
      </c>
      <c r="M12" s="322" t="s">
        <v>77</v>
      </c>
      <c r="N12" s="322"/>
      <c r="O12" s="322" t="s">
        <v>77</v>
      </c>
      <c r="P12" s="328" t="s">
        <v>77</v>
      </c>
      <c r="Q12" s="327"/>
      <c r="R12" s="322"/>
      <c r="S12" s="322"/>
      <c r="T12" s="322"/>
      <c r="U12" s="329" t="s">
        <v>80</v>
      </c>
      <c r="V12" s="321"/>
      <c r="W12" s="323"/>
      <c r="X12" s="323"/>
      <c r="Y12" s="323"/>
      <c r="Z12" s="326"/>
      <c r="AA12" s="330"/>
      <c r="AB12" s="323"/>
      <c r="AC12" s="323"/>
      <c r="AD12" s="323"/>
      <c r="AE12" s="324"/>
      <c r="AF12" s="325"/>
      <c r="AG12" s="323"/>
      <c r="AH12" s="323"/>
      <c r="AI12" s="323"/>
      <c r="AJ12" s="326"/>
      <c r="AK12" s="330"/>
      <c r="AL12" s="323"/>
      <c r="AM12" s="323"/>
      <c r="AN12" s="323"/>
      <c r="AO12" s="324"/>
      <c r="AP12" s="325"/>
      <c r="AQ12" s="323"/>
      <c r="AR12" s="323"/>
      <c r="AS12" s="323"/>
      <c r="AT12" s="326"/>
      <c r="AU12" s="330"/>
      <c r="AV12" s="323"/>
      <c r="AW12" s="323"/>
      <c r="AX12" s="323"/>
      <c r="AY12" s="324"/>
      <c r="AZ12" s="325"/>
      <c r="BA12" s="323"/>
      <c r="BB12" s="323"/>
      <c r="BC12" s="323"/>
      <c r="BD12" s="326"/>
      <c r="BE12" s="330"/>
      <c r="BF12" s="323"/>
      <c r="BG12" s="323"/>
      <c r="BH12" s="323"/>
      <c r="BI12" s="324"/>
      <c r="BJ12" s="325"/>
      <c r="BK12" s="323"/>
      <c r="BL12" s="323"/>
      <c r="BM12" s="323"/>
      <c r="BN12" s="326"/>
      <c r="BO12" s="330"/>
      <c r="BP12" s="323"/>
      <c r="BQ12" s="323"/>
      <c r="BR12" s="323"/>
      <c r="BS12" s="324"/>
      <c r="BT12" s="325"/>
      <c r="BU12" s="323"/>
      <c r="BV12" s="323"/>
      <c r="BW12" s="323"/>
      <c r="BX12" s="326"/>
      <c r="BY12" s="330"/>
      <c r="BZ12" s="323"/>
      <c r="CA12" s="323"/>
      <c r="CB12" s="323"/>
      <c r="CC12" s="324"/>
      <c r="CD12" s="325"/>
      <c r="CE12" s="323"/>
      <c r="CF12" s="323"/>
      <c r="CG12" s="323"/>
      <c r="CH12" s="324"/>
      <c r="CI12" s="325"/>
      <c r="CJ12" s="323"/>
      <c r="CK12" s="323"/>
      <c r="CL12" s="323"/>
      <c r="CM12" s="326"/>
      <c r="CN12" s="45"/>
      <c r="CO12" s="45"/>
      <c r="CP12" s="45"/>
      <c r="CQ12" s="45"/>
      <c r="CR12" s="45"/>
      <c r="CS12" s="45"/>
      <c r="CT12" s="45"/>
      <c r="CU12" s="45"/>
      <c r="CV12" s="45"/>
      <c r="CW12" s="45"/>
      <c r="CX12" s="46"/>
      <c r="CY12" s="45"/>
      <c r="CZ12" s="45"/>
      <c r="DA12" s="46"/>
      <c r="DB12" s="45"/>
      <c r="DC12" s="46"/>
      <c r="DD12" s="46"/>
      <c r="DE12" s="45"/>
      <c r="DF12" s="46"/>
      <c r="DG12" s="46"/>
      <c r="DH12" s="45"/>
      <c r="DI12" s="45"/>
      <c r="DJ12" s="45"/>
      <c r="DK12" s="45"/>
      <c r="DL12" s="45"/>
      <c r="DM12" s="45"/>
      <c r="DN12" s="45"/>
    </row>
    <row r="13" spans="1:121" ht="25.5" hidden="1" customHeight="1">
      <c r="A13" s="321">
        <v>3956</v>
      </c>
      <c r="B13" s="322" t="s">
        <v>11</v>
      </c>
      <c r="C13" s="322" t="s">
        <v>44</v>
      </c>
      <c r="D13" s="322" t="s">
        <v>76</v>
      </c>
      <c r="E13" s="323" t="s">
        <v>53</v>
      </c>
      <c r="F13" s="322"/>
      <c r="G13" s="323" t="s">
        <v>480</v>
      </c>
      <c r="H13" s="324" t="s">
        <v>54</v>
      </c>
      <c r="I13" s="325"/>
      <c r="J13" s="323"/>
      <c r="K13" s="326"/>
      <c r="L13" s="327" t="s">
        <v>78</v>
      </c>
      <c r="M13" s="322" t="s">
        <v>77</v>
      </c>
      <c r="N13" s="322"/>
      <c r="O13" s="322" t="s">
        <v>77</v>
      </c>
      <c r="P13" s="328" t="s">
        <v>77</v>
      </c>
      <c r="Q13" s="327"/>
      <c r="R13" s="322"/>
      <c r="S13" s="322"/>
      <c r="T13" s="322"/>
      <c r="U13" s="329" t="s">
        <v>80</v>
      </c>
      <c r="V13" s="321"/>
      <c r="W13" s="323"/>
      <c r="X13" s="323"/>
      <c r="Y13" s="323"/>
      <c r="Z13" s="326"/>
      <c r="AA13" s="330"/>
      <c r="AB13" s="323"/>
      <c r="AC13" s="323"/>
      <c r="AD13" s="323"/>
      <c r="AE13" s="324"/>
      <c r="AF13" s="325"/>
      <c r="AG13" s="323"/>
      <c r="AH13" s="323"/>
      <c r="AI13" s="323"/>
      <c r="AJ13" s="326"/>
      <c r="AK13" s="330"/>
      <c r="AL13" s="323"/>
      <c r="AM13" s="323"/>
      <c r="AN13" s="323"/>
      <c r="AO13" s="324"/>
      <c r="AP13" s="325"/>
      <c r="AQ13" s="323"/>
      <c r="AR13" s="323"/>
      <c r="AS13" s="323"/>
      <c r="AT13" s="326"/>
      <c r="AU13" s="330"/>
      <c r="AV13" s="323"/>
      <c r="AW13" s="323"/>
      <c r="AX13" s="323"/>
      <c r="AY13" s="324"/>
      <c r="AZ13" s="325"/>
      <c r="BA13" s="323"/>
      <c r="BB13" s="323"/>
      <c r="BC13" s="323"/>
      <c r="BD13" s="326"/>
      <c r="BE13" s="330"/>
      <c r="BF13" s="323"/>
      <c r="BG13" s="323"/>
      <c r="BH13" s="323"/>
      <c r="BI13" s="324"/>
      <c r="BJ13" s="325"/>
      <c r="BK13" s="323"/>
      <c r="BL13" s="323"/>
      <c r="BM13" s="323"/>
      <c r="BN13" s="326"/>
      <c r="BO13" s="330"/>
      <c r="BP13" s="323"/>
      <c r="BQ13" s="323"/>
      <c r="BR13" s="323"/>
      <c r="BS13" s="324"/>
      <c r="BT13" s="325"/>
      <c r="BU13" s="323"/>
      <c r="BV13" s="323"/>
      <c r="BW13" s="323"/>
      <c r="BX13" s="326"/>
      <c r="BY13" s="330"/>
      <c r="BZ13" s="323"/>
      <c r="CA13" s="323"/>
      <c r="CB13" s="323"/>
      <c r="CC13" s="324"/>
      <c r="CD13" s="325"/>
      <c r="CE13" s="323"/>
      <c r="CF13" s="323"/>
      <c r="CG13" s="323"/>
      <c r="CH13" s="324"/>
      <c r="CI13" s="325"/>
      <c r="CJ13" s="323"/>
      <c r="CK13" s="323"/>
      <c r="CL13" s="323"/>
      <c r="CM13" s="326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  <c r="DA13" s="45"/>
      <c r="DB13" s="45"/>
      <c r="DC13" s="45"/>
      <c r="DD13" s="45"/>
      <c r="DE13" s="45"/>
      <c r="DF13" s="45"/>
      <c r="DG13" s="46"/>
      <c r="DH13" s="45"/>
      <c r="DI13" s="45"/>
      <c r="DJ13" s="45"/>
      <c r="DK13" s="45"/>
      <c r="DL13" s="45"/>
      <c r="DM13" s="45"/>
      <c r="DN13" s="45"/>
    </row>
    <row r="14" spans="1:121" ht="25.5" hidden="1" customHeight="1" thickBot="1">
      <c r="A14" s="331">
        <v>3957</v>
      </c>
      <c r="B14" s="332" t="s">
        <v>11</v>
      </c>
      <c r="C14" s="332" t="s">
        <v>44</v>
      </c>
      <c r="D14" s="332" t="s">
        <v>76</v>
      </c>
      <c r="E14" s="333" t="s">
        <v>53</v>
      </c>
      <c r="F14" s="332"/>
      <c r="G14" s="333" t="s">
        <v>482</v>
      </c>
      <c r="H14" s="334" t="s">
        <v>54</v>
      </c>
      <c r="I14" s="335"/>
      <c r="J14" s="333"/>
      <c r="K14" s="336"/>
      <c r="L14" s="337" t="s">
        <v>78</v>
      </c>
      <c r="M14" s="332" t="s">
        <v>77</v>
      </c>
      <c r="N14" s="332"/>
      <c r="O14" s="332" t="s">
        <v>77</v>
      </c>
      <c r="P14" s="338" t="s">
        <v>77</v>
      </c>
      <c r="Q14" s="337"/>
      <c r="R14" s="332"/>
      <c r="S14" s="332"/>
      <c r="T14" s="332"/>
      <c r="U14" s="339" t="s">
        <v>80</v>
      </c>
      <c r="V14" s="331"/>
      <c r="W14" s="333"/>
      <c r="X14" s="333"/>
      <c r="Y14" s="333"/>
      <c r="Z14" s="336"/>
      <c r="AA14" s="340"/>
      <c r="AB14" s="333"/>
      <c r="AC14" s="333"/>
      <c r="AD14" s="333"/>
      <c r="AE14" s="334"/>
      <c r="AF14" s="335"/>
      <c r="AG14" s="333"/>
      <c r="AH14" s="333"/>
      <c r="AI14" s="333"/>
      <c r="AJ14" s="336"/>
      <c r="AK14" s="340"/>
      <c r="AL14" s="333"/>
      <c r="AM14" s="333"/>
      <c r="AN14" s="333"/>
      <c r="AO14" s="334"/>
      <c r="AP14" s="335"/>
      <c r="AQ14" s="333"/>
      <c r="AR14" s="333"/>
      <c r="AS14" s="333"/>
      <c r="AT14" s="336"/>
      <c r="AU14" s="340"/>
      <c r="AV14" s="333"/>
      <c r="AW14" s="333"/>
      <c r="AX14" s="333"/>
      <c r="AY14" s="334"/>
      <c r="AZ14" s="335"/>
      <c r="BA14" s="333"/>
      <c r="BB14" s="333"/>
      <c r="BC14" s="333"/>
      <c r="BD14" s="336"/>
      <c r="BE14" s="340"/>
      <c r="BF14" s="333"/>
      <c r="BG14" s="333"/>
      <c r="BH14" s="333"/>
      <c r="BI14" s="334"/>
      <c r="BJ14" s="335"/>
      <c r="BK14" s="333"/>
      <c r="BL14" s="333"/>
      <c r="BM14" s="333"/>
      <c r="BN14" s="336"/>
      <c r="BO14" s="340"/>
      <c r="BP14" s="333"/>
      <c r="BQ14" s="333"/>
      <c r="BR14" s="333"/>
      <c r="BS14" s="334"/>
      <c r="BT14" s="335"/>
      <c r="BU14" s="333"/>
      <c r="BV14" s="333"/>
      <c r="BW14" s="333"/>
      <c r="BX14" s="336"/>
      <c r="BY14" s="340"/>
      <c r="BZ14" s="333"/>
      <c r="CA14" s="333"/>
      <c r="CB14" s="333"/>
      <c r="CC14" s="334"/>
      <c r="CD14" s="335"/>
      <c r="CE14" s="333"/>
      <c r="CF14" s="333"/>
      <c r="CG14" s="333"/>
      <c r="CH14" s="334"/>
      <c r="CI14" s="335"/>
      <c r="CJ14" s="333"/>
      <c r="CK14" s="333"/>
      <c r="CL14" s="333"/>
      <c r="CM14" s="336"/>
      <c r="CN14" s="45"/>
      <c r="CO14" s="45"/>
      <c r="CP14" s="45"/>
      <c r="CQ14" s="45"/>
      <c r="CR14" s="45"/>
      <c r="CS14" s="45"/>
      <c r="CT14" s="45"/>
      <c r="CU14" s="45"/>
      <c r="CV14" s="45"/>
      <c r="CW14" s="45"/>
      <c r="CX14" s="45"/>
      <c r="CY14" s="45"/>
      <c r="CZ14" s="45"/>
      <c r="DA14" s="45"/>
      <c r="DB14" s="45"/>
      <c r="DC14" s="45"/>
      <c r="DD14" s="45"/>
      <c r="DE14" s="45"/>
      <c r="DF14" s="45"/>
      <c r="DG14" s="46"/>
      <c r="DH14" s="45"/>
      <c r="DI14" s="45"/>
      <c r="DJ14" s="45"/>
      <c r="DK14" s="45"/>
      <c r="DL14" s="45"/>
      <c r="DM14" s="45"/>
      <c r="DN14" s="45"/>
    </row>
    <row r="15" spans="1:121" ht="25.5" customHeight="1">
      <c r="A15" s="341">
        <v>3958</v>
      </c>
      <c r="B15" s="342" t="s">
        <v>11</v>
      </c>
      <c r="C15" s="342" t="s">
        <v>44</v>
      </c>
      <c r="D15" s="342" t="s">
        <v>76</v>
      </c>
      <c r="E15" s="343" t="s">
        <v>53</v>
      </c>
      <c r="F15" s="342"/>
      <c r="G15" s="343" t="s">
        <v>484</v>
      </c>
      <c r="H15" s="344" t="s">
        <v>54</v>
      </c>
      <c r="I15" s="345"/>
      <c r="J15" s="343"/>
      <c r="K15" s="346"/>
      <c r="L15" s="347" t="s">
        <v>78</v>
      </c>
      <c r="M15" s="342" t="s">
        <v>77</v>
      </c>
      <c r="N15" s="342"/>
      <c r="O15" s="342" t="s">
        <v>77</v>
      </c>
      <c r="P15" s="348" t="s">
        <v>77</v>
      </c>
      <c r="Q15" s="347"/>
      <c r="R15" s="342"/>
      <c r="S15" s="342"/>
      <c r="T15" s="342"/>
      <c r="U15" s="349" t="s">
        <v>80</v>
      </c>
      <c r="V15" s="341"/>
      <c r="W15" s="343"/>
      <c r="X15" s="343"/>
      <c r="Y15" s="343"/>
      <c r="Z15" s="346"/>
      <c r="AA15" s="350"/>
      <c r="AB15" s="343"/>
      <c r="AC15" s="343"/>
      <c r="AD15" s="343"/>
      <c r="AE15" s="344"/>
      <c r="AF15" s="345"/>
      <c r="AG15" s="343"/>
      <c r="AH15" s="343"/>
      <c r="AI15" s="343"/>
      <c r="AJ15" s="346"/>
      <c r="AK15" s="350"/>
      <c r="AL15" s="343"/>
      <c r="AM15" s="343"/>
      <c r="AN15" s="343"/>
      <c r="AO15" s="344"/>
      <c r="AP15" s="345"/>
      <c r="AQ15" s="343"/>
      <c r="AR15" s="343"/>
      <c r="AS15" s="343"/>
      <c r="AT15" s="346"/>
      <c r="AU15" s="350"/>
      <c r="AV15" s="343"/>
      <c r="AW15" s="343"/>
      <c r="AX15" s="343"/>
      <c r="AY15" s="344"/>
      <c r="AZ15" s="345"/>
      <c r="BA15" s="343"/>
      <c r="BB15" s="343"/>
      <c r="BC15" s="343"/>
      <c r="BD15" s="346"/>
      <c r="BE15" s="350"/>
      <c r="BF15" s="343"/>
      <c r="BG15" s="343"/>
      <c r="BH15" s="343"/>
      <c r="BI15" s="344"/>
      <c r="BJ15" s="345"/>
      <c r="BK15" s="343"/>
      <c r="BL15" s="343"/>
      <c r="BM15" s="343"/>
      <c r="BN15" s="346"/>
      <c r="BO15" s="350"/>
      <c r="BP15" s="343"/>
      <c r="BQ15" s="343"/>
      <c r="BR15" s="343"/>
      <c r="BS15" s="344"/>
      <c r="BT15" s="345"/>
      <c r="BU15" s="343"/>
      <c r="BV15" s="343"/>
      <c r="BW15" s="343"/>
      <c r="BX15" s="346"/>
      <c r="BY15" s="350"/>
      <c r="BZ15" s="343"/>
      <c r="CA15" s="343"/>
      <c r="CB15" s="343"/>
      <c r="CC15" s="344"/>
      <c r="CD15" s="345"/>
      <c r="CE15" s="343"/>
      <c r="CF15" s="343"/>
      <c r="CG15" s="343"/>
      <c r="CH15" s="344"/>
      <c r="CI15" s="345"/>
      <c r="CJ15" s="343"/>
      <c r="CK15" s="343"/>
      <c r="CL15" s="343"/>
      <c r="CM15" s="346"/>
      <c r="CN15" s="45"/>
      <c r="CO15" s="45"/>
      <c r="CP15" s="46"/>
      <c r="CQ15" s="45"/>
      <c r="CR15" s="45"/>
      <c r="CS15" s="45"/>
      <c r="CT15" s="45"/>
      <c r="CU15" s="45"/>
      <c r="CV15" s="45"/>
      <c r="CW15" s="45"/>
      <c r="CX15" s="46"/>
      <c r="CY15" s="45"/>
      <c r="CZ15" s="45"/>
      <c r="DA15" s="46"/>
      <c r="DB15" s="45"/>
      <c r="DC15" s="46"/>
      <c r="DD15" s="46"/>
      <c r="DE15" s="45"/>
      <c r="DF15" s="46"/>
      <c r="DG15" s="46"/>
      <c r="DH15" s="45"/>
      <c r="DI15" s="46"/>
      <c r="DJ15" s="46"/>
      <c r="DK15" s="45"/>
      <c r="DL15" s="46"/>
      <c r="DM15" s="45"/>
      <c r="DN15" s="45"/>
    </row>
    <row r="16" spans="1:121" ht="25.5" customHeight="1">
      <c r="A16" s="321">
        <v>3959</v>
      </c>
      <c r="B16" s="322" t="s">
        <v>11</v>
      </c>
      <c r="C16" s="322" t="s">
        <v>44</v>
      </c>
      <c r="D16" s="322" t="s">
        <v>76</v>
      </c>
      <c r="E16" s="323" t="s">
        <v>53</v>
      </c>
      <c r="F16" s="322"/>
      <c r="G16" s="323" t="s">
        <v>486</v>
      </c>
      <c r="H16" s="324" t="s">
        <v>54</v>
      </c>
      <c r="I16" s="325"/>
      <c r="J16" s="323"/>
      <c r="K16" s="326"/>
      <c r="L16" s="327" t="s">
        <v>78</v>
      </c>
      <c r="M16" s="322" t="s">
        <v>77</v>
      </c>
      <c r="N16" s="322"/>
      <c r="O16" s="322" t="s">
        <v>77</v>
      </c>
      <c r="P16" s="328" t="s">
        <v>77</v>
      </c>
      <c r="Q16" s="327"/>
      <c r="R16" s="322"/>
      <c r="S16" s="322"/>
      <c r="T16" s="322"/>
      <c r="U16" s="329" t="s">
        <v>80</v>
      </c>
      <c r="V16" s="321"/>
      <c r="W16" s="323"/>
      <c r="X16" s="323"/>
      <c r="Y16" s="323"/>
      <c r="Z16" s="326"/>
      <c r="AA16" s="330"/>
      <c r="AB16" s="323"/>
      <c r="AC16" s="323"/>
      <c r="AD16" s="323"/>
      <c r="AE16" s="324"/>
      <c r="AF16" s="325"/>
      <c r="AG16" s="323"/>
      <c r="AH16" s="323"/>
      <c r="AI16" s="323"/>
      <c r="AJ16" s="326"/>
      <c r="AK16" s="330"/>
      <c r="AL16" s="323"/>
      <c r="AM16" s="323"/>
      <c r="AN16" s="323"/>
      <c r="AO16" s="324"/>
      <c r="AP16" s="325"/>
      <c r="AQ16" s="323"/>
      <c r="AR16" s="323"/>
      <c r="AS16" s="323"/>
      <c r="AT16" s="326"/>
      <c r="AU16" s="330"/>
      <c r="AV16" s="323"/>
      <c r="AW16" s="323"/>
      <c r="AX16" s="323"/>
      <c r="AY16" s="324"/>
      <c r="AZ16" s="325"/>
      <c r="BA16" s="323"/>
      <c r="BB16" s="323"/>
      <c r="BC16" s="323"/>
      <c r="BD16" s="326"/>
      <c r="BE16" s="330"/>
      <c r="BF16" s="323"/>
      <c r="BG16" s="323"/>
      <c r="BH16" s="323"/>
      <c r="BI16" s="324"/>
      <c r="BJ16" s="325"/>
      <c r="BK16" s="323"/>
      <c r="BL16" s="323"/>
      <c r="BM16" s="323"/>
      <c r="BN16" s="326"/>
      <c r="BO16" s="330"/>
      <c r="BP16" s="323"/>
      <c r="BQ16" s="323"/>
      <c r="BR16" s="323"/>
      <c r="BS16" s="324"/>
      <c r="BT16" s="325"/>
      <c r="BU16" s="323"/>
      <c r="BV16" s="323"/>
      <c r="BW16" s="323"/>
      <c r="BX16" s="326"/>
      <c r="BY16" s="330"/>
      <c r="BZ16" s="323"/>
      <c r="CA16" s="323"/>
      <c r="CB16" s="323"/>
      <c r="CC16" s="324"/>
      <c r="CD16" s="325"/>
      <c r="CE16" s="323"/>
      <c r="CF16" s="323"/>
      <c r="CG16" s="323"/>
      <c r="CH16" s="324"/>
      <c r="CI16" s="325"/>
      <c r="CJ16" s="323"/>
      <c r="CK16" s="323"/>
      <c r="CL16" s="323"/>
      <c r="CM16" s="326"/>
      <c r="CN16" s="45"/>
      <c r="CO16" s="45"/>
      <c r="CP16" s="45"/>
      <c r="CQ16" s="45"/>
      <c r="CR16" s="45"/>
      <c r="CS16" s="45"/>
      <c r="CT16" s="45"/>
      <c r="CU16" s="45"/>
      <c r="CV16" s="45"/>
      <c r="CW16" s="45"/>
      <c r="CX16" s="45"/>
      <c r="CY16" s="45"/>
      <c r="CZ16" s="45"/>
      <c r="DA16" s="45"/>
      <c r="DB16" s="45"/>
      <c r="DC16" s="45"/>
      <c r="DD16" s="45"/>
      <c r="DE16" s="45"/>
      <c r="DF16" s="45"/>
      <c r="DG16" s="45"/>
      <c r="DH16" s="45"/>
      <c r="DI16" s="45"/>
      <c r="DJ16" s="45"/>
      <c r="DK16" s="45"/>
      <c r="DL16" s="45"/>
      <c r="DM16" s="45"/>
      <c r="DN16" s="45"/>
    </row>
    <row r="17" spans="1:118" ht="25.5" customHeight="1">
      <c r="A17" s="321">
        <v>3960</v>
      </c>
      <c r="B17" s="322" t="s">
        <v>11</v>
      </c>
      <c r="C17" s="322" t="s">
        <v>44</v>
      </c>
      <c r="D17" s="322" t="s">
        <v>76</v>
      </c>
      <c r="E17" s="323" t="s">
        <v>53</v>
      </c>
      <c r="F17" s="322"/>
      <c r="G17" s="323" t="s">
        <v>488</v>
      </c>
      <c r="H17" s="324" t="s">
        <v>54</v>
      </c>
      <c r="I17" s="325"/>
      <c r="J17" s="323"/>
      <c r="K17" s="326"/>
      <c r="L17" s="327" t="s">
        <v>78</v>
      </c>
      <c r="M17" s="322" t="s">
        <v>77</v>
      </c>
      <c r="N17" s="322"/>
      <c r="O17" s="322" t="s">
        <v>77</v>
      </c>
      <c r="P17" s="328" t="s">
        <v>77</v>
      </c>
      <c r="Q17" s="327"/>
      <c r="R17" s="322"/>
      <c r="S17" s="322"/>
      <c r="T17" s="322"/>
      <c r="U17" s="329" t="s">
        <v>80</v>
      </c>
      <c r="V17" s="321"/>
      <c r="W17" s="323"/>
      <c r="X17" s="323"/>
      <c r="Y17" s="323"/>
      <c r="Z17" s="326"/>
      <c r="AA17" s="330"/>
      <c r="AB17" s="323"/>
      <c r="AC17" s="323"/>
      <c r="AD17" s="323"/>
      <c r="AE17" s="324"/>
      <c r="AF17" s="325"/>
      <c r="AG17" s="323"/>
      <c r="AH17" s="323"/>
      <c r="AI17" s="323"/>
      <c r="AJ17" s="326"/>
      <c r="AK17" s="330"/>
      <c r="AL17" s="323"/>
      <c r="AM17" s="323"/>
      <c r="AN17" s="323"/>
      <c r="AO17" s="324"/>
      <c r="AP17" s="325"/>
      <c r="AQ17" s="323"/>
      <c r="AR17" s="323"/>
      <c r="AS17" s="323"/>
      <c r="AT17" s="326"/>
      <c r="AU17" s="330"/>
      <c r="AV17" s="323"/>
      <c r="AW17" s="323"/>
      <c r="AX17" s="323"/>
      <c r="AY17" s="324"/>
      <c r="AZ17" s="325"/>
      <c r="BA17" s="323"/>
      <c r="BB17" s="323"/>
      <c r="BC17" s="323"/>
      <c r="BD17" s="326"/>
      <c r="BE17" s="330"/>
      <c r="BF17" s="323"/>
      <c r="BG17" s="323"/>
      <c r="BH17" s="323"/>
      <c r="BI17" s="324"/>
      <c r="BJ17" s="325"/>
      <c r="BK17" s="323"/>
      <c r="BL17" s="323"/>
      <c r="BM17" s="323"/>
      <c r="BN17" s="326"/>
      <c r="BO17" s="330"/>
      <c r="BP17" s="323"/>
      <c r="BQ17" s="323"/>
      <c r="BR17" s="323"/>
      <c r="BS17" s="324"/>
      <c r="BT17" s="325"/>
      <c r="BU17" s="323"/>
      <c r="BV17" s="323"/>
      <c r="BW17" s="323"/>
      <c r="BX17" s="326"/>
      <c r="BY17" s="330"/>
      <c r="BZ17" s="323"/>
      <c r="CA17" s="323"/>
      <c r="CB17" s="323"/>
      <c r="CC17" s="324"/>
      <c r="CD17" s="325"/>
      <c r="CE17" s="323"/>
      <c r="CF17" s="323"/>
      <c r="CG17" s="323"/>
      <c r="CH17" s="324"/>
      <c r="CI17" s="325"/>
      <c r="CJ17" s="323"/>
      <c r="CK17" s="323"/>
      <c r="CL17" s="323"/>
      <c r="CM17" s="326"/>
      <c r="CN17" s="45"/>
      <c r="CO17" s="45"/>
      <c r="CP17" s="45"/>
      <c r="CQ17" s="45"/>
      <c r="CR17" s="45"/>
      <c r="CS17" s="45"/>
      <c r="CT17" s="45"/>
      <c r="CU17" s="45"/>
      <c r="CV17" s="45"/>
      <c r="CW17" s="45"/>
      <c r="CX17" s="45"/>
      <c r="CY17" s="45"/>
      <c r="CZ17" s="45"/>
      <c r="DA17" s="45"/>
      <c r="DB17" s="45"/>
      <c r="DC17" s="45"/>
      <c r="DD17" s="45"/>
      <c r="DE17" s="45"/>
      <c r="DF17" s="45"/>
      <c r="DG17" s="45"/>
      <c r="DH17" s="45"/>
      <c r="DI17" s="45"/>
      <c r="DJ17" s="45"/>
      <c r="DK17" s="45"/>
      <c r="DL17" s="45"/>
      <c r="DM17" s="45"/>
      <c r="DN17" s="45"/>
    </row>
    <row r="18" spans="1:118" ht="25.5" customHeight="1">
      <c r="A18" s="321">
        <v>3961</v>
      </c>
      <c r="B18" s="322" t="s">
        <v>11</v>
      </c>
      <c r="C18" s="322" t="s">
        <v>44</v>
      </c>
      <c r="D18" s="322" t="s">
        <v>76</v>
      </c>
      <c r="E18" s="323" t="s">
        <v>53</v>
      </c>
      <c r="F18" s="322"/>
      <c r="G18" s="323" t="s">
        <v>490</v>
      </c>
      <c r="H18" s="324" t="s">
        <v>54</v>
      </c>
      <c r="I18" s="325"/>
      <c r="J18" s="323"/>
      <c r="K18" s="326"/>
      <c r="L18" s="327" t="s">
        <v>78</v>
      </c>
      <c r="M18" s="322" t="s">
        <v>77</v>
      </c>
      <c r="N18" s="322"/>
      <c r="O18" s="322" t="s">
        <v>77</v>
      </c>
      <c r="P18" s="328" t="s">
        <v>77</v>
      </c>
      <c r="Q18" s="327"/>
      <c r="R18" s="322"/>
      <c r="S18" s="322"/>
      <c r="T18" s="322"/>
      <c r="U18" s="329" t="s">
        <v>80</v>
      </c>
      <c r="V18" s="321"/>
      <c r="W18" s="323"/>
      <c r="X18" s="323"/>
      <c r="Y18" s="323"/>
      <c r="Z18" s="326"/>
      <c r="AA18" s="330"/>
      <c r="AB18" s="323"/>
      <c r="AC18" s="323"/>
      <c r="AD18" s="323"/>
      <c r="AE18" s="324"/>
      <c r="AF18" s="325"/>
      <c r="AG18" s="323"/>
      <c r="AH18" s="323"/>
      <c r="AI18" s="323"/>
      <c r="AJ18" s="326"/>
      <c r="AK18" s="330"/>
      <c r="AL18" s="323"/>
      <c r="AM18" s="323"/>
      <c r="AN18" s="323"/>
      <c r="AO18" s="324"/>
      <c r="AP18" s="325"/>
      <c r="AQ18" s="323"/>
      <c r="AR18" s="323"/>
      <c r="AS18" s="323"/>
      <c r="AT18" s="326"/>
      <c r="AU18" s="330"/>
      <c r="AV18" s="323"/>
      <c r="AW18" s="323"/>
      <c r="AX18" s="323"/>
      <c r="AY18" s="324"/>
      <c r="AZ18" s="325"/>
      <c r="BA18" s="323"/>
      <c r="BB18" s="323"/>
      <c r="BC18" s="323"/>
      <c r="BD18" s="326"/>
      <c r="BE18" s="330"/>
      <c r="BF18" s="323"/>
      <c r="BG18" s="323"/>
      <c r="BH18" s="323"/>
      <c r="BI18" s="324"/>
      <c r="BJ18" s="325"/>
      <c r="BK18" s="323"/>
      <c r="BL18" s="323"/>
      <c r="BM18" s="323"/>
      <c r="BN18" s="326"/>
      <c r="BO18" s="330"/>
      <c r="BP18" s="323"/>
      <c r="BQ18" s="323"/>
      <c r="BR18" s="323"/>
      <c r="BS18" s="324"/>
      <c r="BT18" s="325"/>
      <c r="BU18" s="323"/>
      <c r="BV18" s="323"/>
      <c r="BW18" s="323"/>
      <c r="BX18" s="326"/>
      <c r="BY18" s="330"/>
      <c r="BZ18" s="323"/>
      <c r="CA18" s="323"/>
      <c r="CB18" s="323"/>
      <c r="CC18" s="324"/>
      <c r="CD18" s="325"/>
      <c r="CE18" s="323"/>
      <c r="CF18" s="323"/>
      <c r="CG18" s="323"/>
      <c r="CH18" s="324"/>
      <c r="CI18" s="325"/>
      <c r="CJ18" s="323"/>
      <c r="CK18" s="323"/>
      <c r="CL18" s="323"/>
      <c r="CM18" s="326"/>
      <c r="CN18" s="45"/>
      <c r="CO18" s="45"/>
      <c r="CP18" s="45"/>
      <c r="CQ18" s="45"/>
      <c r="CR18" s="45"/>
      <c r="CS18" s="45"/>
      <c r="CT18" s="45"/>
      <c r="CU18" s="45"/>
      <c r="CV18" s="45"/>
      <c r="CW18" s="45"/>
      <c r="CX18" s="45"/>
      <c r="CY18" s="45"/>
      <c r="CZ18" s="45"/>
      <c r="DA18" s="45"/>
      <c r="DB18" s="45"/>
      <c r="DC18" s="45"/>
      <c r="DD18" s="45"/>
      <c r="DE18" s="45"/>
      <c r="DF18" s="45"/>
      <c r="DG18" s="45"/>
      <c r="DH18" s="45"/>
      <c r="DI18" s="45"/>
      <c r="DJ18" s="45"/>
      <c r="DK18" s="45"/>
      <c r="DL18" s="45"/>
      <c r="DM18" s="45"/>
      <c r="DN18" s="45"/>
    </row>
    <row r="19" spans="1:118" ht="25.5" customHeight="1" thickBot="1">
      <c r="A19" s="351">
        <v>3962</v>
      </c>
      <c r="B19" s="352" t="s">
        <v>11</v>
      </c>
      <c r="C19" s="352" t="s">
        <v>44</v>
      </c>
      <c r="D19" s="352" t="s">
        <v>76</v>
      </c>
      <c r="E19" s="353" t="s">
        <v>53</v>
      </c>
      <c r="F19" s="352"/>
      <c r="G19" s="353" t="s">
        <v>492</v>
      </c>
      <c r="H19" s="354" t="s">
        <v>54</v>
      </c>
      <c r="I19" s="355"/>
      <c r="J19" s="353"/>
      <c r="K19" s="356"/>
      <c r="L19" s="357" t="s">
        <v>78</v>
      </c>
      <c r="M19" s="352" t="s">
        <v>77</v>
      </c>
      <c r="N19" s="352"/>
      <c r="O19" s="352" t="s">
        <v>77</v>
      </c>
      <c r="P19" s="358" t="s">
        <v>77</v>
      </c>
      <c r="Q19" s="357"/>
      <c r="R19" s="352"/>
      <c r="S19" s="352"/>
      <c r="T19" s="352"/>
      <c r="U19" s="359" t="s">
        <v>80</v>
      </c>
      <c r="V19" s="351"/>
      <c r="W19" s="353"/>
      <c r="X19" s="353"/>
      <c r="Y19" s="353"/>
      <c r="Z19" s="356"/>
      <c r="AA19" s="360"/>
      <c r="AB19" s="353"/>
      <c r="AC19" s="353"/>
      <c r="AD19" s="353"/>
      <c r="AE19" s="354"/>
      <c r="AF19" s="355"/>
      <c r="AG19" s="353"/>
      <c r="AH19" s="353"/>
      <c r="AI19" s="353"/>
      <c r="AJ19" s="356"/>
      <c r="AK19" s="360"/>
      <c r="AL19" s="353"/>
      <c r="AM19" s="353"/>
      <c r="AN19" s="353"/>
      <c r="AO19" s="354"/>
      <c r="AP19" s="355"/>
      <c r="AQ19" s="353"/>
      <c r="AR19" s="353"/>
      <c r="AS19" s="353"/>
      <c r="AT19" s="356"/>
      <c r="AU19" s="360"/>
      <c r="AV19" s="353"/>
      <c r="AW19" s="353"/>
      <c r="AX19" s="353"/>
      <c r="AY19" s="354"/>
      <c r="AZ19" s="355"/>
      <c r="BA19" s="353"/>
      <c r="BB19" s="353"/>
      <c r="BC19" s="353"/>
      <c r="BD19" s="356"/>
      <c r="BE19" s="360"/>
      <c r="BF19" s="353"/>
      <c r="BG19" s="353"/>
      <c r="BH19" s="353"/>
      <c r="BI19" s="354"/>
      <c r="BJ19" s="355"/>
      <c r="BK19" s="353"/>
      <c r="BL19" s="353"/>
      <c r="BM19" s="353"/>
      <c r="BN19" s="356"/>
      <c r="BO19" s="360"/>
      <c r="BP19" s="353"/>
      <c r="BQ19" s="353"/>
      <c r="BR19" s="353"/>
      <c r="BS19" s="354"/>
      <c r="BT19" s="355"/>
      <c r="BU19" s="353"/>
      <c r="BV19" s="353"/>
      <c r="BW19" s="353"/>
      <c r="BX19" s="356"/>
      <c r="BY19" s="360"/>
      <c r="BZ19" s="353"/>
      <c r="CA19" s="353"/>
      <c r="CB19" s="353"/>
      <c r="CC19" s="354"/>
      <c r="CD19" s="355"/>
      <c r="CE19" s="353"/>
      <c r="CF19" s="353"/>
      <c r="CG19" s="353"/>
      <c r="CH19" s="354"/>
      <c r="CI19" s="355"/>
      <c r="CJ19" s="353"/>
      <c r="CK19" s="353"/>
      <c r="CL19" s="353"/>
      <c r="CM19" s="356"/>
      <c r="CN19" s="45"/>
      <c r="CO19" s="45"/>
      <c r="CP19" s="45"/>
      <c r="CQ19" s="45"/>
      <c r="CR19" s="45"/>
      <c r="CS19" s="45"/>
      <c r="CT19" s="45"/>
      <c r="CU19" s="45"/>
      <c r="CV19" s="45"/>
      <c r="CW19" s="45"/>
      <c r="CX19" s="45"/>
      <c r="CY19" s="45"/>
      <c r="CZ19" s="45"/>
      <c r="DA19" s="45"/>
      <c r="DB19" s="45"/>
      <c r="DC19" s="45"/>
      <c r="DD19" s="45"/>
      <c r="DE19" s="45"/>
      <c r="DF19" s="45"/>
      <c r="DG19" s="45"/>
      <c r="DH19" s="45"/>
      <c r="DI19" s="45"/>
      <c r="DJ19" s="45"/>
      <c r="DK19" s="45"/>
      <c r="DL19" s="45"/>
      <c r="DM19" s="45"/>
      <c r="DN19" s="45"/>
    </row>
    <row r="20" spans="1:118" ht="25.5" customHeight="1">
      <c r="A20" s="361">
        <v>3963</v>
      </c>
      <c r="B20" s="362" t="s">
        <v>11</v>
      </c>
      <c r="C20" s="362" t="s">
        <v>44</v>
      </c>
      <c r="D20" s="362" t="s">
        <v>76</v>
      </c>
      <c r="E20" s="363" t="s">
        <v>53</v>
      </c>
      <c r="F20" s="362"/>
      <c r="G20" s="363" t="s">
        <v>494</v>
      </c>
      <c r="H20" s="364" t="s">
        <v>54</v>
      </c>
      <c r="I20" s="365"/>
      <c r="J20" s="363"/>
      <c r="K20" s="366"/>
      <c r="L20" s="367" t="s">
        <v>78</v>
      </c>
      <c r="M20" s="362" t="s">
        <v>77</v>
      </c>
      <c r="N20" s="362"/>
      <c r="O20" s="362" t="s">
        <v>77</v>
      </c>
      <c r="P20" s="368" t="s">
        <v>77</v>
      </c>
      <c r="Q20" s="367"/>
      <c r="R20" s="362"/>
      <c r="S20" s="362"/>
      <c r="T20" s="362"/>
      <c r="U20" s="369" t="s">
        <v>80</v>
      </c>
      <c r="V20" s="361"/>
      <c r="W20" s="363"/>
      <c r="X20" s="363"/>
      <c r="Y20" s="363"/>
      <c r="Z20" s="366"/>
      <c r="AA20" s="370"/>
      <c r="AB20" s="363"/>
      <c r="AC20" s="363"/>
      <c r="AD20" s="363"/>
      <c r="AE20" s="364"/>
      <c r="AF20" s="365"/>
      <c r="AG20" s="363"/>
      <c r="AH20" s="363"/>
      <c r="AI20" s="363"/>
      <c r="AJ20" s="366"/>
      <c r="AK20" s="370"/>
      <c r="AL20" s="363"/>
      <c r="AM20" s="363"/>
      <c r="AN20" s="363"/>
      <c r="AO20" s="364"/>
      <c r="AP20" s="365"/>
      <c r="AQ20" s="363"/>
      <c r="AR20" s="363"/>
      <c r="AS20" s="363"/>
      <c r="AT20" s="366"/>
      <c r="AU20" s="370"/>
      <c r="AV20" s="363"/>
      <c r="AW20" s="363"/>
      <c r="AX20" s="363"/>
      <c r="AY20" s="364"/>
      <c r="AZ20" s="365"/>
      <c r="BA20" s="363"/>
      <c r="BB20" s="363"/>
      <c r="BC20" s="363"/>
      <c r="BD20" s="366"/>
      <c r="BE20" s="370"/>
      <c r="BF20" s="363"/>
      <c r="BG20" s="363"/>
      <c r="BH20" s="363"/>
      <c r="BI20" s="364"/>
      <c r="BJ20" s="365"/>
      <c r="BK20" s="363"/>
      <c r="BL20" s="363"/>
      <c r="BM20" s="363"/>
      <c r="BN20" s="366"/>
      <c r="BO20" s="370"/>
      <c r="BP20" s="363"/>
      <c r="BQ20" s="363"/>
      <c r="BR20" s="363"/>
      <c r="BS20" s="364"/>
      <c r="BT20" s="365"/>
      <c r="BU20" s="363"/>
      <c r="BV20" s="363"/>
      <c r="BW20" s="363"/>
      <c r="BX20" s="366"/>
      <c r="BY20" s="370"/>
      <c r="BZ20" s="363"/>
      <c r="CA20" s="363"/>
      <c r="CB20" s="363"/>
      <c r="CC20" s="364"/>
      <c r="CD20" s="365"/>
      <c r="CE20" s="363"/>
      <c r="CF20" s="363"/>
      <c r="CG20" s="363"/>
      <c r="CH20" s="364"/>
      <c r="CI20" s="365"/>
      <c r="CJ20" s="363"/>
      <c r="CK20" s="363"/>
      <c r="CL20" s="363"/>
      <c r="CM20" s="366"/>
      <c r="CN20" s="45"/>
      <c r="CO20" s="45"/>
      <c r="CP20" s="45"/>
      <c r="CQ20" s="45"/>
      <c r="CR20" s="45"/>
      <c r="CS20" s="45"/>
      <c r="CT20" s="45"/>
      <c r="CU20" s="45"/>
      <c r="CV20" s="45"/>
      <c r="CW20" s="45"/>
      <c r="CX20" s="46"/>
      <c r="CY20" s="45"/>
      <c r="CZ20" s="45"/>
      <c r="DA20" s="46"/>
      <c r="DB20" s="45"/>
      <c r="DC20" s="45"/>
      <c r="DD20" s="45"/>
      <c r="DE20" s="45"/>
      <c r="DF20" s="46"/>
      <c r="DG20" s="45"/>
      <c r="DH20" s="45"/>
      <c r="DI20" s="45"/>
      <c r="DJ20" s="45"/>
      <c r="DK20" s="45"/>
      <c r="DL20" s="45"/>
      <c r="DM20" s="45"/>
      <c r="DN20" s="45"/>
    </row>
    <row r="21" spans="1:118" ht="25.5" customHeight="1">
      <c r="A21" s="321">
        <v>3964</v>
      </c>
      <c r="B21" s="322" t="s">
        <v>11</v>
      </c>
      <c r="C21" s="322" t="s">
        <v>44</v>
      </c>
      <c r="D21" s="322" t="s">
        <v>76</v>
      </c>
      <c r="E21" s="323" t="s">
        <v>53</v>
      </c>
      <c r="F21" s="322"/>
      <c r="G21" s="323" t="s">
        <v>496</v>
      </c>
      <c r="H21" s="324" t="s">
        <v>54</v>
      </c>
      <c r="I21" s="325"/>
      <c r="J21" s="323"/>
      <c r="K21" s="326"/>
      <c r="L21" s="327" t="s">
        <v>78</v>
      </c>
      <c r="M21" s="322" t="s">
        <v>77</v>
      </c>
      <c r="N21" s="322"/>
      <c r="O21" s="322" t="s">
        <v>77</v>
      </c>
      <c r="P21" s="328" t="s">
        <v>77</v>
      </c>
      <c r="Q21" s="327"/>
      <c r="R21" s="322"/>
      <c r="S21" s="322"/>
      <c r="T21" s="322"/>
      <c r="U21" s="329" t="s">
        <v>80</v>
      </c>
      <c r="V21" s="321"/>
      <c r="W21" s="323"/>
      <c r="X21" s="323"/>
      <c r="Y21" s="323"/>
      <c r="Z21" s="326"/>
      <c r="AA21" s="330"/>
      <c r="AB21" s="323"/>
      <c r="AC21" s="323"/>
      <c r="AD21" s="323"/>
      <c r="AE21" s="324"/>
      <c r="AF21" s="325"/>
      <c r="AG21" s="323"/>
      <c r="AH21" s="323"/>
      <c r="AI21" s="323"/>
      <c r="AJ21" s="326"/>
      <c r="AK21" s="330"/>
      <c r="AL21" s="323"/>
      <c r="AM21" s="323"/>
      <c r="AN21" s="323"/>
      <c r="AO21" s="324"/>
      <c r="AP21" s="325"/>
      <c r="AQ21" s="323"/>
      <c r="AR21" s="323"/>
      <c r="AS21" s="323"/>
      <c r="AT21" s="326"/>
      <c r="AU21" s="330"/>
      <c r="AV21" s="323"/>
      <c r="AW21" s="323"/>
      <c r="AX21" s="323"/>
      <c r="AY21" s="324"/>
      <c r="AZ21" s="325"/>
      <c r="BA21" s="323"/>
      <c r="BB21" s="323"/>
      <c r="BC21" s="323"/>
      <c r="BD21" s="326"/>
      <c r="BE21" s="330"/>
      <c r="BF21" s="323"/>
      <c r="BG21" s="323"/>
      <c r="BH21" s="323"/>
      <c r="BI21" s="324"/>
      <c r="BJ21" s="325"/>
      <c r="BK21" s="323"/>
      <c r="BL21" s="323"/>
      <c r="BM21" s="323"/>
      <c r="BN21" s="326"/>
      <c r="BO21" s="330"/>
      <c r="BP21" s="323"/>
      <c r="BQ21" s="323"/>
      <c r="BR21" s="323"/>
      <c r="BS21" s="324"/>
      <c r="BT21" s="325"/>
      <c r="BU21" s="323"/>
      <c r="BV21" s="323"/>
      <c r="BW21" s="323"/>
      <c r="BX21" s="326"/>
      <c r="BY21" s="330"/>
      <c r="BZ21" s="323"/>
      <c r="CA21" s="323"/>
      <c r="CB21" s="323"/>
      <c r="CC21" s="324"/>
      <c r="CD21" s="325"/>
      <c r="CE21" s="323"/>
      <c r="CF21" s="323"/>
      <c r="CG21" s="323"/>
      <c r="CH21" s="324"/>
      <c r="CI21" s="325"/>
      <c r="CJ21" s="323"/>
      <c r="CK21" s="323"/>
      <c r="CL21" s="323"/>
      <c r="CM21" s="326"/>
    </row>
    <row r="22" spans="1:118" ht="25.5" customHeight="1">
      <c r="A22" s="321">
        <v>3965</v>
      </c>
      <c r="B22" s="322" t="s">
        <v>11</v>
      </c>
      <c r="C22" s="322" t="s">
        <v>44</v>
      </c>
      <c r="D22" s="322" t="s">
        <v>76</v>
      </c>
      <c r="E22" s="323" t="s">
        <v>53</v>
      </c>
      <c r="F22" s="322"/>
      <c r="G22" s="323" t="s">
        <v>498</v>
      </c>
      <c r="H22" s="371" t="s">
        <v>54</v>
      </c>
      <c r="I22" s="325"/>
      <c r="J22" s="323"/>
      <c r="K22" s="326"/>
      <c r="L22" s="327" t="s">
        <v>78</v>
      </c>
      <c r="M22" s="322" t="s">
        <v>77</v>
      </c>
      <c r="N22" s="322"/>
      <c r="O22" s="322" t="s">
        <v>77</v>
      </c>
      <c r="P22" s="328" t="s">
        <v>77</v>
      </c>
      <c r="Q22" s="327"/>
      <c r="R22" s="322"/>
      <c r="S22" s="322"/>
      <c r="T22" s="322"/>
      <c r="U22" s="329" t="s">
        <v>80</v>
      </c>
      <c r="V22" s="321"/>
      <c r="W22" s="372"/>
      <c r="X22" s="372"/>
      <c r="Y22" s="372"/>
      <c r="Z22" s="373"/>
      <c r="AA22" s="374"/>
      <c r="AB22" s="372"/>
      <c r="AC22" s="372"/>
      <c r="AD22" s="372"/>
      <c r="AE22" s="371"/>
      <c r="AF22" s="375"/>
      <c r="AG22" s="372"/>
      <c r="AH22" s="372"/>
      <c r="AI22" s="372"/>
      <c r="AJ22" s="373"/>
      <c r="AK22" s="374"/>
      <c r="AL22" s="372"/>
      <c r="AM22" s="372"/>
      <c r="AN22" s="372"/>
      <c r="AO22" s="371"/>
      <c r="AP22" s="375"/>
      <c r="AQ22" s="372"/>
      <c r="AR22" s="372"/>
      <c r="AS22" s="372"/>
      <c r="AT22" s="373"/>
      <c r="AU22" s="374"/>
      <c r="AV22" s="372"/>
      <c r="AW22" s="372"/>
      <c r="AX22" s="372"/>
      <c r="AY22" s="371"/>
      <c r="AZ22" s="375"/>
      <c r="BA22" s="372"/>
      <c r="BB22" s="372"/>
      <c r="BC22" s="372"/>
      <c r="BD22" s="373"/>
      <c r="BE22" s="374"/>
      <c r="BF22" s="372"/>
      <c r="BG22" s="372"/>
      <c r="BH22" s="372"/>
      <c r="BI22" s="371"/>
      <c r="BJ22" s="375"/>
      <c r="BK22" s="372"/>
      <c r="BL22" s="372"/>
      <c r="BM22" s="372"/>
      <c r="BN22" s="373"/>
      <c r="BO22" s="374"/>
      <c r="BP22" s="372"/>
      <c r="BQ22" s="372"/>
      <c r="BR22" s="372"/>
      <c r="BS22" s="371"/>
      <c r="BT22" s="375"/>
      <c r="BU22" s="372"/>
      <c r="BV22" s="372"/>
      <c r="BW22" s="372"/>
      <c r="BX22" s="373"/>
      <c r="BY22" s="374"/>
      <c r="BZ22" s="372"/>
      <c r="CA22" s="372"/>
      <c r="CB22" s="372"/>
      <c r="CC22" s="371"/>
      <c r="CD22" s="375"/>
      <c r="CE22" s="372"/>
      <c r="CF22" s="372"/>
      <c r="CG22" s="372"/>
      <c r="CH22" s="371"/>
      <c r="CI22" s="375"/>
      <c r="CJ22" s="372"/>
      <c r="CK22" s="372"/>
      <c r="CL22" s="372"/>
      <c r="CM22" s="373"/>
    </row>
    <row r="23" spans="1:118" ht="25.5" customHeight="1">
      <c r="A23" s="321">
        <v>3966</v>
      </c>
      <c r="B23" s="322" t="s">
        <v>11</v>
      </c>
      <c r="C23" s="322" t="s">
        <v>44</v>
      </c>
      <c r="D23" s="322" t="s">
        <v>76</v>
      </c>
      <c r="E23" s="323" t="s">
        <v>53</v>
      </c>
      <c r="F23" s="322"/>
      <c r="G23" s="323" t="s">
        <v>500</v>
      </c>
      <c r="H23" s="371" t="s">
        <v>54</v>
      </c>
      <c r="I23" s="325"/>
      <c r="J23" s="323"/>
      <c r="K23" s="326"/>
      <c r="L23" s="327" t="s">
        <v>78</v>
      </c>
      <c r="M23" s="322" t="s">
        <v>77</v>
      </c>
      <c r="N23" s="322"/>
      <c r="O23" s="322" t="s">
        <v>77</v>
      </c>
      <c r="P23" s="328" t="s">
        <v>77</v>
      </c>
      <c r="Q23" s="327"/>
      <c r="R23" s="322"/>
      <c r="S23" s="322"/>
      <c r="T23" s="322"/>
      <c r="U23" s="329" t="s">
        <v>80</v>
      </c>
      <c r="V23" s="321"/>
      <c r="W23" s="372"/>
      <c r="X23" s="372"/>
      <c r="Y23" s="372"/>
      <c r="Z23" s="373"/>
      <c r="AA23" s="374"/>
      <c r="AB23" s="372"/>
      <c r="AC23" s="372"/>
      <c r="AD23" s="372"/>
      <c r="AE23" s="371"/>
      <c r="AF23" s="375"/>
      <c r="AG23" s="372"/>
      <c r="AH23" s="372"/>
      <c r="AI23" s="372"/>
      <c r="AJ23" s="373"/>
      <c r="AK23" s="374"/>
      <c r="AL23" s="372"/>
      <c r="AM23" s="372"/>
      <c r="AN23" s="372"/>
      <c r="AO23" s="371"/>
      <c r="AP23" s="375"/>
      <c r="AQ23" s="372"/>
      <c r="AR23" s="372"/>
      <c r="AS23" s="372"/>
      <c r="AT23" s="373"/>
      <c r="AU23" s="374"/>
      <c r="AV23" s="372"/>
      <c r="AW23" s="372"/>
      <c r="AX23" s="372"/>
      <c r="AY23" s="371"/>
      <c r="AZ23" s="375"/>
      <c r="BA23" s="372"/>
      <c r="BB23" s="372"/>
      <c r="BC23" s="372"/>
      <c r="BD23" s="373"/>
      <c r="BE23" s="374"/>
      <c r="BF23" s="372"/>
      <c r="BG23" s="372"/>
      <c r="BH23" s="372"/>
      <c r="BI23" s="371"/>
      <c r="BJ23" s="375"/>
      <c r="BK23" s="372"/>
      <c r="BL23" s="372"/>
      <c r="BM23" s="372"/>
      <c r="BN23" s="373"/>
      <c r="BO23" s="374"/>
      <c r="BP23" s="372"/>
      <c r="BQ23" s="372"/>
      <c r="BR23" s="372"/>
      <c r="BS23" s="371"/>
      <c r="BT23" s="375"/>
      <c r="BU23" s="372"/>
      <c r="BV23" s="372"/>
      <c r="BW23" s="372"/>
      <c r="BX23" s="373"/>
      <c r="BY23" s="374"/>
      <c r="BZ23" s="372"/>
      <c r="CA23" s="372"/>
      <c r="CB23" s="372"/>
      <c r="CC23" s="371"/>
      <c r="CD23" s="375"/>
      <c r="CE23" s="372"/>
      <c r="CF23" s="372"/>
      <c r="CG23" s="372"/>
      <c r="CH23" s="371"/>
      <c r="CI23" s="375"/>
      <c r="CJ23" s="372"/>
      <c r="CK23" s="372"/>
      <c r="CL23" s="372"/>
      <c r="CM23" s="373"/>
    </row>
    <row r="24" spans="1:118" ht="25.5" customHeight="1" thickBot="1">
      <c r="A24" s="331">
        <v>3967</v>
      </c>
      <c r="B24" s="332" t="s">
        <v>11</v>
      </c>
      <c r="C24" s="332" t="s">
        <v>44</v>
      </c>
      <c r="D24" s="332" t="s">
        <v>76</v>
      </c>
      <c r="E24" s="333" t="s">
        <v>53</v>
      </c>
      <c r="F24" s="332"/>
      <c r="G24" s="333" t="s">
        <v>502</v>
      </c>
      <c r="H24" s="376" t="s">
        <v>54</v>
      </c>
      <c r="I24" s="335"/>
      <c r="J24" s="333"/>
      <c r="K24" s="336"/>
      <c r="L24" s="337" t="s">
        <v>78</v>
      </c>
      <c r="M24" s="332" t="s">
        <v>77</v>
      </c>
      <c r="N24" s="332"/>
      <c r="O24" s="332" t="s">
        <v>77</v>
      </c>
      <c r="P24" s="338" t="s">
        <v>77</v>
      </c>
      <c r="Q24" s="337"/>
      <c r="R24" s="332"/>
      <c r="S24" s="332"/>
      <c r="T24" s="332"/>
      <c r="U24" s="339" t="s">
        <v>80</v>
      </c>
      <c r="V24" s="331"/>
      <c r="W24" s="377"/>
      <c r="X24" s="377"/>
      <c r="Y24" s="377"/>
      <c r="Z24" s="378"/>
      <c r="AA24" s="379"/>
      <c r="AB24" s="377"/>
      <c r="AC24" s="377"/>
      <c r="AD24" s="377"/>
      <c r="AE24" s="376"/>
      <c r="AF24" s="380"/>
      <c r="AG24" s="377"/>
      <c r="AH24" s="377"/>
      <c r="AI24" s="377"/>
      <c r="AJ24" s="378"/>
      <c r="AK24" s="379"/>
      <c r="AL24" s="377"/>
      <c r="AM24" s="377"/>
      <c r="AN24" s="377"/>
      <c r="AO24" s="376"/>
      <c r="AP24" s="380"/>
      <c r="AQ24" s="377"/>
      <c r="AR24" s="377"/>
      <c r="AS24" s="377"/>
      <c r="AT24" s="378"/>
      <c r="AU24" s="379"/>
      <c r="AV24" s="377"/>
      <c r="AW24" s="377"/>
      <c r="AX24" s="377"/>
      <c r="AY24" s="376"/>
      <c r="AZ24" s="380"/>
      <c r="BA24" s="377"/>
      <c r="BB24" s="377"/>
      <c r="BC24" s="377"/>
      <c r="BD24" s="378"/>
      <c r="BE24" s="379"/>
      <c r="BF24" s="377"/>
      <c r="BG24" s="377"/>
      <c r="BH24" s="377"/>
      <c r="BI24" s="376"/>
      <c r="BJ24" s="380"/>
      <c r="BK24" s="377"/>
      <c r="BL24" s="377"/>
      <c r="BM24" s="377"/>
      <c r="BN24" s="378"/>
      <c r="BO24" s="379"/>
      <c r="BP24" s="377"/>
      <c r="BQ24" s="377"/>
      <c r="BR24" s="377"/>
      <c r="BS24" s="376"/>
      <c r="BT24" s="380"/>
      <c r="BU24" s="377"/>
      <c r="BV24" s="377"/>
      <c r="BW24" s="377"/>
      <c r="BX24" s="378"/>
      <c r="BY24" s="379"/>
      <c r="BZ24" s="377"/>
      <c r="CA24" s="377"/>
      <c r="CB24" s="377"/>
      <c r="CC24" s="376"/>
      <c r="CD24" s="380"/>
      <c r="CE24" s="377"/>
      <c r="CF24" s="377"/>
      <c r="CG24" s="377"/>
      <c r="CH24" s="376"/>
      <c r="CI24" s="380"/>
      <c r="CJ24" s="377"/>
      <c r="CK24" s="377"/>
      <c r="CL24" s="377"/>
      <c r="CM24" s="378"/>
    </row>
    <row r="25" spans="1:118" ht="25.5" customHeight="1">
      <c r="A25" s="341">
        <v>3968</v>
      </c>
      <c r="B25" s="342" t="s">
        <v>11</v>
      </c>
      <c r="C25" s="342" t="s">
        <v>44</v>
      </c>
      <c r="D25" s="342" t="s">
        <v>76</v>
      </c>
      <c r="E25" s="343" t="s">
        <v>53</v>
      </c>
      <c r="F25" s="342"/>
      <c r="G25" s="343" t="s">
        <v>504</v>
      </c>
      <c r="H25" s="344" t="s">
        <v>54</v>
      </c>
      <c r="I25" s="345"/>
      <c r="J25" s="343"/>
      <c r="K25" s="346"/>
      <c r="L25" s="347" t="s">
        <v>78</v>
      </c>
      <c r="M25" s="342" t="s">
        <v>77</v>
      </c>
      <c r="N25" s="342"/>
      <c r="O25" s="342" t="s">
        <v>77</v>
      </c>
      <c r="P25" s="348" t="s">
        <v>77</v>
      </c>
      <c r="Q25" s="347"/>
      <c r="R25" s="342"/>
      <c r="S25" s="342"/>
      <c r="T25" s="342"/>
      <c r="U25" s="349" t="s">
        <v>80</v>
      </c>
      <c r="V25" s="341"/>
      <c r="W25" s="381"/>
      <c r="X25" s="381"/>
      <c r="Y25" s="381"/>
      <c r="Z25" s="382"/>
      <c r="AA25" s="383"/>
      <c r="AB25" s="381"/>
      <c r="AC25" s="381"/>
      <c r="AD25" s="381"/>
      <c r="AE25" s="384"/>
      <c r="AF25" s="385"/>
      <c r="AG25" s="381"/>
      <c r="AH25" s="381"/>
      <c r="AI25" s="381"/>
      <c r="AJ25" s="382"/>
      <c r="AK25" s="383"/>
      <c r="AL25" s="381"/>
      <c r="AM25" s="381"/>
      <c r="AN25" s="381"/>
      <c r="AO25" s="384"/>
      <c r="AP25" s="385"/>
      <c r="AQ25" s="381"/>
      <c r="AR25" s="381"/>
      <c r="AS25" s="381"/>
      <c r="AT25" s="382"/>
      <c r="AU25" s="383"/>
      <c r="AV25" s="381"/>
      <c r="AW25" s="381"/>
      <c r="AX25" s="381"/>
      <c r="AY25" s="384"/>
      <c r="AZ25" s="385"/>
      <c r="BA25" s="381"/>
      <c r="BB25" s="381"/>
      <c r="BC25" s="381"/>
      <c r="BD25" s="382"/>
      <c r="BE25" s="383"/>
      <c r="BF25" s="381"/>
      <c r="BG25" s="381"/>
      <c r="BH25" s="381"/>
      <c r="BI25" s="384"/>
      <c r="BJ25" s="385"/>
      <c r="BK25" s="381"/>
      <c r="BL25" s="381"/>
      <c r="BM25" s="381"/>
      <c r="BN25" s="382"/>
      <c r="BO25" s="383"/>
      <c r="BP25" s="381"/>
      <c r="BQ25" s="381"/>
      <c r="BR25" s="381"/>
      <c r="BS25" s="384"/>
      <c r="BT25" s="385"/>
      <c r="BU25" s="381"/>
      <c r="BV25" s="381"/>
      <c r="BW25" s="381"/>
      <c r="BX25" s="382"/>
      <c r="BY25" s="383"/>
      <c r="BZ25" s="381"/>
      <c r="CA25" s="381"/>
      <c r="CB25" s="381"/>
      <c r="CC25" s="384"/>
      <c r="CD25" s="385"/>
      <c r="CE25" s="381"/>
      <c r="CF25" s="381"/>
      <c r="CG25" s="381"/>
      <c r="CH25" s="384"/>
      <c r="CI25" s="385"/>
      <c r="CJ25" s="381"/>
      <c r="CK25" s="381"/>
      <c r="CL25" s="381"/>
      <c r="CM25" s="382"/>
    </row>
    <row r="26" spans="1:118" ht="25.5" customHeight="1">
      <c r="A26" s="386">
        <v>3969</v>
      </c>
      <c r="B26" s="387" t="s">
        <v>11</v>
      </c>
      <c r="C26" s="387" t="s">
        <v>44</v>
      </c>
      <c r="D26" s="387" t="s">
        <v>76</v>
      </c>
      <c r="E26" s="372" t="s">
        <v>53</v>
      </c>
      <c r="F26" s="387"/>
      <c r="G26" s="372" t="s">
        <v>506</v>
      </c>
      <c r="H26" s="371" t="s">
        <v>54</v>
      </c>
      <c r="I26" s="375"/>
      <c r="J26" s="372"/>
      <c r="K26" s="373"/>
      <c r="L26" s="388" t="s">
        <v>78</v>
      </c>
      <c r="M26" s="387" t="s">
        <v>77</v>
      </c>
      <c r="N26" s="387"/>
      <c r="O26" s="387" t="s">
        <v>77</v>
      </c>
      <c r="P26" s="389" t="s">
        <v>77</v>
      </c>
      <c r="Q26" s="388"/>
      <c r="R26" s="387"/>
      <c r="S26" s="387"/>
      <c r="T26" s="387"/>
      <c r="U26" s="390" t="s">
        <v>80</v>
      </c>
      <c r="V26" s="386"/>
      <c r="W26" s="372"/>
      <c r="X26" s="372"/>
      <c r="Y26" s="372"/>
      <c r="Z26" s="373"/>
      <c r="AA26" s="374"/>
      <c r="AB26" s="372"/>
      <c r="AC26" s="372"/>
      <c r="AD26" s="372"/>
      <c r="AE26" s="371"/>
      <c r="AF26" s="375"/>
      <c r="AG26" s="372"/>
      <c r="AH26" s="372"/>
      <c r="AI26" s="372"/>
      <c r="AJ26" s="373"/>
      <c r="AK26" s="374"/>
      <c r="AL26" s="372"/>
      <c r="AM26" s="372"/>
      <c r="AN26" s="372"/>
      <c r="AO26" s="371"/>
      <c r="AP26" s="375"/>
      <c r="AQ26" s="372"/>
      <c r="AR26" s="372"/>
      <c r="AS26" s="372"/>
      <c r="AT26" s="373"/>
      <c r="AU26" s="374"/>
      <c r="AV26" s="372"/>
      <c r="AW26" s="372"/>
      <c r="AX26" s="372"/>
      <c r="AY26" s="371"/>
      <c r="AZ26" s="375"/>
      <c r="BA26" s="372"/>
      <c r="BB26" s="372"/>
      <c r="BC26" s="372"/>
      <c r="BD26" s="373"/>
      <c r="BE26" s="374"/>
      <c r="BF26" s="372"/>
      <c r="BG26" s="372"/>
      <c r="BH26" s="372"/>
      <c r="BI26" s="371"/>
      <c r="BJ26" s="375"/>
      <c r="BK26" s="372"/>
      <c r="BL26" s="372"/>
      <c r="BM26" s="372"/>
      <c r="BN26" s="373"/>
      <c r="BO26" s="374"/>
      <c r="BP26" s="372"/>
      <c r="BQ26" s="372"/>
      <c r="BR26" s="372"/>
      <c r="BS26" s="371"/>
      <c r="BT26" s="375"/>
      <c r="BU26" s="372"/>
      <c r="BV26" s="372"/>
      <c r="BW26" s="372"/>
      <c r="BX26" s="373"/>
      <c r="BY26" s="374"/>
      <c r="BZ26" s="372"/>
      <c r="CA26" s="372"/>
      <c r="CB26" s="372"/>
      <c r="CC26" s="371"/>
      <c r="CD26" s="375"/>
      <c r="CE26" s="372"/>
      <c r="CF26" s="372"/>
      <c r="CG26" s="372"/>
      <c r="CH26" s="371"/>
      <c r="CI26" s="375"/>
      <c r="CJ26" s="372"/>
      <c r="CK26" s="372"/>
      <c r="CL26" s="372"/>
      <c r="CM26" s="373"/>
    </row>
    <row r="27" spans="1:118" ht="25.5" customHeight="1">
      <c r="A27" s="386">
        <v>3970</v>
      </c>
      <c r="B27" s="387" t="s">
        <v>11</v>
      </c>
      <c r="C27" s="387" t="s">
        <v>44</v>
      </c>
      <c r="D27" s="387" t="s">
        <v>76</v>
      </c>
      <c r="E27" s="372" t="s">
        <v>53</v>
      </c>
      <c r="F27" s="387"/>
      <c r="G27" s="372" t="s">
        <v>508</v>
      </c>
      <c r="H27" s="371" t="s">
        <v>54</v>
      </c>
      <c r="I27" s="375"/>
      <c r="J27" s="372"/>
      <c r="K27" s="373"/>
      <c r="L27" s="388" t="s">
        <v>78</v>
      </c>
      <c r="M27" s="387" t="s">
        <v>77</v>
      </c>
      <c r="N27" s="387"/>
      <c r="O27" s="387" t="s">
        <v>77</v>
      </c>
      <c r="P27" s="389" t="s">
        <v>77</v>
      </c>
      <c r="Q27" s="388"/>
      <c r="R27" s="387"/>
      <c r="S27" s="387"/>
      <c r="T27" s="387"/>
      <c r="U27" s="390" t="s">
        <v>80</v>
      </c>
      <c r="V27" s="386"/>
      <c r="W27" s="372"/>
      <c r="X27" s="372"/>
      <c r="Y27" s="372"/>
      <c r="Z27" s="373"/>
      <c r="AA27" s="374"/>
      <c r="AB27" s="372"/>
      <c r="AC27" s="372"/>
      <c r="AD27" s="372"/>
      <c r="AE27" s="371"/>
      <c r="AF27" s="375"/>
      <c r="AG27" s="372"/>
      <c r="AH27" s="372"/>
      <c r="AI27" s="372"/>
      <c r="AJ27" s="373"/>
      <c r="AK27" s="374"/>
      <c r="AL27" s="372"/>
      <c r="AM27" s="372"/>
      <c r="AN27" s="372"/>
      <c r="AO27" s="371"/>
      <c r="AP27" s="375"/>
      <c r="AQ27" s="372"/>
      <c r="AR27" s="372"/>
      <c r="AS27" s="372"/>
      <c r="AT27" s="373"/>
      <c r="AU27" s="374"/>
      <c r="AV27" s="372"/>
      <c r="AW27" s="372"/>
      <c r="AX27" s="372"/>
      <c r="AY27" s="371"/>
      <c r="AZ27" s="375"/>
      <c r="BA27" s="372"/>
      <c r="BB27" s="372"/>
      <c r="BC27" s="372"/>
      <c r="BD27" s="373"/>
      <c r="BE27" s="374"/>
      <c r="BF27" s="372"/>
      <c r="BG27" s="372"/>
      <c r="BH27" s="372"/>
      <c r="BI27" s="371"/>
      <c r="BJ27" s="375"/>
      <c r="BK27" s="372"/>
      <c r="BL27" s="372"/>
      <c r="BM27" s="372"/>
      <c r="BN27" s="373"/>
      <c r="BO27" s="374"/>
      <c r="BP27" s="372"/>
      <c r="BQ27" s="372"/>
      <c r="BR27" s="372"/>
      <c r="BS27" s="371"/>
      <c r="BT27" s="375"/>
      <c r="BU27" s="372"/>
      <c r="BV27" s="372"/>
      <c r="BW27" s="372"/>
      <c r="BX27" s="373"/>
      <c r="BY27" s="374"/>
      <c r="BZ27" s="372"/>
      <c r="CA27" s="372"/>
      <c r="CB27" s="372"/>
      <c r="CC27" s="371"/>
      <c r="CD27" s="375"/>
      <c r="CE27" s="372"/>
      <c r="CF27" s="372"/>
      <c r="CG27" s="372"/>
      <c r="CH27" s="371"/>
      <c r="CI27" s="375"/>
      <c r="CJ27" s="372"/>
      <c r="CK27" s="372"/>
      <c r="CL27" s="372"/>
      <c r="CM27" s="373"/>
    </row>
    <row r="28" spans="1:118" ht="25.5" customHeight="1">
      <c r="A28" s="386">
        <v>3971</v>
      </c>
      <c r="B28" s="387" t="s">
        <v>11</v>
      </c>
      <c r="C28" s="387" t="s">
        <v>44</v>
      </c>
      <c r="D28" s="387" t="s">
        <v>76</v>
      </c>
      <c r="E28" s="372" t="s">
        <v>53</v>
      </c>
      <c r="F28" s="387"/>
      <c r="G28" s="372" t="s">
        <v>510</v>
      </c>
      <c r="H28" s="371" t="s">
        <v>54</v>
      </c>
      <c r="I28" s="375"/>
      <c r="J28" s="372"/>
      <c r="K28" s="373"/>
      <c r="L28" s="388" t="s">
        <v>78</v>
      </c>
      <c r="M28" s="387" t="s">
        <v>77</v>
      </c>
      <c r="N28" s="387"/>
      <c r="O28" s="387" t="s">
        <v>77</v>
      </c>
      <c r="P28" s="389" t="s">
        <v>77</v>
      </c>
      <c r="Q28" s="388"/>
      <c r="R28" s="387"/>
      <c r="S28" s="387"/>
      <c r="T28" s="387"/>
      <c r="U28" s="390" t="s">
        <v>80</v>
      </c>
      <c r="V28" s="386"/>
      <c r="W28" s="372"/>
      <c r="X28" s="372"/>
      <c r="Y28" s="372"/>
      <c r="Z28" s="373"/>
      <c r="AA28" s="374"/>
      <c r="AB28" s="372"/>
      <c r="AC28" s="372"/>
      <c r="AD28" s="372"/>
      <c r="AE28" s="371"/>
      <c r="AF28" s="375"/>
      <c r="AG28" s="372"/>
      <c r="AH28" s="372"/>
      <c r="AI28" s="372"/>
      <c r="AJ28" s="373"/>
      <c r="AK28" s="374"/>
      <c r="AL28" s="372"/>
      <c r="AM28" s="372"/>
      <c r="AN28" s="372"/>
      <c r="AO28" s="371"/>
      <c r="AP28" s="375"/>
      <c r="AQ28" s="372"/>
      <c r="AR28" s="372"/>
      <c r="AS28" s="372"/>
      <c r="AT28" s="373"/>
      <c r="AU28" s="374"/>
      <c r="AV28" s="372"/>
      <c r="AW28" s="372"/>
      <c r="AX28" s="372"/>
      <c r="AY28" s="371"/>
      <c r="AZ28" s="375"/>
      <c r="BA28" s="372"/>
      <c r="BB28" s="372"/>
      <c r="BC28" s="372"/>
      <c r="BD28" s="373"/>
      <c r="BE28" s="374"/>
      <c r="BF28" s="372"/>
      <c r="BG28" s="372"/>
      <c r="BH28" s="372"/>
      <c r="BI28" s="371"/>
      <c r="BJ28" s="375"/>
      <c r="BK28" s="372"/>
      <c r="BL28" s="372"/>
      <c r="BM28" s="372"/>
      <c r="BN28" s="373"/>
      <c r="BO28" s="374"/>
      <c r="BP28" s="372"/>
      <c r="BQ28" s="372"/>
      <c r="BR28" s="372"/>
      <c r="BS28" s="371"/>
      <c r="BT28" s="375"/>
      <c r="BU28" s="372"/>
      <c r="BV28" s="372"/>
      <c r="BW28" s="372"/>
      <c r="BX28" s="373"/>
      <c r="BY28" s="374"/>
      <c r="BZ28" s="372"/>
      <c r="CA28" s="372"/>
      <c r="CB28" s="372"/>
      <c r="CC28" s="371"/>
      <c r="CD28" s="375"/>
      <c r="CE28" s="372"/>
      <c r="CF28" s="372"/>
      <c r="CG28" s="372"/>
      <c r="CH28" s="371"/>
      <c r="CI28" s="375"/>
      <c r="CJ28" s="372"/>
      <c r="CK28" s="372"/>
      <c r="CL28" s="372"/>
      <c r="CM28" s="373"/>
    </row>
    <row r="29" spans="1:118" ht="25.5" customHeight="1" thickBot="1">
      <c r="A29" s="391">
        <v>3972</v>
      </c>
      <c r="B29" s="392" t="s">
        <v>11</v>
      </c>
      <c r="C29" s="392" t="s">
        <v>44</v>
      </c>
      <c r="D29" s="392" t="s">
        <v>76</v>
      </c>
      <c r="E29" s="393" t="s">
        <v>53</v>
      </c>
      <c r="F29" s="392"/>
      <c r="G29" s="393" t="s">
        <v>512</v>
      </c>
      <c r="H29" s="394" t="s">
        <v>54</v>
      </c>
      <c r="I29" s="395"/>
      <c r="J29" s="393"/>
      <c r="K29" s="396"/>
      <c r="L29" s="397" t="s">
        <v>78</v>
      </c>
      <c r="M29" s="392" t="s">
        <v>77</v>
      </c>
      <c r="N29" s="392"/>
      <c r="O29" s="392" t="s">
        <v>77</v>
      </c>
      <c r="P29" s="398" t="s">
        <v>77</v>
      </c>
      <c r="Q29" s="397"/>
      <c r="R29" s="392"/>
      <c r="S29" s="392"/>
      <c r="T29" s="392"/>
      <c r="U29" s="399" t="s">
        <v>80</v>
      </c>
      <c r="V29" s="391"/>
      <c r="W29" s="393"/>
      <c r="X29" s="393"/>
      <c r="Y29" s="393"/>
      <c r="Z29" s="396"/>
      <c r="AA29" s="400"/>
      <c r="AB29" s="393"/>
      <c r="AC29" s="393"/>
      <c r="AD29" s="393"/>
      <c r="AE29" s="394"/>
      <c r="AF29" s="395"/>
      <c r="AG29" s="393"/>
      <c r="AH29" s="393"/>
      <c r="AI29" s="393"/>
      <c r="AJ29" s="396"/>
      <c r="AK29" s="400"/>
      <c r="AL29" s="393"/>
      <c r="AM29" s="393"/>
      <c r="AN29" s="393"/>
      <c r="AO29" s="394"/>
      <c r="AP29" s="395"/>
      <c r="AQ29" s="393"/>
      <c r="AR29" s="393"/>
      <c r="AS29" s="393"/>
      <c r="AT29" s="396"/>
      <c r="AU29" s="400"/>
      <c r="AV29" s="393"/>
      <c r="AW29" s="393"/>
      <c r="AX29" s="393"/>
      <c r="AY29" s="394"/>
      <c r="AZ29" s="395"/>
      <c r="BA29" s="393"/>
      <c r="BB29" s="393"/>
      <c r="BC29" s="393"/>
      <c r="BD29" s="396"/>
      <c r="BE29" s="400"/>
      <c r="BF29" s="393"/>
      <c r="BG29" s="393"/>
      <c r="BH29" s="393"/>
      <c r="BI29" s="394"/>
      <c r="BJ29" s="395"/>
      <c r="BK29" s="393"/>
      <c r="BL29" s="393"/>
      <c r="BM29" s="393"/>
      <c r="BN29" s="396"/>
      <c r="BO29" s="400"/>
      <c r="BP29" s="393"/>
      <c r="BQ29" s="393"/>
      <c r="BR29" s="393"/>
      <c r="BS29" s="394"/>
      <c r="BT29" s="395"/>
      <c r="BU29" s="393"/>
      <c r="BV29" s="393"/>
      <c r="BW29" s="393"/>
      <c r="BX29" s="396"/>
      <c r="BY29" s="400"/>
      <c r="BZ29" s="393"/>
      <c r="CA29" s="393"/>
      <c r="CB29" s="393"/>
      <c r="CC29" s="394"/>
      <c r="CD29" s="395"/>
      <c r="CE29" s="393"/>
      <c r="CF29" s="393"/>
      <c r="CG29" s="393"/>
      <c r="CH29" s="394"/>
      <c r="CI29" s="395"/>
      <c r="CJ29" s="393"/>
      <c r="CK29" s="393"/>
      <c r="CL29" s="393"/>
      <c r="CM29" s="396"/>
    </row>
    <row r="30" spans="1:118" ht="25.5" customHeight="1">
      <c r="A30" s="401">
        <v>3973</v>
      </c>
      <c r="B30" s="402" t="s">
        <v>11</v>
      </c>
      <c r="C30" s="402" t="s">
        <v>44</v>
      </c>
      <c r="D30" s="402" t="s">
        <v>76</v>
      </c>
      <c r="E30" s="403" t="s">
        <v>53</v>
      </c>
      <c r="F30" s="402"/>
      <c r="G30" s="403" t="s">
        <v>514</v>
      </c>
      <c r="H30" s="404" t="s">
        <v>54</v>
      </c>
      <c r="I30" s="405"/>
      <c r="J30" s="403"/>
      <c r="K30" s="406"/>
      <c r="L30" s="407" t="s">
        <v>78</v>
      </c>
      <c r="M30" s="402" t="s">
        <v>77</v>
      </c>
      <c r="N30" s="402"/>
      <c r="O30" s="402" t="s">
        <v>77</v>
      </c>
      <c r="P30" s="408" t="s">
        <v>77</v>
      </c>
      <c r="Q30" s="407"/>
      <c r="R30" s="402"/>
      <c r="S30" s="402"/>
      <c r="T30" s="402"/>
      <c r="U30" s="409" t="s">
        <v>80</v>
      </c>
      <c r="V30" s="401"/>
      <c r="W30" s="403"/>
      <c r="X30" s="403"/>
      <c r="Y30" s="403"/>
      <c r="Z30" s="406"/>
      <c r="AA30" s="410"/>
      <c r="AB30" s="403"/>
      <c r="AC30" s="403"/>
      <c r="AD30" s="403"/>
      <c r="AE30" s="404"/>
      <c r="AF30" s="405"/>
      <c r="AG30" s="403"/>
      <c r="AH30" s="403"/>
      <c r="AI30" s="403"/>
      <c r="AJ30" s="406"/>
      <c r="AK30" s="410"/>
      <c r="AL30" s="403"/>
      <c r="AM30" s="403"/>
      <c r="AN30" s="403"/>
      <c r="AO30" s="404"/>
      <c r="AP30" s="405"/>
      <c r="AQ30" s="403"/>
      <c r="AR30" s="403"/>
      <c r="AS30" s="403"/>
      <c r="AT30" s="406"/>
      <c r="AU30" s="410"/>
      <c r="AV30" s="403"/>
      <c r="AW30" s="403"/>
      <c r="AX30" s="403"/>
      <c r="AY30" s="404"/>
      <c r="AZ30" s="405"/>
      <c r="BA30" s="403"/>
      <c r="BB30" s="403"/>
      <c r="BC30" s="403"/>
      <c r="BD30" s="406"/>
      <c r="BE30" s="410"/>
      <c r="BF30" s="403"/>
      <c r="BG30" s="403"/>
      <c r="BH30" s="403"/>
      <c r="BI30" s="404"/>
      <c r="BJ30" s="405"/>
      <c r="BK30" s="403"/>
      <c r="BL30" s="403"/>
      <c r="BM30" s="403"/>
      <c r="BN30" s="406"/>
      <c r="BO30" s="410"/>
      <c r="BP30" s="403"/>
      <c r="BQ30" s="403"/>
      <c r="BR30" s="403"/>
      <c r="BS30" s="404"/>
      <c r="BT30" s="405"/>
      <c r="BU30" s="403"/>
      <c r="BV30" s="403"/>
      <c r="BW30" s="403"/>
      <c r="BX30" s="406"/>
      <c r="BY30" s="410"/>
      <c r="BZ30" s="403"/>
      <c r="CA30" s="403"/>
      <c r="CB30" s="403"/>
      <c r="CC30" s="404"/>
      <c r="CD30" s="405"/>
      <c r="CE30" s="403"/>
      <c r="CF30" s="403"/>
      <c r="CG30" s="403"/>
      <c r="CH30" s="404"/>
      <c r="CI30" s="405"/>
      <c r="CJ30" s="403"/>
      <c r="CK30" s="403"/>
      <c r="CL30" s="403"/>
      <c r="CM30" s="406"/>
    </row>
    <row r="31" spans="1:118" ht="25.5" customHeight="1">
      <c r="A31" s="386">
        <v>3974</v>
      </c>
      <c r="B31" s="387" t="s">
        <v>11</v>
      </c>
      <c r="C31" s="387" t="s">
        <v>44</v>
      </c>
      <c r="D31" s="387" t="s">
        <v>76</v>
      </c>
      <c r="E31" s="372" t="s">
        <v>53</v>
      </c>
      <c r="F31" s="387"/>
      <c r="G31" s="372" t="s">
        <v>516</v>
      </c>
      <c r="H31" s="371" t="s">
        <v>54</v>
      </c>
      <c r="I31" s="375"/>
      <c r="J31" s="372"/>
      <c r="K31" s="373"/>
      <c r="L31" s="388" t="s">
        <v>78</v>
      </c>
      <c r="M31" s="387" t="s">
        <v>77</v>
      </c>
      <c r="N31" s="387"/>
      <c r="O31" s="387" t="s">
        <v>77</v>
      </c>
      <c r="P31" s="389" t="s">
        <v>77</v>
      </c>
      <c r="Q31" s="388"/>
      <c r="R31" s="387"/>
      <c r="S31" s="387"/>
      <c r="T31" s="387"/>
      <c r="U31" s="390" t="s">
        <v>80</v>
      </c>
      <c r="V31" s="386"/>
      <c r="W31" s="372"/>
      <c r="X31" s="372"/>
      <c r="Y31" s="372"/>
      <c r="Z31" s="373"/>
      <c r="AA31" s="374"/>
      <c r="AB31" s="372"/>
      <c r="AC31" s="372"/>
      <c r="AD31" s="372"/>
      <c r="AE31" s="371"/>
      <c r="AF31" s="375"/>
      <c r="AG31" s="372"/>
      <c r="AH31" s="372"/>
      <c r="AI31" s="372"/>
      <c r="AJ31" s="373"/>
      <c r="AK31" s="374"/>
      <c r="AL31" s="372"/>
      <c r="AM31" s="372"/>
      <c r="AN31" s="372"/>
      <c r="AO31" s="371"/>
      <c r="AP31" s="375"/>
      <c r="AQ31" s="372"/>
      <c r="AR31" s="372"/>
      <c r="AS31" s="372"/>
      <c r="AT31" s="373"/>
      <c r="AU31" s="374"/>
      <c r="AV31" s="372"/>
      <c r="AW31" s="372"/>
      <c r="AX31" s="372"/>
      <c r="AY31" s="371"/>
      <c r="AZ31" s="375"/>
      <c r="BA31" s="372"/>
      <c r="BB31" s="372"/>
      <c r="BC31" s="372"/>
      <c r="BD31" s="373"/>
      <c r="BE31" s="374"/>
      <c r="BF31" s="372"/>
      <c r="BG31" s="372"/>
      <c r="BH31" s="372"/>
      <c r="BI31" s="371"/>
      <c r="BJ31" s="375"/>
      <c r="BK31" s="372"/>
      <c r="BL31" s="372"/>
      <c r="BM31" s="372"/>
      <c r="BN31" s="373"/>
      <c r="BO31" s="374"/>
      <c r="BP31" s="372"/>
      <c r="BQ31" s="372"/>
      <c r="BR31" s="372"/>
      <c r="BS31" s="371"/>
      <c r="BT31" s="375"/>
      <c r="BU31" s="372"/>
      <c r="BV31" s="372"/>
      <c r="BW31" s="372"/>
      <c r="BX31" s="373"/>
      <c r="BY31" s="374"/>
      <c r="BZ31" s="372"/>
      <c r="CA31" s="372"/>
      <c r="CB31" s="372"/>
      <c r="CC31" s="371"/>
      <c r="CD31" s="375"/>
      <c r="CE31" s="372"/>
      <c r="CF31" s="372"/>
      <c r="CG31" s="372"/>
      <c r="CH31" s="371"/>
      <c r="CI31" s="375"/>
      <c r="CJ31" s="372"/>
      <c r="CK31" s="372"/>
      <c r="CL31" s="372"/>
      <c r="CM31" s="373"/>
    </row>
    <row r="32" spans="1:118" ht="25.5" customHeight="1">
      <c r="A32" s="386">
        <v>3975</v>
      </c>
      <c r="B32" s="387" t="s">
        <v>11</v>
      </c>
      <c r="C32" s="387" t="s">
        <v>44</v>
      </c>
      <c r="D32" s="387" t="s">
        <v>76</v>
      </c>
      <c r="E32" s="372" t="s">
        <v>53</v>
      </c>
      <c r="F32" s="387"/>
      <c r="G32" s="372" t="s">
        <v>518</v>
      </c>
      <c r="H32" s="371" t="s">
        <v>54</v>
      </c>
      <c r="I32" s="375"/>
      <c r="J32" s="372"/>
      <c r="K32" s="373"/>
      <c r="L32" s="388" t="s">
        <v>78</v>
      </c>
      <c r="M32" s="387" t="s">
        <v>77</v>
      </c>
      <c r="N32" s="387"/>
      <c r="O32" s="387" t="s">
        <v>77</v>
      </c>
      <c r="P32" s="389" t="s">
        <v>77</v>
      </c>
      <c r="Q32" s="388"/>
      <c r="R32" s="387"/>
      <c r="S32" s="387"/>
      <c r="T32" s="387"/>
      <c r="U32" s="390" t="s">
        <v>80</v>
      </c>
      <c r="V32" s="386"/>
      <c r="W32" s="372"/>
      <c r="X32" s="372"/>
      <c r="Y32" s="372"/>
      <c r="Z32" s="373"/>
      <c r="AA32" s="374"/>
      <c r="AB32" s="372"/>
      <c r="AC32" s="372"/>
      <c r="AD32" s="372"/>
      <c r="AE32" s="371"/>
      <c r="AF32" s="375"/>
      <c r="AG32" s="372"/>
      <c r="AH32" s="372"/>
      <c r="AI32" s="372"/>
      <c r="AJ32" s="373"/>
      <c r="AK32" s="374"/>
      <c r="AL32" s="372"/>
      <c r="AM32" s="372"/>
      <c r="AN32" s="372"/>
      <c r="AO32" s="371"/>
      <c r="AP32" s="375"/>
      <c r="AQ32" s="372"/>
      <c r="AR32" s="372"/>
      <c r="AS32" s="372"/>
      <c r="AT32" s="373"/>
      <c r="AU32" s="374"/>
      <c r="AV32" s="372"/>
      <c r="AW32" s="372"/>
      <c r="AX32" s="372"/>
      <c r="AY32" s="371"/>
      <c r="AZ32" s="375"/>
      <c r="BA32" s="372"/>
      <c r="BB32" s="372"/>
      <c r="BC32" s="372"/>
      <c r="BD32" s="373"/>
      <c r="BE32" s="374"/>
      <c r="BF32" s="372"/>
      <c r="BG32" s="372"/>
      <c r="BH32" s="372"/>
      <c r="BI32" s="371"/>
      <c r="BJ32" s="375"/>
      <c r="BK32" s="372"/>
      <c r="BL32" s="372"/>
      <c r="BM32" s="372"/>
      <c r="BN32" s="373"/>
      <c r="BO32" s="374"/>
      <c r="BP32" s="372"/>
      <c r="BQ32" s="372"/>
      <c r="BR32" s="372"/>
      <c r="BS32" s="371"/>
      <c r="BT32" s="375"/>
      <c r="BU32" s="372"/>
      <c r="BV32" s="372"/>
      <c r="BW32" s="372"/>
      <c r="BX32" s="373"/>
      <c r="BY32" s="374"/>
      <c r="BZ32" s="372"/>
      <c r="CA32" s="372"/>
      <c r="CB32" s="372"/>
      <c r="CC32" s="371"/>
      <c r="CD32" s="375"/>
      <c r="CE32" s="372"/>
      <c r="CF32" s="372"/>
      <c r="CG32" s="372"/>
      <c r="CH32" s="371"/>
      <c r="CI32" s="375"/>
      <c r="CJ32" s="372"/>
      <c r="CK32" s="372"/>
      <c r="CL32" s="372"/>
      <c r="CM32" s="373"/>
    </row>
    <row r="33" spans="1:91" ht="25.5" customHeight="1">
      <c r="A33" s="386">
        <v>3976</v>
      </c>
      <c r="B33" s="387" t="s">
        <v>11</v>
      </c>
      <c r="C33" s="387" t="s">
        <v>44</v>
      </c>
      <c r="D33" s="387" t="s">
        <v>76</v>
      </c>
      <c r="E33" s="372" t="s">
        <v>53</v>
      </c>
      <c r="F33" s="387"/>
      <c r="G33" s="372" t="s">
        <v>520</v>
      </c>
      <c r="H33" s="371" t="s">
        <v>54</v>
      </c>
      <c r="I33" s="375"/>
      <c r="J33" s="372"/>
      <c r="K33" s="373"/>
      <c r="L33" s="388" t="s">
        <v>78</v>
      </c>
      <c r="M33" s="387" t="s">
        <v>77</v>
      </c>
      <c r="N33" s="387"/>
      <c r="O33" s="387" t="s">
        <v>77</v>
      </c>
      <c r="P33" s="389" t="s">
        <v>77</v>
      </c>
      <c r="Q33" s="388"/>
      <c r="R33" s="387"/>
      <c r="S33" s="387"/>
      <c r="T33" s="387"/>
      <c r="U33" s="390" t="s">
        <v>80</v>
      </c>
      <c r="V33" s="386"/>
      <c r="W33" s="372"/>
      <c r="X33" s="372"/>
      <c r="Y33" s="372"/>
      <c r="Z33" s="373"/>
      <c r="AA33" s="374"/>
      <c r="AB33" s="372"/>
      <c r="AC33" s="372"/>
      <c r="AD33" s="372"/>
      <c r="AE33" s="371"/>
      <c r="AF33" s="375"/>
      <c r="AG33" s="372"/>
      <c r="AH33" s="372"/>
      <c r="AI33" s="372"/>
      <c r="AJ33" s="373"/>
      <c r="AK33" s="374"/>
      <c r="AL33" s="372"/>
      <c r="AM33" s="372"/>
      <c r="AN33" s="372"/>
      <c r="AO33" s="371"/>
      <c r="AP33" s="375"/>
      <c r="AQ33" s="372"/>
      <c r="AR33" s="372"/>
      <c r="AS33" s="372"/>
      <c r="AT33" s="373"/>
      <c r="AU33" s="374"/>
      <c r="AV33" s="372"/>
      <c r="AW33" s="372"/>
      <c r="AX33" s="372"/>
      <c r="AY33" s="371"/>
      <c r="AZ33" s="375"/>
      <c r="BA33" s="372"/>
      <c r="BB33" s="372"/>
      <c r="BC33" s="372"/>
      <c r="BD33" s="373"/>
      <c r="BE33" s="374"/>
      <c r="BF33" s="372"/>
      <c r="BG33" s="372"/>
      <c r="BH33" s="372"/>
      <c r="BI33" s="371"/>
      <c r="BJ33" s="375"/>
      <c r="BK33" s="372"/>
      <c r="BL33" s="372"/>
      <c r="BM33" s="372"/>
      <c r="BN33" s="373"/>
      <c r="BO33" s="374"/>
      <c r="BP33" s="372"/>
      <c r="BQ33" s="372"/>
      <c r="BR33" s="372"/>
      <c r="BS33" s="371"/>
      <c r="BT33" s="375"/>
      <c r="BU33" s="372"/>
      <c r="BV33" s="372"/>
      <c r="BW33" s="372"/>
      <c r="BX33" s="373"/>
      <c r="BY33" s="374"/>
      <c r="BZ33" s="372"/>
      <c r="CA33" s="372"/>
      <c r="CB33" s="372"/>
      <c r="CC33" s="371"/>
      <c r="CD33" s="375"/>
      <c r="CE33" s="372"/>
      <c r="CF33" s="372"/>
      <c r="CG33" s="372"/>
      <c r="CH33" s="371"/>
      <c r="CI33" s="375"/>
      <c r="CJ33" s="372"/>
      <c r="CK33" s="372"/>
      <c r="CL33" s="372"/>
      <c r="CM33" s="373"/>
    </row>
    <row r="34" spans="1:91" ht="25.5" customHeight="1" thickBot="1">
      <c r="A34" s="411">
        <v>3977</v>
      </c>
      <c r="B34" s="412" t="s">
        <v>11</v>
      </c>
      <c r="C34" s="412" t="s">
        <v>44</v>
      </c>
      <c r="D34" s="412" t="s">
        <v>76</v>
      </c>
      <c r="E34" s="377" t="s">
        <v>53</v>
      </c>
      <c r="F34" s="412"/>
      <c r="G34" s="377" t="s">
        <v>522</v>
      </c>
      <c r="H34" s="376" t="s">
        <v>54</v>
      </c>
      <c r="I34" s="380"/>
      <c r="J34" s="377"/>
      <c r="K34" s="378"/>
      <c r="L34" s="413" t="s">
        <v>78</v>
      </c>
      <c r="M34" s="412" t="s">
        <v>77</v>
      </c>
      <c r="N34" s="412"/>
      <c r="O34" s="412" t="s">
        <v>77</v>
      </c>
      <c r="P34" s="414" t="s">
        <v>77</v>
      </c>
      <c r="Q34" s="413"/>
      <c r="R34" s="412"/>
      <c r="S34" s="412"/>
      <c r="T34" s="412"/>
      <c r="U34" s="415" t="s">
        <v>80</v>
      </c>
      <c r="V34" s="411"/>
      <c r="W34" s="377"/>
      <c r="X34" s="377"/>
      <c r="Y34" s="377"/>
      <c r="Z34" s="378"/>
      <c r="AA34" s="379"/>
      <c r="AB34" s="377"/>
      <c r="AC34" s="377"/>
      <c r="AD34" s="377"/>
      <c r="AE34" s="376"/>
      <c r="AF34" s="380"/>
      <c r="AG34" s="377"/>
      <c r="AH34" s="377"/>
      <c r="AI34" s="377"/>
      <c r="AJ34" s="378"/>
      <c r="AK34" s="379"/>
      <c r="AL34" s="377"/>
      <c r="AM34" s="377"/>
      <c r="AN34" s="377"/>
      <c r="AO34" s="376"/>
      <c r="AP34" s="380"/>
      <c r="AQ34" s="377"/>
      <c r="AR34" s="377"/>
      <c r="AS34" s="377"/>
      <c r="AT34" s="378"/>
      <c r="AU34" s="379"/>
      <c r="AV34" s="377"/>
      <c r="AW34" s="377"/>
      <c r="AX34" s="377"/>
      <c r="AY34" s="376"/>
      <c r="AZ34" s="380"/>
      <c r="BA34" s="377"/>
      <c r="BB34" s="377"/>
      <c r="BC34" s="377"/>
      <c r="BD34" s="378"/>
      <c r="BE34" s="379"/>
      <c r="BF34" s="377"/>
      <c r="BG34" s="377"/>
      <c r="BH34" s="377"/>
      <c r="BI34" s="376"/>
      <c r="BJ34" s="380"/>
      <c r="BK34" s="377"/>
      <c r="BL34" s="377"/>
      <c r="BM34" s="377"/>
      <c r="BN34" s="378"/>
      <c r="BO34" s="379"/>
      <c r="BP34" s="377"/>
      <c r="BQ34" s="377"/>
      <c r="BR34" s="377"/>
      <c r="BS34" s="376"/>
      <c r="BT34" s="380"/>
      <c r="BU34" s="377"/>
      <c r="BV34" s="377"/>
      <c r="BW34" s="377"/>
      <c r="BX34" s="378"/>
      <c r="BY34" s="379"/>
      <c r="BZ34" s="377"/>
      <c r="CA34" s="377"/>
      <c r="CB34" s="377"/>
      <c r="CC34" s="376"/>
      <c r="CD34" s="380"/>
      <c r="CE34" s="377"/>
      <c r="CF34" s="377"/>
      <c r="CG34" s="377"/>
      <c r="CH34" s="376"/>
      <c r="CI34" s="380"/>
      <c r="CJ34" s="377"/>
      <c r="CK34" s="377"/>
      <c r="CL34" s="377"/>
      <c r="CM34" s="378"/>
    </row>
    <row r="35" spans="1:91" ht="25.5" customHeight="1">
      <c r="A35" s="416">
        <v>3978</v>
      </c>
      <c r="B35" s="417" t="s">
        <v>11</v>
      </c>
      <c r="C35" s="417" t="s">
        <v>44</v>
      </c>
      <c r="D35" s="417" t="s">
        <v>76</v>
      </c>
      <c r="E35" s="381" t="s">
        <v>53</v>
      </c>
      <c r="F35" s="417"/>
      <c r="G35" s="381" t="s">
        <v>524</v>
      </c>
      <c r="H35" s="384" t="s">
        <v>54</v>
      </c>
      <c r="I35" s="385"/>
      <c r="J35" s="381"/>
      <c r="K35" s="382"/>
      <c r="L35" s="418" t="s">
        <v>78</v>
      </c>
      <c r="M35" s="417" t="s">
        <v>77</v>
      </c>
      <c r="N35" s="417"/>
      <c r="O35" s="417" t="s">
        <v>77</v>
      </c>
      <c r="P35" s="419" t="s">
        <v>77</v>
      </c>
      <c r="Q35" s="418"/>
      <c r="R35" s="417"/>
      <c r="S35" s="417"/>
      <c r="T35" s="417"/>
      <c r="U35" s="420" t="s">
        <v>80</v>
      </c>
      <c r="V35" s="416"/>
      <c r="W35" s="381"/>
      <c r="X35" s="381"/>
      <c r="Y35" s="381"/>
      <c r="Z35" s="382"/>
      <c r="AA35" s="383"/>
      <c r="AB35" s="381"/>
      <c r="AC35" s="381"/>
      <c r="AD35" s="381"/>
      <c r="AE35" s="384"/>
      <c r="AF35" s="385"/>
      <c r="AG35" s="381"/>
      <c r="AH35" s="381"/>
      <c r="AI35" s="381"/>
      <c r="AJ35" s="382"/>
      <c r="AK35" s="383"/>
      <c r="AL35" s="381"/>
      <c r="AM35" s="381"/>
      <c r="AN35" s="381"/>
      <c r="AO35" s="384"/>
      <c r="AP35" s="385"/>
      <c r="AQ35" s="381"/>
      <c r="AR35" s="381"/>
      <c r="AS35" s="381"/>
      <c r="AT35" s="382"/>
      <c r="AU35" s="383"/>
      <c r="AV35" s="381"/>
      <c r="AW35" s="381"/>
      <c r="AX35" s="381"/>
      <c r="AY35" s="384"/>
      <c r="AZ35" s="385"/>
      <c r="BA35" s="381"/>
      <c r="BB35" s="381"/>
      <c r="BC35" s="381"/>
      <c r="BD35" s="382"/>
      <c r="BE35" s="383"/>
      <c r="BF35" s="381"/>
      <c r="BG35" s="381"/>
      <c r="BH35" s="381"/>
      <c r="BI35" s="384"/>
      <c r="BJ35" s="385"/>
      <c r="BK35" s="381"/>
      <c r="BL35" s="381"/>
      <c r="BM35" s="381"/>
      <c r="BN35" s="382"/>
      <c r="BO35" s="383"/>
      <c r="BP35" s="381"/>
      <c r="BQ35" s="381"/>
      <c r="BR35" s="381"/>
      <c r="BS35" s="384"/>
      <c r="BT35" s="385"/>
      <c r="BU35" s="381"/>
      <c r="BV35" s="381"/>
      <c r="BW35" s="381"/>
      <c r="BX35" s="382"/>
      <c r="BY35" s="383"/>
      <c r="BZ35" s="381"/>
      <c r="CA35" s="381"/>
      <c r="CB35" s="381"/>
      <c r="CC35" s="384"/>
      <c r="CD35" s="385"/>
      <c r="CE35" s="381"/>
      <c r="CF35" s="381"/>
      <c r="CG35" s="381"/>
      <c r="CH35" s="384"/>
      <c r="CI35" s="385"/>
      <c r="CJ35" s="381"/>
      <c r="CK35" s="381"/>
      <c r="CL35" s="381"/>
      <c r="CM35" s="382"/>
    </row>
    <row r="36" spans="1:91" ht="25.5" customHeight="1">
      <c r="A36" s="386">
        <v>3979</v>
      </c>
      <c r="B36" s="387" t="s">
        <v>11</v>
      </c>
      <c r="C36" s="387" t="s">
        <v>44</v>
      </c>
      <c r="D36" s="387" t="s">
        <v>76</v>
      </c>
      <c r="E36" s="372" t="s">
        <v>53</v>
      </c>
      <c r="F36" s="387"/>
      <c r="G36" s="372" t="s">
        <v>526</v>
      </c>
      <c r="H36" s="371" t="s">
        <v>54</v>
      </c>
      <c r="I36" s="375"/>
      <c r="J36" s="372"/>
      <c r="K36" s="373"/>
      <c r="L36" s="388" t="s">
        <v>78</v>
      </c>
      <c r="M36" s="387" t="s">
        <v>77</v>
      </c>
      <c r="N36" s="387"/>
      <c r="O36" s="387" t="s">
        <v>77</v>
      </c>
      <c r="P36" s="389" t="s">
        <v>77</v>
      </c>
      <c r="Q36" s="388"/>
      <c r="R36" s="387"/>
      <c r="S36" s="387"/>
      <c r="T36" s="387"/>
      <c r="U36" s="390" t="s">
        <v>80</v>
      </c>
      <c r="V36" s="386"/>
      <c r="W36" s="372"/>
      <c r="X36" s="372"/>
      <c r="Y36" s="372"/>
      <c r="Z36" s="373"/>
      <c r="AA36" s="374"/>
      <c r="AB36" s="372"/>
      <c r="AC36" s="372"/>
      <c r="AD36" s="372"/>
      <c r="AE36" s="371"/>
      <c r="AF36" s="375"/>
      <c r="AG36" s="372"/>
      <c r="AH36" s="372"/>
      <c r="AI36" s="372"/>
      <c r="AJ36" s="373"/>
      <c r="AK36" s="374"/>
      <c r="AL36" s="372"/>
      <c r="AM36" s="372"/>
      <c r="AN36" s="372"/>
      <c r="AO36" s="371"/>
      <c r="AP36" s="375"/>
      <c r="AQ36" s="372"/>
      <c r="AR36" s="372"/>
      <c r="AS36" s="372"/>
      <c r="AT36" s="373"/>
      <c r="AU36" s="374"/>
      <c r="AV36" s="372"/>
      <c r="AW36" s="372"/>
      <c r="AX36" s="372"/>
      <c r="AY36" s="371"/>
      <c r="AZ36" s="375"/>
      <c r="BA36" s="372"/>
      <c r="BB36" s="372"/>
      <c r="BC36" s="372"/>
      <c r="BD36" s="373"/>
      <c r="BE36" s="374"/>
      <c r="BF36" s="372"/>
      <c r="BG36" s="372"/>
      <c r="BH36" s="372"/>
      <c r="BI36" s="371"/>
      <c r="BJ36" s="375"/>
      <c r="BK36" s="372"/>
      <c r="BL36" s="372"/>
      <c r="BM36" s="372"/>
      <c r="BN36" s="373"/>
      <c r="BO36" s="374"/>
      <c r="BP36" s="372"/>
      <c r="BQ36" s="372"/>
      <c r="BR36" s="372"/>
      <c r="BS36" s="371"/>
      <c r="BT36" s="375"/>
      <c r="BU36" s="372"/>
      <c r="BV36" s="372"/>
      <c r="BW36" s="372"/>
      <c r="BX36" s="373"/>
      <c r="BY36" s="374"/>
      <c r="BZ36" s="372"/>
      <c r="CA36" s="372"/>
      <c r="CB36" s="372"/>
      <c r="CC36" s="371"/>
      <c r="CD36" s="375"/>
      <c r="CE36" s="372"/>
      <c r="CF36" s="372"/>
      <c r="CG36" s="372"/>
      <c r="CH36" s="371"/>
      <c r="CI36" s="375"/>
      <c r="CJ36" s="372"/>
      <c r="CK36" s="372"/>
      <c r="CL36" s="372"/>
      <c r="CM36" s="373"/>
    </row>
    <row r="37" spans="1:91" ht="25.5" customHeight="1">
      <c r="A37" s="386">
        <v>3980</v>
      </c>
      <c r="B37" s="387" t="s">
        <v>11</v>
      </c>
      <c r="C37" s="387" t="s">
        <v>44</v>
      </c>
      <c r="D37" s="387" t="s">
        <v>76</v>
      </c>
      <c r="E37" s="372" t="s">
        <v>53</v>
      </c>
      <c r="F37" s="387"/>
      <c r="G37" s="372" t="s">
        <v>528</v>
      </c>
      <c r="H37" s="371" t="s">
        <v>54</v>
      </c>
      <c r="I37" s="375"/>
      <c r="J37" s="372"/>
      <c r="K37" s="373"/>
      <c r="L37" s="388" t="s">
        <v>78</v>
      </c>
      <c r="M37" s="387" t="s">
        <v>77</v>
      </c>
      <c r="N37" s="387"/>
      <c r="O37" s="387" t="s">
        <v>77</v>
      </c>
      <c r="P37" s="389" t="s">
        <v>77</v>
      </c>
      <c r="Q37" s="388"/>
      <c r="R37" s="387"/>
      <c r="S37" s="387"/>
      <c r="T37" s="387"/>
      <c r="U37" s="390" t="s">
        <v>80</v>
      </c>
      <c r="V37" s="386"/>
      <c r="W37" s="372"/>
      <c r="X37" s="372"/>
      <c r="Y37" s="372"/>
      <c r="Z37" s="373"/>
      <c r="AA37" s="374"/>
      <c r="AB37" s="372"/>
      <c r="AC37" s="372"/>
      <c r="AD37" s="372"/>
      <c r="AE37" s="371"/>
      <c r="AF37" s="375"/>
      <c r="AG37" s="372"/>
      <c r="AH37" s="372"/>
      <c r="AI37" s="372"/>
      <c r="AJ37" s="373"/>
      <c r="AK37" s="374"/>
      <c r="AL37" s="372"/>
      <c r="AM37" s="372"/>
      <c r="AN37" s="372"/>
      <c r="AO37" s="371"/>
      <c r="AP37" s="375"/>
      <c r="AQ37" s="372"/>
      <c r="AR37" s="372"/>
      <c r="AS37" s="372"/>
      <c r="AT37" s="373"/>
      <c r="AU37" s="374"/>
      <c r="AV37" s="372"/>
      <c r="AW37" s="372"/>
      <c r="AX37" s="372"/>
      <c r="AY37" s="371"/>
      <c r="AZ37" s="375"/>
      <c r="BA37" s="372"/>
      <c r="BB37" s="372"/>
      <c r="BC37" s="372"/>
      <c r="BD37" s="373"/>
      <c r="BE37" s="374"/>
      <c r="BF37" s="372"/>
      <c r="BG37" s="372"/>
      <c r="BH37" s="372"/>
      <c r="BI37" s="371"/>
      <c r="BJ37" s="375"/>
      <c r="BK37" s="372"/>
      <c r="BL37" s="372"/>
      <c r="BM37" s="372"/>
      <c r="BN37" s="373"/>
      <c r="BO37" s="374"/>
      <c r="BP37" s="372"/>
      <c r="BQ37" s="372"/>
      <c r="BR37" s="372"/>
      <c r="BS37" s="371"/>
      <c r="BT37" s="375"/>
      <c r="BU37" s="372"/>
      <c r="BV37" s="372"/>
      <c r="BW37" s="372"/>
      <c r="BX37" s="373"/>
      <c r="BY37" s="374"/>
      <c r="BZ37" s="372"/>
      <c r="CA37" s="372"/>
      <c r="CB37" s="372"/>
      <c r="CC37" s="371"/>
      <c r="CD37" s="375"/>
      <c r="CE37" s="372"/>
      <c r="CF37" s="372"/>
      <c r="CG37" s="372"/>
      <c r="CH37" s="371"/>
      <c r="CI37" s="375"/>
      <c r="CJ37" s="372"/>
      <c r="CK37" s="372"/>
      <c r="CL37" s="372"/>
      <c r="CM37" s="373"/>
    </row>
    <row r="38" spans="1:91" ht="25.5" customHeight="1">
      <c r="A38" s="386">
        <v>3981</v>
      </c>
      <c r="B38" s="387" t="s">
        <v>11</v>
      </c>
      <c r="C38" s="387" t="s">
        <v>44</v>
      </c>
      <c r="D38" s="387" t="s">
        <v>76</v>
      </c>
      <c r="E38" s="372" t="s">
        <v>53</v>
      </c>
      <c r="F38" s="387"/>
      <c r="G38" s="372" t="s">
        <v>530</v>
      </c>
      <c r="H38" s="371" t="s">
        <v>54</v>
      </c>
      <c r="I38" s="375"/>
      <c r="J38" s="372"/>
      <c r="K38" s="373"/>
      <c r="L38" s="388" t="s">
        <v>78</v>
      </c>
      <c r="M38" s="387" t="s">
        <v>77</v>
      </c>
      <c r="N38" s="387"/>
      <c r="O38" s="387" t="s">
        <v>77</v>
      </c>
      <c r="P38" s="389" t="s">
        <v>77</v>
      </c>
      <c r="Q38" s="388"/>
      <c r="R38" s="387"/>
      <c r="S38" s="387"/>
      <c r="T38" s="387"/>
      <c r="U38" s="390" t="s">
        <v>80</v>
      </c>
      <c r="V38" s="386"/>
      <c r="W38" s="372"/>
      <c r="X38" s="372"/>
      <c r="Y38" s="372"/>
      <c r="Z38" s="373"/>
      <c r="AA38" s="374"/>
      <c r="AB38" s="372"/>
      <c r="AC38" s="372"/>
      <c r="AD38" s="372"/>
      <c r="AE38" s="371"/>
      <c r="AF38" s="375"/>
      <c r="AG38" s="372"/>
      <c r="AH38" s="372"/>
      <c r="AI38" s="372"/>
      <c r="AJ38" s="373"/>
      <c r="AK38" s="374"/>
      <c r="AL38" s="372"/>
      <c r="AM38" s="372"/>
      <c r="AN38" s="372"/>
      <c r="AO38" s="371"/>
      <c r="AP38" s="375"/>
      <c r="AQ38" s="372"/>
      <c r="AR38" s="372"/>
      <c r="AS38" s="372"/>
      <c r="AT38" s="373"/>
      <c r="AU38" s="374"/>
      <c r="AV38" s="372"/>
      <c r="AW38" s="372"/>
      <c r="AX38" s="372"/>
      <c r="AY38" s="371"/>
      <c r="AZ38" s="375"/>
      <c r="BA38" s="372"/>
      <c r="BB38" s="372"/>
      <c r="BC38" s="372"/>
      <c r="BD38" s="373"/>
      <c r="BE38" s="374"/>
      <c r="BF38" s="372"/>
      <c r="BG38" s="372"/>
      <c r="BH38" s="372"/>
      <c r="BI38" s="371"/>
      <c r="BJ38" s="375"/>
      <c r="BK38" s="372"/>
      <c r="BL38" s="372"/>
      <c r="BM38" s="372"/>
      <c r="BN38" s="373"/>
      <c r="BO38" s="374"/>
      <c r="BP38" s="372"/>
      <c r="BQ38" s="372"/>
      <c r="BR38" s="372"/>
      <c r="BS38" s="371"/>
      <c r="BT38" s="375"/>
      <c r="BU38" s="372"/>
      <c r="BV38" s="372"/>
      <c r="BW38" s="372"/>
      <c r="BX38" s="373"/>
      <c r="BY38" s="374"/>
      <c r="BZ38" s="372"/>
      <c r="CA38" s="372"/>
      <c r="CB38" s="372"/>
      <c r="CC38" s="371"/>
      <c r="CD38" s="375"/>
      <c r="CE38" s="372"/>
      <c r="CF38" s="372"/>
      <c r="CG38" s="372"/>
      <c r="CH38" s="371"/>
      <c r="CI38" s="375"/>
      <c r="CJ38" s="372"/>
      <c r="CK38" s="372"/>
      <c r="CL38" s="372"/>
      <c r="CM38" s="373"/>
    </row>
    <row r="39" spans="1:91" ht="25.5" customHeight="1" thickBot="1">
      <c r="A39" s="391">
        <v>3982</v>
      </c>
      <c r="B39" s="392" t="s">
        <v>11</v>
      </c>
      <c r="C39" s="392" t="s">
        <v>44</v>
      </c>
      <c r="D39" s="392" t="s">
        <v>76</v>
      </c>
      <c r="E39" s="393" t="s">
        <v>53</v>
      </c>
      <c r="F39" s="392"/>
      <c r="G39" s="393" t="s">
        <v>532</v>
      </c>
      <c r="H39" s="394" t="s">
        <v>54</v>
      </c>
      <c r="I39" s="395"/>
      <c r="J39" s="393"/>
      <c r="K39" s="396"/>
      <c r="L39" s="397" t="s">
        <v>78</v>
      </c>
      <c r="M39" s="392" t="s">
        <v>77</v>
      </c>
      <c r="N39" s="392"/>
      <c r="O39" s="392" t="s">
        <v>77</v>
      </c>
      <c r="P39" s="398" t="s">
        <v>77</v>
      </c>
      <c r="Q39" s="397"/>
      <c r="R39" s="392"/>
      <c r="S39" s="392"/>
      <c r="T39" s="392"/>
      <c r="U39" s="399" t="s">
        <v>80</v>
      </c>
      <c r="V39" s="391"/>
      <c r="W39" s="393"/>
      <c r="X39" s="393"/>
      <c r="Y39" s="393"/>
      <c r="Z39" s="396"/>
      <c r="AA39" s="400"/>
      <c r="AB39" s="393"/>
      <c r="AC39" s="393"/>
      <c r="AD39" s="393"/>
      <c r="AE39" s="394"/>
      <c r="AF39" s="395"/>
      <c r="AG39" s="393"/>
      <c r="AH39" s="393"/>
      <c r="AI39" s="393"/>
      <c r="AJ39" s="396"/>
      <c r="AK39" s="400"/>
      <c r="AL39" s="393"/>
      <c r="AM39" s="393"/>
      <c r="AN39" s="393"/>
      <c r="AO39" s="394"/>
      <c r="AP39" s="395"/>
      <c r="AQ39" s="393"/>
      <c r="AR39" s="393"/>
      <c r="AS39" s="393"/>
      <c r="AT39" s="396"/>
      <c r="AU39" s="400"/>
      <c r="AV39" s="393"/>
      <c r="AW39" s="393"/>
      <c r="AX39" s="393"/>
      <c r="AY39" s="394"/>
      <c r="AZ39" s="395"/>
      <c r="BA39" s="393"/>
      <c r="BB39" s="393"/>
      <c r="BC39" s="393"/>
      <c r="BD39" s="396"/>
      <c r="BE39" s="400"/>
      <c r="BF39" s="393"/>
      <c r="BG39" s="393"/>
      <c r="BH39" s="393"/>
      <c r="BI39" s="394"/>
      <c r="BJ39" s="395"/>
      <c r="BK39" s="393"/>
      <c r="BL39" s="393"/>
      <c r="BM39" s="393"/>
      <c r="BN39" s="396"/>
      <c r="BO39" s="400"/>
      <c r="BP39" s="393"/>
      <c r="BQ39" s="393"/>
      <c r="BR39" s="393"/>
      <c r="BS39" s="394"/>
      <c r="BT39" s="395"/>
      <c r="BU39" s="393"/>
      <c r="BV39" s="393"/>
      <c r="BW39" s="393"/>
      <c r="BX39" s="396"/>
      <c r="BY39" s="400"/>
      <c r="BZ39" s="393"/>
      <c r="CA39" s="393"/>
      <c r="CB39" s="393"/>
      <c r="CC39" s="394"/>
      <c r="CD39" s="395"/>
      <c r="CE39" s="393"/>
      <c r="CF39" s="393"/>
      <c r="CG39" s="393"/>
      <c r="CH39" s="394"/>
      <c r="CI39" s="395"/>
      <c r="CJ39" s="393"/>
      <c r="CK39" s="393"/>
      <c r="CL39" s="393"/>
      <c r="CM39" s="396"/>
    </row>
    <row r="40" spans="1:91" ht="25.5" customHeight="1">
      <c r="A40" s="401">
        <v>3983</v>
      </c>
      <c r="B40" s="402" t="s">
        <v>11</v>
      </c>
      <c r="C40" s="402" t="s">
        <v>44</v>
      </c>
      <c r="D40" s="402" t="s">
        <v>76</v>
      </c>
      <c r="E40" s="403" t="s">
        <v>53</v>
      </c>
      <c r="F40" s="402"/>
      <c r="G40" s="403" t="s">
        <v>534</v>
      </c>
      <c r="H40" s="404" t="s">
        <v>54</v>
      </c>
      <c r="I40" s="405"/>
      <c r="J40" s="403"/>
      <c r="K40" s="406"/>
      <c r="L40" s="407" t="s">
        <v>78</v>
      </c>
      <c r="M40" s="402" t="s">
        <v>77</v>
      </c>
      <c r="N40" s="402"/>
      <c r="O40" s="402" t="s">
        <v>77</v>
      </c>
      <c r="P40" s="408" t="s">
        <v>77</v>
      </c>
      <c r="Q40" s="407"/>
      <c r="R40" s="402"/>
      <c r="S40" s="402"/>
      <c r="T40" s="402"/>
      <c r="U40" s="409" t="s">
        <v>80</v>
      </c>
      <c r="V40" s="401"/>
      <c r="W40" s="403"/>
      <c r="X40" s="403"/>
      <c r="Y40" s="403"/>
      <c r="Z40" s="406"/>
      <c r="AA40" s="410"/>
      <c r="AB40" s="403"/>
      <c r="AC40" s="403"/>
      <c r="AD40" s="403"/>
      <c r="AE40" s="404"/>
      <c r="AF40" s="405"/>
      <c r="AG40" s="403"/>
      <c r="AH40" s="403"/>
      <c r="AI40" s="403"/>
      <c r="AJ40" s="406"/>
      <c r="AK40" s="410"/>
      <c r="AL40" s="403"/>
      <c r="AM40" s="403"/>
      <c r="AN40" s="403"/>
      <c r="AO40" s="404"/>
      <c r="AP40" s="405"/>
      <c r="AQ40" s="403"/>
      <c r="AR40" s="403"/>
      <c r="AS40" s="403"/>
      <c r="AT40" s="406"/>
      <c r="AU40" s="410"/>
      <c r="AV40" s="403"/>
      <c r="AW40" s="403"/>
      <c r="AX40" s="403"/>
      <c r="AY40" s="404"/>
      <c r="AZ40" s="405"/>
      <c r="BA40" s="403"/>
      <c r="BB40" s="403"/>
      <c r="BC40" s="403"/>
      <c r="BD40" s="406"/>
      <c r="BE40" s="410"/>
      <c r="BF40" s="403"/>
      <c r="BG40" s="403"/>
      <c r="BH40" s="403"/>
      <c r="BI40" s="404"/>
      <c r="BJ40" s="405"/>
      <c r="BK40" s="403"/>
      <c r="BL40" s="403"/>
      <c r="BM40" s="403"/>
      <c r="BN40" s="406"/>
      <c r="BO40" s="410"/>
      <c r="BP40" s="403"/>
      <c r="BQ40" s="403"/>
      <c r="BR40" s="403"/>
      <c r="BS40" s="404"/>
      <c r="BT40" s="405"/>
      <c r="BU40" s="403"/>
      <c r="BV40" s="403"/>
      <c r="BW40" s="403"/>
      <c r="BX40" s="406"/>
      <c r="BY40" s="410"/>
      <c r="BZ40" s="403"/>
      <c r="CA40" s="403"/>
      <c r="CB40" s="403"/>
      <c r="CC40" s="404"/>
      <c r="CD40" s="405"/>
      <c r="CE40" s="403"/>
      <c r="CF40" s="403"/>
      <c r="CG40" s="403"/>
      <c r="CH40" s="404"/>
      <c r="CI40" s="405"/>
      <c r="CJ40" s="403"/>
      <c r="CK40" s="403"/>
      <c r="CL40" s="403"/>
      <c r="CM40" s="406"/>
    </row>
    <row r="41" spans="1:91" ht="25.5" customHeight="1">
      <c r="A41" s="386">
        <v>3984</v>
      </c>
      <c r="B41" s="387" t="s">
        <v>11</v>
      </c>
      <c r="C41" s="387" t="s">
        <v>44</v>
      </c>
      <c r="D41" s="387" t="s">
        <v>76</v>
      </c>
      <c r="E41" s="372" t="s">
        <v>53</v>
      </c>
      <c r="F41" s="387"/>
      <c r="G41" s="372" t="s">
        <v>536</v>
      </c>
      <c r="H41" s="371" t="s">
        <v>54</v>
      </c>
      <c r="I41" s="375"/>
      <c r="J41" s="372"/>
      <c r="K41" s="373"/>
      <c r="L41" s="388" t="s">
        <v>78</v>
      </c>
      <c r="M41" s="387" t="s">
        <v>77</v>
      </c>
      <c r="N41" s="387"/>
      <c r="O41" s="387" t="s">
        <v>77</v>
      </c>
      <c r="P41" s="389" t="s">
        <v>77</v>
      </c>
      <c r="Q41" s="388"/>
      <c r="R41" s="387"/>
      <c r="S41" s="387"/>
      <c r="T41" s="387"/>
      <c r="U41" s="390" t="s">
        <v>80</v>
      </c>
      <c r="V41" s="386"/>
      <c r="W41" s="372"/>
      <c r="X41" s="372"/>
      <c r="Y41" s="372"/>
      <c r="Z41" s="373"/>
      <c r="AA41" s="374"/>
      <c r="AB41" s="372"/>
      <c r="AC41" s="372"/>
      <c r="AD41" s="372"/>
      <c r="AE41" s="371"/>
      <c r="AF41" s="375"/>
      <c r="AG41" s="372"/>
      <c r="AH41" s="372"/>
      <c r="AI41" s="372"/>
      <c r="AJ41" s="373"/>
      <c r="AK41" s="374"/>
      <c r="AL41" s="372"/>
      <c r="AM41" s="372"/>
      <c r="AN41" s="372"/>
      <c r="AO41" s="371"/>
      <c r="AP41" s="375"/>
      <c r="AQ41" s="372"/>
      <c r="AR41" s="372"/>
      <c r="AS41" s="372"/>
      <c r="AT41" s="373"/>
      <c r="AU41" s="374"/>
      <c r="AV41" s="372"/>
      <c r="AW41" s="372"/>
      <c r="AX41" s="372"/>
      <c r="AY41" s="371"/>
      <c r="AZ41" s="375"/>
      <c r="BA41" s="372"/>
      <c r="BB41" s="372"/>
      <c r="BC41" s="372"/>
      <c r="BD41" s="373"/>
      <c r="BE41" s="374"/>
      <c r="BF41" s="372"/>
      <c r="BG41" s="372"/>
      <c r="BH41" s="372"/>
      <c r="BI41" s="371"/>
      <c r="BJ41" s="375"/>
      <c r="BK41" s="372"/>
      <c r="BL41" s="372"/>
      <c r="BM41" s="372"/>
      <c r="BN41" s="373"/>
      <c r="BO41" s="374"/>
      <c r="BP41" s="372"/>
      <c r="BQ41" s="372"/>
      <c r="BR41" s="372"/>
      <c r="BS41" s="371"/>
      <c r="BT41" s="375"/>
      <c r="BU41" s="372"/>
      <c r="BV41" s="372"/>
      <c r="BW41" s="372"/>
      <c r="BX41" s="373"/>
      <c r="BY41" s="374"/>
      <c r="BZ41" s="372"/>
      <c r="CA41" s="372"/>
      <c r="CB41" s="372"/>
      <c r="CC41" s="371"/>
      <c r="CD41" s="375"/>
      <c r="CE41" s="372"/>
      <c r="CF41" s="372"/>
      <c r="CG41" s="372"/>
      <c r="CH41" s="371"/>
      <c r="CI41" s="375"/>
      <c r="CJ41" s="372"/>
      <c r="CK41" s="372"/>
      <c r="CL41" s="372"/>
      <c r="CM41" s="373"/>
    </row>
    <row r="42" spans="1:91" ht="25.5" customHeight="1">
      <c r="A42" s="386">
        <v>3985</v>
      </c>
      <c r="B42" s="387" t="s">
        <v>11</v>
      </c>
      <c r="C42" s="387" t="s">
        <v>44</v>
      </c>
      <c r="D42" s="387" t="s">
        <v>76</v>
      </c>
      <c r="E42" s="372" t="s">
        <v>53</v>
      </c>
      <c r="F42" s="387"/>
      <c r="G42" s="372" t="s">
        <v>538</v>
      </c>
      <c r="H42" s="371" t="s">
        <v>54</v>
      </c>
      <c r="I42" s="375"/>
      <c r="J42" s="372"/>
      <c r="K42" s="373"/>
      <c r="L42" s="388" t="s">
        <v>78</v>
      </c>
      <c r="M42" s="387" t="s">
        <v>77</v>
      </c>
      <c r="N42" s="387"/>
      <c r="O42" s="387" t="s">
        <v>77</v>
      </c>
      <c r="P42" s="389" t="s">
        <v>77</v>
      </c>
      <c r="Q42" s="388"/>
      <c r="R42" s="387"/>
      <c r="S42" s="387"/>
      <c r="T42" s="387"/>
      <c r="U42" s="390" t="s">
        <v>80</v>
      </c>
      <c r="V42" s="386"/>
      <c r="W42" s="372"/>
      <c r="X42" s="372"/>
      <c r="Y42" s="372"/>
      <c r="Z42" s="373"/>
      <c r="AA42" s="374"/>
      <c r="AB42" s="372"/>
      <c r="AC42" s="372"/>
      <c r="AD42" s="372"/>
      <c r="AE42" s="371"/>
      <c r="AF42" s="375"/>
      <c r="AG42" s="372"/>
      <c r="AH42" s="372"/>
      <c r="AI42" s="372"/>
      <c r="AJ42" s="373"/>
      <c r="AK42" s="374"/>
      <c r="AL42" s="372"/>
      <c r="AM42" s="372"/>
      <c r="AN42" s="372"/>
      <c r="AO42" s="371"/>
      <c r="AP42" s="375"/>
      <c r="AQ42" s="372"/>
      <c r="AR42" s="372"/>
      <c r="AS42" s="372"/>
      <c r="AT42" s="373"/>
      <c r="AU42" s="374"/>
      <c r="AV42" s="372"/>
      <c r="AW42" s="372"/>
      <c r="AX42" s="372"/>
      <c r="AY42" s="371"/>
      <c r="AZ42" s="375"/>
      <c r="BA42" s="372"/>
      <c r="BB42" s="372"/>
      <c r="BC42" s="372"/>
      <c r="BD42" s="373"/>
      <c r="BE42" s="374"/>
      <c r="BF42" s="372"/>
      <c r="BG42" s="372"/>
      <c r="BH42" s="372"/>
      <c r="BI42" s="371"/>
      <c r="BJ42" s="375"/>
      <c r="BK42" s="372"/>
      <c r="BL42" s="372"/>
      <c r="BM42" s="372"/>
      <c r="BN42" s="373"/>
      <c r="BO42" s="374"/>
      <c r="BP42" s="372"/>
      <c r="BQ42" s="372"/>
      <c r="BR42" s="372"/>
      <c r="BS42" s="371"/>
      <c r="BT42" s="375"/>
      <c r="BU42" s="372"/>
      <c r="BV42" s="372"/>
      <c r="BW42" s="372"/>
      <c r="BX42" s="373"/>
      <c r="BY42" s="374"/>
      <c r="BZ42" s="372"/>
      <c r="CA42" s="372"/>
      <c r="CB42" s="372"/>
      <c r="CC42" s="371"/>
      <c r="CD42" s="375"/>
      <c r="CE42" s="372"/>
      <c r="CF42" s="372"/>
      <c r="CG42" s="372"/>
      <c r="CH42" s="371"/>
      <c r="CI42" s="375"/>
      <c r="CJ42" s="372"/>
      <c r="CK42" s="372"/>
      <c r="CL42" s="372"/>
      <c r="CM42" s="373"/>
    </row>
    <row r="43" spans="1:91" ht="25.5" customHeight="1">
      <c r="A43" s="386">
        <v>3986</v>
      </c>
      <c r="B43" s="387" t="s">
        <v>11</v>
      </c>
      <c r="C43" s="387" t="s">
        <v>44</v>
      </c>
      <c r="D43" s="387" t="s">
        <v>76</v>
      </c>
      <c r="E43" s="372" t="s">
        <v>53</v>
      </c>
      <c r="F43" s="387"/>
      <c r="G43" s="372" t="s">
        <v>540</v>
      </c>
      <c r="H43" s="371" t="s">
        <v>54</v>
      </c>
      <c r="I43" s="375"/>
      <c r="J43" s="372"/>
      <c r="K43" s="373"/>
      <c r="L43" s="388" t="s">
        <v>78</v>
      </c>
      <c r="M43" s="387" t="s">
        <v>77</v>
      </c>
      <c r="N43" s="387"/>
      <c r="O43" s="387" t="s">
        <v>77</v>
      </c>
      <c r="P43" s="389" t="s">
        <v>77</v>
      </c>
      <c r="Q43" s="388"/>
      <c r="R43" s="387"/>
      <c r="S43" s="387"/>
      <c r="T43" s="387"/>
      <c r="U43" s="390" t="s">
        <v>80</v>
      </c>
      <c r="V43" s="386"/>
      <c r="W43" s="372"/>
      <c r="X43" s="372"/>
      <c r="Y43" s="372"/>
      <c r="Z43" s="373"/>
      <c r="AA43" s="374"/>
      <c r="AB43" s="372"/>
      <c r="AC43" s="372"/>
      <c r="AD43" s="372"/>
      <c r="AE43" s="371"/>
      <c r="AF43" s="375"/>
      <c r="AG43" s="372"/>
      <c r="AH43" s="372"/>
      <c r="AI43" s="372"/>
      <c r="AJ43" s="373"/>
      <c r="AK43" s="374"/>
      <c r="AL43" s="372"/>
      <c r="AM43" s="372"/>
      <c r="AN43" s="372"/>
      <c r="AO43" s="371"/>
      <c r="AP43" s="375"/>
      <c r="AQ43" s="372"/>
      <c r="AR43" s="372"/>
      <c r="AS43" s="372"/>
      <c r="AT43" s="373"/>
      <c r="AU43" s="374"/>
      <c r="AV43" s="372"/>
      <c r="AW43" s="372"/>
      <c r="AX43" s="372"/>
      <c r="AY43" s="371"/>
      <c r="AZ43" s="375"/>
      <c r="BA43" s="372"/>
      <c r="BB43" s="372"/>
      <c r="BC43" s="372"/>
      <c r="BD43" s="373"/>
      <c r="BE43" s="374"/>
      <c r="BF43" s="372"/>
      <c r="BG43" s="372"/>
      <c r="BH43" s="372"/>
      <c r="BI43" s="371"/>
      <c r="BJ43" s="375"/>
      <c r="BK43" s="372"/>
      <c r="BL43" s="372"/>
      <c r="BM43" s="372"/>
      <c r="BN43" s="373"/>
      <c r="BO43" s="374"/>
      <c r="BP43" s="372"/>
      <c r="BQ43" s="372"/>
      <c r="BR43" s="372"/>
      <c r="BS43" s="371"/>
      <c r="BT43" s="375"/>
      <c r="BU43" s="372"/>
      <c r="BV43" s="372"/>
      <c r="BW43" s="372"/>
      <c r="BX43" s="373"/>
      <c r="BY43" s="374"/>
      <c r="BZ43" s="372"/>
      <c r="CA43" s="372"/>
      <c r="CB43" s="372"/>
      <c r="CC43" s="371"/>
      <c r="CD43" s="375"/>
      <c r="CE43" s="372"/>
      <c r="CF43" s="372"/>
      <c r="CG43" s="372"/>
      <c r="CH43" s="371"/>
      <c r="CI43" s="375"/>
      <c r="CJ43" s="372"/>
      <c r="CK43" s="372"/>
      <c r="CL43" s="372"/>
      <c r="CM43" s="373"/>
    </row>
    <row r="44" spans="1:91" ht="25.5" customHeight="1" thickBot="1">
      <c r="A44" s="411">
        <v>3987</v>
      </c>
      <c r="B44" s="412" t="s">
        <v>11</v>
      </c>
      <c r="C44" s="412" t="s">
        <v>44</v>
      </c>
      <c r="D44" s="412" t="s">
        <v>76</v>
      </c>
      <c r="E44" s="377" t="s">
        <v>53</v>
      </c>
      <c r="F44" s="412"/>
      <c r="G44" s="377" t="s">
        <v>542</v>
      </c>
      <c r="H44" s="376" t="s">
        <v>54</v>
      </c>
      <c r="I44" s="380"/>
      <c r="J44" s="377"/>
      <c r="K44" s="378"/>
      <c r="L44" s="413" t="s">
        <v>78</v>
      </c>
      <c r="M44" s="412" t="s">
        <v>77</v>
      </c>
      <c r="N44" s="412"/>
      <c r="O44" s="412" t="s">
        <v>77</v>
      </c>
      <c r="P44" s="414" t="s">
        <v>77</v>
      </c>
      <c r="Q44" s="413"/>
      <c r="R44" s="412"/>
      <c r="S44" s="412"/>
      <c r="T44" s="412"/>
      <c r="U44" s="415" t="s">
        <v>80</v>
      </c>
      <c r="V44" s="411"/>
      <c r="W44" s="377"/>
      <c r="X44" s="377"/>
      <c r="Y44" s="377"/>
      <c r="Z44" s="378"/>
      <c r="AA44" s="379"/>
      <c r="AB44" s="377"/>
      <c r="AC44" s="377"/>
      <c r="AD44" s="377"/>
      <c r="AE44" s="376"/>
      <c r="AF44" s="380"/>
      <c r="AG44" s="377"/>
      <c r="AH44" s="377"/>
      <c r="AI44" s="377"/>
      <c r="AJ44" s="378"/>
      <c r="AK44" s="379"/>
      <c r="AL44" s="377"/>
      <c r="AM44" s="377"/>
      <c r="AN44" s="377"/>
      <c r="AO44" s="376"/>
      <c r="AP44" s="380"/>
      <c r="AQ44" s="377"/>
      <c r="AR44" s="377"/>
      <c r="AS44" s="377"/>
      <c r="AT44" s="378"/>
      <c r="AU44" s="379"/>
      <c r="AV44" s="377"/>
      <c r="AW44" s="377"/>
      <c r="AX44" s="377"/>
      <c r="AY44" s="376"/>
      <c r="AZ44" s="380"/>
      <c r="BA44" s="377"/>
      <c r="BB44" s="377"/>
      <c r="BC44" s="377"/>
      <c r="BD44" s="378"/>
      <c r="BE44" s="379"/>
      <c r="BF44" s="377"/>
      <c r="BG44" s="377"/>
      <c r="BH44" s="377"/>
      <c r="BI44" s="376"/>
      <c r="BJ44" s="380"/>
      <c r="BK44" s="377"/>
      <c r="BL44" s="377"/>
      <c r="BM44" s="377"/>
      <c r="BN44" s="378"/>
      <c r="BO44" s="379"/>
      <c r="BP44" s="377"/>
      <c r="BQ44" s="377"/>
      <c r="BR44" s="377"/>
      <c r="BS44" s="376"/>
      <c r="BT44" s="380"/>
      <c r="BU44" s="377"/>
      <c r="BV44" s="377"/>
      <c r="BW44" s="377"/>
      <c r="BX44" s="378"/>
      <c r="BY44" s="379"/>
      <c r="BZ44" s="377"/>
      <c r="CA44" s="377"/>
      <c r="CB44" s="377"/>
      <c r="CC44" s="376"/>
      <c r="CD44" s="380"/>
      <c r="CE44" s="377"/>
      <c r="CF44" s="377"/>
      <c r="CG44" s="377"/>
      <c r="CH44" s="376"/>
      <c r="CI44" s="380"/>
      <c r="CJ44" s="377"/>
      <c r="CK44" s="377"/>
      <c r="CL44" s="377"/>
      <c r="CM44" s="378"/>
    </row>
    <row r="45" spans="1:91" ht="25.5" customHeight="1">
      <c r="A45" s="416">
        <v>3988</v>
      </c>
      <c r="B45" s="417" t="s">
        <v>11</v>
      </c>
      <c r="C45" s="417" t="s">
        <v>44</v>
      </c>
      <c r="D45" s="417" t="s">
        <v>76</v>
      </c>
      <c r="E45" s="381" t="s">
        <v>53</v>
      </c>
      <c r="F45" s="417"/>
      <c r="G45" s="381" t="s">
        <v>544</v>
      </c>
      <c r="H45" s="384" t="s">
        <v>54</v>
      </c>
      <c r="I45" s="385"/>
      <c r="J45" s="381"/>
      <c r="K45" s="382"/>
      <c r="L45" s="418" t="s">
        <v>78</v>
      </c>
      <c r="M45" s="417" t="s">
        <v>77</v>
      </c>
      <c r="N45" s="417"/>
      <c r="O45" s="417" t="s">
        <v>77</v>
      </c>
      <c r="P45" s="419" t="s">
        <v>77</v>
      </c>
      <c r="Q45" s="418"/>
      <c r="R45" s="417"/>
      <c r="S45" s="417"/>
      <c r="T45" s="417"/>
      <c r="U45" s="420" t="s">
        <v>80</v>
      </c>
      <c r="V45" s="416"/>
      <c r="W45" s="381"/>
      <c r="X45" s="381"/>
      <c r="Y45" s="381"/>
      <c r="Z45" s="382"/>
      <c r="AA45" s="383"/>
      <c r="AB45" s="381"/>
      <c r="AC45" s="381"/>
      <c r="AD45" s="381"/>
      <c r="AE45" s="384"/>
      <c r="AF45" s="385"/>
      <c r="AG45" s="381"/>
      <c r="AH45" s="381"/>
      <c r="AI45" s="381"/>
      <c r="AJ45" s="382"/>
      <c r="AK45" s="383"/>
      <c r="AL45" s="381"/>
      <c r="AM45" s="381"/>
      <c r="AN45" s="381"/>
      <c r="AO45" s="384"/>
      <c r="AP45" s="385"/>
      <c r="AQ45" s="381"/>
      <c r="AR45" s="381"/>
      <c r="AS45" s="381"/>
      <c r="AT45" s="382"/>
      <c r="AU45" s="383"/>
      <c r="AV45" s="381"/>
      <c r="AW45" s="381"/>
      <c r="AX45" s="381"/>
      <c r="AY45" s="384"/>
      <c r="AZ45" s="385"/>
      <c r="BA45" s="381"/>
      <c r="BB45" s="381"/>
      <c r="BC45" s="381"/>
      <c r="BD45" s="382"/>
      <c r="BE45" s="383"/>
      <c r="BF45" s="381"/>
      <c r="BG45" s="381"/>
      <c r="BH45" s="381"/>
      <c r="BI45" s="384"/>
      <c r="BJ45" s="385"/>
      <c r="BK45" s="381"/>
      <c r="BL45" s="381"/>
      <c r="BM45" s="381"/>
      <c r="BN45" s="382"/>
      <c r="BO45" s="383"/>
      <c r="BP45" s="381"/>
      <c r="BQ45" s="381"/>
      <c r="BR45" s="381"/>
      <c r="BS45" s="384"/>
      <c r="BT45" s="385"/>
      <c r="BU45" s="381"/>
      <c r="BV45" s="381"/>
      <c r="BW45" s="381"/>
      <c r="BX45" s="382"/>
      <c r="BY45" s="383"/>
      <c r="BZ45" s="381"/>
      <c r="CA45" s="381"/>
      <c r="CB45" s="381"/>
      <c r="CC45" s="384"/>
      <c r="CD45" s="385"/>
      <c r="CE45" s="381"/>
      <c r="CF45" s="381"/>
      <c r="CG45" s="381"/>
      <c r="CH45" s="384"/>
      <c r="CI45" s="385"/>
      <c r="CJ45" s="381"/>
      <c r="CK45" s="381"/>
      <c r="CL45" s="381"/>
      <c r="CM45" s="382"/>
    </row>
    <row r="46" spans="1:91" ht="25.5" customHeight="1">
      <c r="A46" s="386">
        <v>3989</v>
      </c>
      <c r="B46" s="387" t="s">
        <v>11</v>
      </c>
      <c r="C46" s="387" t="s">
        <v>44</v>
      </c>
      <c r="D46" s="387" t="s">
        <v>76</v>
      </c>
      <c r="E46" s="372" t="s">
        <v>53</v>
      </c>
      <c r="F46" s="387"/>
      <c r="G46" s="372" t="s">
        <v>546</v>
      </c>
      <c r="H46" s="371" t="s">
        <v>54</v>
      </c>
      <c r="I46" s="375"/>
      <c r="J46" s="372"/>
      <c r="K46" s="373"/>
      <c r="L46" s="388" t="s">
        <v>78</v>
      </c>
      <c r="M46" s="387" t="s">
        <v>77</v>
      </c>
      <c r="N46" s="387"/>
      <c r="O46" s="387" t="s">
        <v>77</v>
      </c>
      <c r="P46" s="389" t="s">
        <v>77</v>
      </c>
      <c r="Q46" s="388"/>
      <c r="R46" s="387"/>
      <c r="S46" s="387"/>
      <c r="T46" s="387"/>
      <c r="U46" s="390" t="s">
        <v>80</v>
      </c>
      <c r="V46" s="386"/>
      <c r="W46" s="372"/>
      <c r="X46" s="372"/>
      <c r="Y46" s="372"/>
      <c r="Z46" s="373"/>
      <c r="AA46" s="374"/>
      <c r="AB46" s="372"/>
      <c r="AC46" s="372"/>
      <c r="AD46" s="372"/>
      <c r="AE46" s="371"/>
      <c r="AF46" s="375"/>
      <c r="AG46" s="372"/>
      <c r="AH46" s="372"/>
      <c r="AI46" s="372"/>
      <c r="AJ46" s="373"/>
      <c r="AK46" s="374"/>
      <c r="AL46" s="372"/>
      <c r="AM46" s="372"/>
      <c r="AN46" s="372"/>
      <c r="AO46" s="371"/>
      <c r="AP46" s="375"/>
      <c r="AQ46" s="372"/>
      <c r="AR46" s="372"/>
      <c r="AS46" s="372"/>
      <c r="AT46" s="373"/>
      <c r="AU46" s="374"/>
      <c r="AV46" s="372"/>
      <c r="AW46" s="372"/>
      <c r="AX46" s="372"/>
      <c r="AY46" s="371"/>
      <c r="AZ46" s="375"/>
      <c r="BA46" s="372"/>
      <c r="BB46" s="372"/>
      <c r="BC46" s="372"/>
      <c r="BD46" s="373"/>
      <c r="BE46" s="374"/>
      <c r="BF46" s="372"/>
      <c r="BG46" s="372"/>
      <c r="BH46" s="372"/>
      <c r="BI46" s="371"/>
      <c r="BJ46" s="375"/>
      <c r="BK46" s="372"/>
      <c r="BL46" s="372"/>
      <c r="BM46" s="372"/>
      <c r="BN46" s="373"/>
      <c r="BO46" s="374"/>
      <c r="BP46" s="372"/>
      <c r="BQ46" s="372"/>
      <c r="BR46" s="372"/>
      <c r="BS46" s="371"/>
      <c r="BT46" s="375"/>
      <c r="BU46" s="372"/>
      <c r="BV46" s="372"/>
      <c r="BW46" s="372"/>
      <c r="BX46" s="373"/>
      <c r="BY46" s="374"/>
      <c r="BZ46" s="372"/>
      <c r="CA46" s="372"/>
      <c r="CB46" s="372"/>
      <c r="CC46" s="371"/>
      <c r="CD46" s="375"/>
      <c r="CE46" s="372"/>
      <c r="CF46" s="372"/>
      <c r="CG46" s="372"/>
      <c r="CH46" s="371"/>
      <c r="CI46" s="375"/>
      <c r="CJ46" s="372"/>
      <c r="CK46" s="372"/>
      <c r="CL46" s="372"/>
      <c r="CM46" s="373"/>
    </row>
    <row r="47" spans="1:91" ht="25.5" customHeight="1">
      <c r="A47" s="386">
        <v>3990</v>
      </c>
      <c r="B47" s="387" t="s">
        <v>11</v>
      </c>
      <c r="C47" s="387" t="s">
        <v>44</v>
      </c>
      <c r="D47" s="387" t="s">
        <v>76</v>
      </c>
      <c r="E47" s="372" t="s">
        <v>53</v>
      </c>
      <c r="F47" s="387"/>
      <c r="G47" s="372" t="s">
        <v>548</v>
      </c>
      <c r="H47" s="371" t="s">
        <v>54</v>
      </c>
      <c r="I47" s="375"/>
      <c r="J47" s="372"/>
      <c r="K47" s="373"/>
      <c r="L47" s="388" t="s">
        <v>78</v>
      </c>
      <c r="M47" s="387" t="s">
        <v>77</v>
      </c>
      <c r="N47" s="387"/>
      <c r="O47" s="387" t="s">
        <v>77</v>
      </c>
      <c r="P47" s="389" t="s">
        <v>77</v>
      </c>
      <c r="Q47" s="388"/>
      <c r="R47" s="387"/>
      <c r="S47" s="387"/>
      <c r="T47" s="387"/>
      <c r="U47" s="390" t="s">
        <v>80</v>
      </c>
      <c r="V47" s="386"/>
      <c r="W47" s="372"/>
      <c r="X47" s="372"/>
      <c r="Y47" s="372"/>
      <c r="Z47" s="373"/>
      <c r="AA47" s="374"/>
      <c r="AB47" s="372"/>
      <c r="AC47" s="372"/>
      <c r="AD47" s="372"/>
      <c r="AE47" s="371"/>
      <c r="AF47" s="375"/>
      <c r="AG47" s="372"/>
      <c r="AH47" s="372"/>
      <c r="AI47" s="372"/>
      <c r="AJ47" s="373"/>
      <c r="AK47" s="374"/>
      <c r="AL47" s="372"/>
      <c r="AM47" s="372"/>
      <c r="AN47" s="372"/>
      <c r="AO47" s="371"/>
      <c r="AP47" s="375"/>
      <c r="AQ47" s="372"/>
      <c r="AR47" s="372"/>
      <c r="AS47" s="372"/>
      <c r="AT47" s="373"/>
      <c r="AU47" s="374"/>
      <c r="AV47" s="372"/>
      <c r="AW47" s="372"/>
      <c r="AX47" s="372"/>
      <c r="AY47" s="371"/>
      <c r="AZ47" s="375"/>
      <c r="BA47" s="372"/>
      <c r="BB47" s="372"/>
      <c r="BC47" s="372"/>
      <c r="BD47" s="373"/>
      <c r="BE47" s="374"/>
      <c r="BF47" s="372"/>
      <c r="BG47" s="372"/>
      <c r="BH47" s="372"/>
      <c r="BI47" s="371"/>
      <c r="BJ47" s="375"/>
      <c r="BK47" s="372"/>
      <c r="BL47" s="372"/>
      <c r="BM47" s="372"/>
      <c r="BN47" s="373"/>
      <c r="BO47" s="374"/>
      <c r="BP47" s="372"/>
      <c r="BQ47" s="372"/>
      <c r="BR47" s="372"/>
      <c r="BS47" s="371"/>
      <c r="BT47" s="375"/>
      <c r="BU47" s="372"/>
      <c r="BV47" s="372"/>
      <c r="BW47" s="372"/>
      <c r="BX47" s="373"/>
      <c r="BY47" s="374"/>
      <c r="BZ47" s="372"/>
      <c r="CA47" s="372"/>
      <c r="CB47" s="372"/>
      <c r="CC47" s="371"/>
      <c r="CD47" s="375"/>
      <c r="CE47" s="372"/>
      <c r="CF47" s="372"/>
      <c r="CG47" s="372"/>
      <c r="CH47" s="371"/>
      <c r="CI47" s="375"/>
      <c r="CJ47" s="372"/>
      <c r="CK47" s="372"/>
      <c r="CL47" s="372"/>
      <c r="CM47" s="373"/>
    </row>
    <row r="48" spans="1:91" ht="25.5" customHeight="1">
      <c r="A48" s="386">
        <v>3991</v>
      </c>
      <c r="B48" s="387" t="s">
        <v>11</v>
      </c>
      <c r="C48" s="387" t="s">
        <v>44</v>
      </c>
      <c r="D48" s="387" t="s">
        <v>76</v>
      </c>
      <c r="E48" s="372" t="s">
        <v>53</v>
      </c>
      <c r="F48" s="387"/>
      <c r="G48" s="372" t="s">
        <v>550</v>
      </c>
      <c r="H48" s="371" t="s">
        <v>54</v>
      </c>
      <c r="I48" s="375"/>
      <c r="J48" s="372"/>
      <c r="K48" s="373"/>
      <c r="L48" s="388" t="s">
        <v>78</v>
      </c>
      <c r="M48" s="387" t="s">
        <v>77</v>
      </c>
      <c r="N48" s="387"/>
      <c r="O48" s="387" t="s">
        <v>77</v>
      </c>
      <c r="P48" s="389" t="s">
        <v>77</v>
      </c>
      <c r="Q48" s="388"/>
      <c r="R48" s="387"/>
      <c r="S48" s="387"/>
      <c r="T48" s="387"/>
      <c r="U48" s="390" t="s">
        <v>80</v>
      </c>
      <c r="V48" s="386"/>
      <c r="W48" s="372"/>
      <c r="X48" s="372"/>
      <c r="Y48" s="372"/>
      <c r="Z48" s="373"/>
      <c r="AA48" s="374"/>
      <c r="AB48" s="372"/>
      <c r="AC48" s="372"/>
      <c r="AD48" s="372"/>
      <c r="AE48" s="371"/>
      <c r="AF48" s="375"/>
      <c r="AG48" s="372"/>
      <c r="AH48" s="372"/>
      <c r="AI48" s="372"/>
      <c r="AJ48" s="373"/>
      <c r="AK48" s="374"/>
      <c r="AL48" s="372"/>
      <c r="AM48" s="372"/>
      <c r="AN48" s="372"/>
      <c r="AO48" s="371"/>
      <c r="AP48" s="375"/>
      <c r="AQ48" s="372"/>
      <c r="AR48" s="372"/>
      <c r="AS48" s="372"/>
      <c r="AT48" s="373"/>
      <c r="AU48" s="374"/>
      <c r="AV48" s="372"/>
      <c r="AW48" s="372"/>
      <c r="AX48" s="372"/>
      <c r="AY48" s="371"/>
      <c r="AZ48" s="375"/>
      <c r="BA48" s="372"/>
      <c r="BB48" s="372"/>
      <c r="BC48" s="372"/>
      <c r="BD48" s="373"/>
      <c r="BE48" s="374"/>
      <c r="BF48" s="372"/>
      <c r="BG48" s="372"/>
      <c r="BH48" s="372"/>
      <c r="BI48" s="371"/>
      <c r="BJ48" s="375"/>
      <c r="BK48" s="372"/>
      <c r="BL48" s="372"/>
      <c r="BM48" s="372"/>
      <c r="BN48" s="373"/>
      <c r="BO48" s="374"/>
      <c r="BP48" s="372"/>
      <c r="BQ48" s="372"/>
      <c r="BR48" s="372"/>
      <c r="BS48" s="371"/>
      <c r="BT48" s="375"/>
      <c r="BU48" s="372"/>
      <c r="BV48" s="372"/>
      <c r="BW48" s="372"/>
      <c r="BX48" s="373"/>
      <c r="BY48" s="374"/>
      <c r="BZ48" s="372"/>
      <c r="CA48" s="372"/>
      <c r="CB48" s="372"/>
      <c r="CC48" s="371"/>
      <c r="CD48" s="375"/>
      <c r="CE48" s="372"/>
      <c r="CF48" s="372"/>
      <c r="CG48" s="372"/>
      <c r="CH48" s="371"/>
      <c r="CI48" s="375"/>
      <c r="CJ48" s="372"/>
      <c r="CK48" s="372"/>
      <c r="CL48" s="372"/>
      <c r="CM48" s="373"/>
    </row>
    <row r="49" spans="1:91" ht="25.5" customHeight="1" thickBot="1">
      <c r="A49" s="391">
        <v>3992</v>
      </c>
      <c r="B49" s="392" t="s">
        <v>11</v>
      </c>
      <c r="C49" s="392" t="s">
        <v>44</v>
      </c>
      <c r="D49" s="392" t="s">
        <v>76</v>
      </c>
      <c r="E49" s="393" t="s">
        <v>53</v>
      </c>
      <c r="F49" s="392"/>
      <c r="G49" s="393" t="s">
        <v>552</v>
      </c>
      <c r="H49" s="394" t="s">
        <v>54</v>
      </c>
      <c r="I49" s="395"/>
      <c r="J49" s="393"/>
      <c r="K49" s="396"/>
      <c r="L49" s="397" t="s">
        <v>78</v>
      </c>
      <c r="M49" s="392" t="s">
        <v>77</v>
      </c>
      <c r="N49" s="392"/>
      <c r="O49" s="392" t="s">
        <v>77</v>
      </c>
      <c r="P49" s="398" t="s">
        <v>77</v>
      </c>
      <c r="Q49" s="397"/>
      <c r="R49" s="392"/>
      <c r="S49" s="392"/>
      <c r="T49" s="392"/>
      <c r="U49" s="399" t="s">
        <v>80</v>
      </c>
      <c r="V49" s="391"/>
      <c r="W49" s="393"/>
      <c r="X49" s="393"/>
      <c r="Y49" s="393"/>
      <c r="Z49" s="396"/>
      <c r="AA49" s="400"/>
      <c r="AB49" s="393"/>
      <c r="AC49" s="393"/>
      <c r="AD49" s="393"/>
      <c r="AE49" s="394"/>
      <c r="AF49" s="395"/>
      <c r="AG49" s="393"/>
      <c r="AH49" s="393"/>
      <c r="AI49" s="393"/>
      <c r="AJ49" s="396"/>
      <c r="AK49" s="400"/>
      <c r="AL49" s="393"/>
      <c r="AM49" s="393"/>
      <c r="AN49" s="393"/>
      <c r="AO49" s="394"/>
      <c r="AP49" s="395"/>
      <c r="AQ49" s="393"/>
      <c r="AR49" s="393"/>
      <c r="AS49" s="393"/>
      <c r="AT49" s="396"/>
      <c r="AU49" s="400"/>
      <c r="AV49" s="393"/>
      <c r="AW49" s="393"/>
      <c r="AX49" s="393"/>
      <c r="AY49" s="394"/>
      <c r="AZ49" s="395"/>
      <c r="BA49" s="393"/>
      <c r="BB49" s="393"/>
      <c r="BC49" s="393"/>
      <c r="BD49" s="396"/>
      <c r="BE49" s="400"/>
      <c r="BF49" s="393"/>
      <c r="BG49" s="393"/>
      <c r="BH49" s="393"/>
      <c r="BI49" s="394"/>
      <c r="BJ49" s="395"/>
      <c r="BK49" s="393"/>
      <c r="BL49" s="393"/>
      <c r="BM49" s="393"/>
      <c r="BN49" s="396"/>
      <c r="BO49" s="400"/>
      <c r="BP49" s="393"/>
      <c r="BQ49" s="393"/>
      <c r="BR49" s="393"/>
      <c r="BS49" s="394"/>
      <c r="BT49" s="395"/>
      <c r="BU49" s="393"/>
      <c r="BV49" s="393"/>
      <c r="BW49" s="393"/>
      <c r="BX49" s="396"/>
      <c r="BY49" s="400"/>
      <c r="BZ49" s="393"/>
      <c r="CA49" s="393"/>
      <c r="CB49" s="393"/>
      <c r="CC49" s="394"/>
      <c r="CD49" s="395"/>
      <c r="CE49" s="393"/>
      <c r="CF49" s="393"/>
      <c r="CG49" s="393"/>
      <c r="CH49" s="394"/>
      <c r="CI49" s="395"/>
      <c r="CJ49" s="393"/>
      <c r="CK49" s="393"/>
      <c r="CL49" s="393"/>
      <c r="CM49" s="396"/>
    </row>
    <row r="50" spans="1:91" ht="25.5" customHeight="1">
      <c r="A50" s="401">
        <v>3993</v>
      </c>
      <c r="B50" s="402" t="s">
        <v>11</v>
      </c>
      <c r="C50" s="402" t="s">
        <v>44</v>
      </c>
      <c r="D50" s="402" t="s">
        <v>76</v>
      </c>
      <c r="E50" s="403" t="s">
        <v>53</v>
      </c>
      <c r="F50" s="402"/>
      <c r="G50" s="403" t="s">
        <v>554</v>
      </c>
      <c r="H50" s="404" t="s">
        <v>54</v>
      </c>
      <c r="I50" s="405"/>
      <c r="J50" s="403"/>
      <c r="K50" s="406"/>
      <c r="L50" s="407" t="s">
        <v>78</v>
      </c>
      <c r="M50" s="402" t="s">
        <v>77</v>
      </c>
      <c r="N50" s="402"/>
      <c r="O50" s="402" t="s">
        <v>77</v>
      </c>
      <c r="P50" s="408" t="s">
        <v>77</v>
      </c>
      <c r="Q50" s="407"/>
      <c r="R50" s="402"/>
      <c r="S50" s="402"/>
      <c r="T50" s="402"/>
      <c r="U50" s="409" t="s">
        <v>80</v>
      </c>
      <c r="V50" s="401"/>
      <c r="W50" s="403"/>
      <c r="X50" s="403"/>
      <c r="Y50" s="403"/>
      <c r="Z50" s="406"/>
      <c r="AA50" s="410"/>
      <c r="AB50" s="403"/>
      <c r="AC50" s="403"/>
      <c r="AD50" s="403"/>
      <c r="AE50" s="404"/>
      <c r="AF50" s="405"/>
      <c r="AG50" s="403"/>
      <c r="AH50" s="403"/>
      <c r="AI50" s="403"/>
      <c r="AJ50" s="406"/>
      <c r="AK50" s="410"/>
      <c r="AL50" s="403"/>
      <c r="AM50" s="403"/>
      <c r="AN50" s="403"/>
      <c r="AO50" s="404"/>
      <c r="AP50" s="405"/>
      <c r="AQ50" s="403"/>
      <c r="AR50" s="403"/>
      <c r="AS50" s="403"/>
      <c r="AT50" s="406"/>
      <c r="AU50" s="410"/>
      <c r="AV50" s="403"/>
      <c r="AW50" s="403"/>
      <c r="AX50" s="403"/>
      <c r="AY50" s="404"/>
      <c r="AZ50" s="405"/>
      <c r="BA50" s="403"/>
      <c r="BB50" s="403"/>
      <c r="BC50" s="403"/>
      <c r="BD50" s="406"/>
      <c r="BE50" s="410"/>
      <c r="BF50" s="403"/>
      <c r="BG50" s="403"/>
      <c r="BH50" s="403"/>
      <c r="BI50" s="404"/>
      <c r="BJ50" s="405"/>
      <c r="BK50" s="403"/>
      <c r="BL50" s="403"/>
      <c r="BM50" s="403"/>
      <c r="BN50" s="406"/>
      <c r="BO50" s="410"/>
      <c r="BP50" s="403"/>
      <c r="BQ50" s="403"/>
      <c r="BR50" s="403"/>
      <c r="BS50" s="404"/>
      <c r="BT50" s="405"/>
      <c r="BU50" s="403"/>
      <c r="BV50" s="403"/>
      <c r="BW50" s="403"/>
      <c r="BX50" s="406"/>
      <c r="BY50" s="410"/>
      <c r="BZ50" s="403"/>
      <c r="CA50" s="403"/>
      <c r="CB50" s="403"/>
      <c r="CC50" s="404"/>
      <c r="CD50" s="405"/>
      <c r="CE50" s="403"/>
      <c r="CF50" s="403"/>
      <c r="CG50" s="403"/>
      <c r="CH50" s="404"/>
      <c r="CI50" s="405"/>
      <c r="CJ50" s="403"/>
      <c r="CK50" s="403"/>
      <c r="CL50" s="403"/>
      <c r="CM50" s="406"/>
    </row>
    <row r="51" spans="1:91" ht="25.5" customHeight="1">
      <c r="A51" s="386">
        <v>3994</v>
      </c>
      <c r="B51" s="387" t="s">
        <v>11</v>
      </c>
      <c r="C51" s="387" t="s">
        <v>44</v>
      </c>
      <c r="D51" s="387" t="s">
        <v>76</v>
      </c>
      <c r="E51" s="372" t="s">
        <v>53</v>
      </c>
      <c r="F51" s="387"/>
      <c r="G51" s="372" t="s">
        <v>556</v>
      </c>
      <c r="H51" s="371" t="s">
        <v>54</v>
      </c>
      <c r="I51" s="375"/>
      <c r="J51" s="372"/>
      <c r="K51" s="373"/>
      <c r="L51" s="388" t="s">
        <v>78</v>
      </c>
      <c r="M51" s="387" t="s">
        <v>77</v>
      </c>
      <c r="N51" s="387"/>
      <c r="O51" s="387" t="s">
        <v>77</v>
      </c>
      <c r="P51" s="389" t="s">
        <v>77</v>
      </c>
      <c r="Q51" s="388"/>
      <c r="R51" s="387"/>
      <c r="S51" s="387"/>
      <c r="T51" s="387"/>
      <c r="U51" s="390" t="s">
        <v>80</v>
      </c>
      <c r="V51" s="386"/>
      <c r="W51" s="372"/>
      <c r="X51" s="372"/>
      <c r="Y51" s="372"/>
      <c r="Z51" s="373"/>
      <c r="AA51" s="374"/>
      <c r="AB51" s="372"/>
      <c r="AC51" s="372"/>
      <c r="AD51" s="372"/>
      <c r="AE51" s="371"/>
      <c r="AF51" s="375"/>
      <c r="AG51" s="372"/>
      <c r="AH51" s="372"/>
      <c r="AI51" s="372"/>
      <c r="AJ51" s="373"/>
      <c r="AK51" s="374"/>
      <c r="AL51" s="372"/>
      <c r="AM51" s="372"/>
      <c r="AN51" s="372"/>
      <c r="AO51" s="371"/>
      <c r="AP51" s="375"/>
      <c r="AQ51" s="372"/>
      <c r="AR51" s="372"/>
      <c r="AS51" s="372"/>
      <c r="AT51" s="373"/>
      <c r="AU51" s="374"/>
      <c r="AV51" s="372"/>
      <c r="AW51" s="372"/>
      <c r="AX51" s="372"/>
      <c r="AY51" s="371"/>
      <c r="AZ51" s="375"/>
      <c r="BA51" s="372"/>
      <c r="BB51" s="372"/>
      <c r="BC51" s="372"/>
      <c r="BD51" s="373"/>
      <c r="BE51" s="374"/>
      <c r="BF51" s="372"/>
      <c r="BG51" s="372"/>
      <c r="BH51" s="372"/>
      <c r="BI51" s="371"/>
      <c r="BJ51" s="375"/>
      <c r="BK51" s="372"/>
      <c r="BL51" s="372"/>
      <c r="BM51" s="372"/>
      <c r="BN51" s="373"/>
      <c r="BO51" s="374"/>
      <c r="BP51" s="372"/>
      <c r="BQ51" s="372"/>
      <c r="BR51" s="372"/>
      <c r="BS51" s="371"/>
      <c r="BT51" s="375"/>
      <c r="BU51" s="372"/>
      <c r="BV51" s="372"/>
      <c r="BW51" s="372"/>
      <c r="BX51" s="373"/>
      <c r="BY51" s="374"/>
      <c r="BZ51" s="372"/>
      <c r="CA51" s="372"/>
      <c r="CB51" s="372"/>
      <c r="CC51" s="371"/>
      <c r="CD51" s="375"/>
      <c r="CE51" s="372"/>
      <c r="CF51" s="372"/>
      <c r="CG51" s="372"/>
      <c r="CH51" s="371"/>
      <c r="CI51" s="375"/>
      <c r="CJ51" s="372"/>
      <c r="CK51" s="372"/>
      <c r="CL51" s="372"/>
      <c r="CM51" s="373"/>
    </row>
    <row r="52" spans="1:91" ht="25.5" customHeight="1">
      <c r="A52" s="386">
        <v>3995</v>
      </c>
      <c r="B52" s="387" t="s">
        <v>11</v>
      </c>
      <c r="C52" s="387" t="s">
        <v>44</v>
      </c>
      <c r="D52" s="387" t="s">
        <v>76</v>
      </c>
      <c r="E52" s="372" t="s">
        <v>53</v>
      </c>
      <c r="F52" s="387"/>
      <c r="G52" s="372" t="s">
        <v>558</v>
      </c>
      <c r="H52" s="371" t="s">
        <v>54</v>
      </c>
      <c r="I52" s="375"/>
      <c r="J52" s="372"/>
      <c r="K52" s="373"/>
      <c r="L52" s="388" t="s">
        <v>78</v>
      </c>
      <c r="M52" s="387" t="s">
        <v>77</v>
      </c>
      <c r="N52" s="387"/>
      <c r="O52" s="387" t="s">
        <v>77</v>
      </c>
      <c r="P52" s="389" t="s">
        <v>77</v>
      </c>
      <c r="Q52" s="388"/>
      <c r="R52" s="387"/>
      <c r="S52" s="387"/>
      <c r="T52" s="387"/>
      <c r="U52" s="390" t="s">
        <v>80</v>
      </c>
      <c r="V52" s="386"/>
      <c r="W52" s="372"/>
      <c r="X52" s="372"/>
      <c r="Y52" s="372"/>
      <c r="Z52" s="373"/>
      <c r="AA52" s="374"/>
      <c r="AB52" s="372"/>
      <c r="AC52" s="372"/>
      <c r="AD52" s="372"/>
      <c r="AE52" s="371"/>
      <c r="AF52" s="375"/>
      <c r="AG52" s="372"/>
      <c r="AH52" s="372"/>
      <c r="AI52" s="372"/>
      <c r="AJ52" s="373"/>
      <c r="AK52" s="374"/>
      <c r="AL52" s="372"/>
      <c r="AM52" s="372"/>
      <c r="AN52" s="372"/>
      <c r="AO52" s="371"/>
      <c r="AP52" s="375"/>
      <c r="AQ52" s="372"/>
      <c r="AR52" s="372"/>
      <c r="AS52" s="372"/>
      <c r="AT52" s="373"/>
      <c r="AU52" s="374"/>
      <c r="AV52" s="372"/>
      <c r="AW52" s="372"/>
      <c r="AX52" s="372"/>
      <c r="AY52" s="371"/>
      <c r="AZ52" s="375"/>
      <c r="BA52" s="372"/>
      <c r="BB52" s="372"/>
      <c r="BC52" s="372"/>
      <c r="BD52" s="373"/>
      <c r="BE52" s="374"/>
      <c r="BF52" s="372"/>
      <c r="BG52" s="372"/>
      <c r="BH52" s="372"/>
      <c r="BI52" s="371"/>
      <c r="BJ52" s="375"/>
      <c r="BK52" s="372"/>
      <c r="BL52" s="372"/>
      <c r="BM52" s="372"/>
      <c r="BN52" s="373"/>
      <c r="BO52" s="374"/>
      <c r="BP52" s="372"/>
      <c r="BQ52" s="372"/>
      <c r="BR52" s="372"/>
      <c r="BS52" s="371"/>
      <c r="BT52" s="375"/>
      <c r="BU52" s="372"/>
      <c r="BV52" s="372"/>
      <c r="BW52" s="372"/>
      <c r="BX52" s="373"/>
      <c r="BY52" s="374"/>
      <c r="BZ52" s="372"/>
      <c r="CA52" s="372"/>
      <c r="CB52" s="372"/>
      <c r="CC52" s="371"/>
      <c r="CD52" s="375"/>
      <c r="CE52" s="372"/>
      <c r="CF52" s="372"/>
      <c r="CG52" s="372"/>
      <c r="CH52" s="371"/>
      <c r="CI52" s="375"/>
      <c r="CJ52" s="372"/>
      <c r="CK52" s="372"/>
      <c r="CL52" s="372"/>
      <c r="CM52" s="373"/>
    </row>
    <row r="53" spans="1:91" ht="25.5" customHeight="1">
      <c r="A53" s="386">
        <v>3996</v>
      </c>
      <c r="B53" s="387" t="s">
        <v>11</v>
      </c>
      <c r="C53" s="387" t="s">
        <v>44</v>
      </c>
      <c r="D53" s="387" t="s">
        <v>76</v>
      </c>
      <c r="E53" s="372" t="s">
        <v>53</v>
      </c>
      <c r="F53" s="387"/>
      <c r="G53" s="372" t="s">
        <v>560</v>
      </c>
      <c r="H53" s="371" t="s">
        <v>54</v>
      </c>
      <c r="I53" s="375"/>
      <c r="J53" s="372"/>
      <c r="K53" s="373"/>
      <c r="L53" s="388" t="s">
        <v>78</v>
      </c>
      <c r="M53" s="387" t="s">
        <v>77</v>
      </c>
      <c r="N53" s="387"/>
      <c r="O53" s="387" t="s">
        <v>77</v>
      </c>
      <c r="P53" s="389" t="s">
        <v>77</v>
      </c>
      <c r="Q53" s="388"/>
      <c r="R53" s="387"/>
      <c r="S53" s="387"/>
      <c r="T53" s="387"/>
      <c r="U53" s="390" t="s">
        <v>80</v>
      </c>
      <c r="V53" s="386"/>
      <c r="W53" s="372"/>
      <c r="X53" s="372"/>
      <c r="Y53" s="372"/>
      <c r="Z53" s="373"/>
      <c r="AA53" s="374"/>
      <c r="AB53" s="372"/>
      <c r="AC53" s="372"/>
      <c r="AD53" s="372"/>
      <c r="AE53" s="371"/>
      <c r="AF53" s="375"/>
      <c r="AG53" s="372"/>
      <c r="AH53" s="372"/>
      <c r="AI53" s="372"/>
      <c r="AJ53" s="373"/>
      <c r="AK53" s="374"/>
      <c r="AL53" s="372"/>
      <c r="AM53" s="372"/>
      <c r="AN53" s="372"/>
      <c r="AO53" s="371"/>
      <c r="AP53" s="375"/>
      <c r="AQ53" s="372"/>
      <c r="AR53" s="372"/>
      <c r="AS53" s="372"/>
      <c r="AT53" s="373"/>
      <c r="AU53" s="374"/>
      <c r="AV53" s="372"/>
      <c r="AW53" s="372"/>
      <c r="AX53" s="372"/>
      <c r="AY53" s="371"/>
      <c r="AZ53" s="375"/>
      <c r="BA53" s="372"/>
      <c r="BB53" s="372"/>
      <c r="BC53" s="372"/>
      <c r="BD53" s="373"/>
      <c r="BE53" s="374"/>
      <c r="BF53" s="372"/>
      <c r="BG53" s="372"/>
      <c r="BH53" s="372"/>
      <c r="BI53" s="371"/>
      <c r="BJ53" s="375"/>
      <c r="BK53" s="372"/>
      <c r="BL53" s="372"/>
      <c r="BM53" s="372"/>
      <c r="BN53" s="373"/>
      <c r="BO53" s="374"/>
      <c r="BP53" s="372"/>
      <c r="BQ53" s="372"/>
      <c r="BR53" s="372"/>
      <c r="BS53" s="371"/>
      <c r="BT53" s="375"/>
      <c r="BU53" s="372"/>
      <c r="BV53" s="372"/>
      <c r="BW53" s="372"/>
      <c r="BX53" s="373"/>
      <c r="BY53" s="374"/>
      <c r="BZ53" s="372"/>
      <c r="CA53" s="372"/>
      <c r="CB53" s="372"/>
      <c r="CC53" s="371"/>
      <c r="CD53" s="375"/>
      <c r="CE53" s="372"/>
      <c r="CF53" s="372"/>
      <c r="CG53" s="372"/>
      <c r="CH53" s="371"/>
      <c r="CI53" s="375"/>
      <c r="CJ53" s="372"/>
      <c r="CK53" s="372"/>
      <c r="CL53" s="372"/>
      <c r="CM53" s="373"/>
    </row>
    <row r="54" spans="1:91" ht="25.5" customHeight="1" thickBot="1">
      <c r="A54" s="411">
        <v>3997</v>
      </c>
      <c r="B54" s="412" t="s">
        <v>11</v>
      </c>
      <c r="C54" s="412" t="s">
        <v>44</v>
      </c>
      <c r="D54" s="412" t="s">
        <v>76</v>
      </c>
      <c r="E54" s="377" t="s">
        <v>53</v>
      </c>
      <c r="F54" s="412"/>
      <c r="G54" s="377" t="s">
        <v>562</v>
      </c>
      <c r="H54" s="376" t="s">
        <v>54</v>
      </c>
      <c r="I54" s="380"/>
      <c r="J54" s="377"/>
      <c r="K54" s="378"/>
      <c r="L54" s="413" t="s">
        <v>78</v>
      </c>
      <c r="M54" s="412" t="s">
        <v>77</v>
      </c>
      <c r="N54" s="412"/>
      <c r="O54" s="412" t="s">
        <v>77</v>
      </c>
      <c r="P54" s="414" t="s">
        <v>77</v>
      </c>
      <c r="Q54" s="413"/>
      <c r="R54" s="412"/>
      <c r="S54" s="412"/>
      <c r="T54" s="412"/>
      <c r="U54" s="415" t="s">
        <v>80</v>
      </c>
      <c r="V54" s="411"/>
      <c r="W54" s="377"/>
      <c r="X54" s="377"/>
      <c r="Y54" s="377"/>
      <c r="Z54" s="378"/>
      <c r="AA54" s="379"/>
      <c r="AB54" s="377"/>
      <c r="AC54" s="377"/>
      <c r="AD54" s="377"/>
      <c r="AE54" s="376"/>
      <c r="AF54" s="380"/>
      <c r="AG54" s="377"/>
      <c r="AH54" s="377"/>
      <c r="AI54" s="377"/>
      <c r="AJ54" s="378"/>
      <c r="AK54" s="379"/>
      <c r="AL54" s="377"/>
      <c r="AM54" s="377"/>
      <c r="AN54" s="377"/>
      <c r="AO54" s="376"/>
      <c r="AP54" s="380"/>
      <c r="AQ54" s="377"/>
      <c r="AR54" s="377"/>
      <c r="AS54" s="377"/>
      <c r="AT54" s="378"/>
      <c r="AU54" s="379"/>
      <c r="AV54" s="377"/>
      <c r="AW54" s="377"/>
      <c r="AX54" s="377"/>
      <c r="AY54" s="376"/>
      <c r="AZ54" s="380"/>
      <c r="BA54" s="377"/>
      <c r="BB54" s="377"/>
      <c r="BC54" s="377"/>
      <c r="BD54" s="378"/>
      <c r="BE54" s="379"/>
      <c r="BF54" s="377"/>
      <c r="BG54" s="377"/>
      <c r="BH54" s="377"/>
      <c r="BI54" s="376"/>
      <c r="BJ54" s="380"/>
      <c r="BK54" s="377"/>
      <c r="BL54" s="377"/>
      <c r="BM54" s="377"/>
      <c r="BN54" s="378"/>
      <c r="BO54" s="379"/>
      <c r="BP54" s="377"/>
      <c r="BQ54" s="377"/>
      <c r="BR54" s="377"/>
      <c r="BS54" s="376"/>
      <c r="BT54" s="380"/>
      <c r="BU54" s="377"/>
      <c r="BV54" s="377"/>
      <c r="BW54" s="377"/>
      <c r="BX54" s="378"/>
      <c r="BY54" s="379"/>
      <c r="BZ54" s="377"/>
      <c r="CA54" s="377"/>
      <c r="CB54" s="377"/>
      <c r="CC54" s="376"/>
      <c r="CD54" s="380"/>
      <c r="CE54" s="377"/>
      <c r="CF54" s="377"/>
      <c r="CG54" s="377"/>
      <c r="CH54" s="376"/>
      <c r="CI54" s="380"/>
      <c r="CJ54" s="377"/>
      <c r="CK54" s="377"/>
      <c r="CL54" s="377"/>
      <c r="CM54" s="378"/>
    </row>
    <row r="55" spans="1:91" ht="25.5" customHeight="1">
      <c r="A55" s="416">
        <v>3998</v>
      </c>
      <c r="B55" s="417" t="s">
        <v>11</v>
      </c>
      <c r="C55" s="417" t="s">
        <v>44</v>
      </c>
      <c r="D55" s="417" t="s">
        <v>76</v>
      </c>
      <c r="E55" s="381" t="s">
        <v>53</v>
      </c>
      <c r="F55" s="417"/>
      <c r="G55" s="381" t="s">
        <v>564</v>
      </c>
      <c r="H55" s="384" t="s">
        <v>54</v>
      </c>
      <c r="I55" s="385"/>
      <c r="J55" s="381"/>
      <c r="K55" s="382"/>
      <c r="L55" s="418" t="s">
        <v>78</v>
      </c>
      <c r="M55" s="417" t="s">
        <v>77</v>
      </c>
      <c r="N55" s="417"/>
      <c r="O55" s="417" t="s">
        <v>77</v>
      </c>
      <c r="P55" s="419" t="s">
        <v>77</v>
      </c>
      <c r="Q55" s="418"/>
      <c r="R55" s="417"/>
      <c r="S55" s="417"/>
      <c r="T55" s="417"/>
      <c r="U55" s="420" t="s">
        <v>80</v>
      </c>
      <c r="V55" s="416"/>
      <c r="W55" s="381"/>
      <c r="X55" s="381"/>
      <c r="Y55" s="381"/>
      <c r="Z55" s="382"/>
      <c r="AA55" s="383"/>
      <c r="AB55" s="381"/>
      <c r="AC55" s="381"/>
      <c r="AD55" s="381"/>
      <c r="AE55" s="384"/>
      <c r="AF55" s="385"/>
      <c r="AG55" s="381"/>
      <c r="AH55" s="381"/>
      <c r="AI55" s="381"/>
      <c r="AJ55" s="382"/>
      <c r="AK55" s="383"/>
      <c r="AL55" s="381"/>
      <c r="AM55" s="381"/>
      <c r="AN55" s="381"/>
      <c r="AO55" s="384"/>
      <c r="AP55" s="385"/>
      <c r="AQ55" s="381"/>
      <c r="AR55" s="381"/>
      <c r="AS55" s="381"/>
      <c r="AT55" s="382"/>
      <c r="AU55" s="383"/>
      <c r="AV55" s="381"/>
      <c r="AW55" s="381"/>
      <c r="AX55" s="381"/>
      <c r="AY55" s="384"/>
      <c r="AZ55" s="385"/>
      <c r="BA55" s="381"/>
      <c r="BB55" s="381"/>
      <c r="BC55" s="381"/>
      <c r="BD55" s="382"/>
      <c r="BE55" s="383"/>
      <c r="BF55" s="381"/>
      <c r="BG55" s="381"/>
      <c r="BH55" s="381"/>
      <c r="BI55" s="384"/>
      <c r="BJ55" s="385"/>
      <c r="BK55" s="381"/>
      <c r="BL55" s="381"/>
      <c r="BM55" s="381"/>
      <c r="BN55" s="382"/>
      <c r="BO55" s="383"/>
      <c r="BP55" s="381"/>
      <c r="BQ55" s="381"/>
      <c r="BR55" s="381"/>
      <c r="BS55" s="384"/>
      <c r="BT55" s="385"/>
      <c r="BU55" s="381"/>
      <c r="BV55" s="381"/>
      <c r="BW55" s="381"/>
      <c r="BX55" s="382"/>
      <c r="BY55" s="383"/>
      <c r="BZ55" s="381"/>
      <c r="CA55" s="381"/>
      <c r="CB55" s="381"/>
      <c r="CC55" s="384"/>
      <c r="CD55" s="385"/>
      <c r="CE55" s="381"/>
      <c r="CF55" s="381"/>
      <c r="CG55" s="381"/>
      <c r="CH55" s="384"/>
      <c r="CI55" s="385"/>
      <c r="CJ55" s="381"/>
      <c r="CK55" s="381"/>
      <c r="CL55" s="381"/>
      <c r="CM55" s="382"/>
    </row>
    <row r="56" spans="1:91" ht="25.5" customHeight="1">
      <c r="A56" s="386">
        <v>3999</v>
      </c>
      <c r="B56" s="387" t="s">
        <v>11</v>
      </c>
      <c r="C56" s="387" t="s">
        <v>44</v>
      </c>
      <c r="D56" s="387" t="s">
        <v>76</v>
      </c>
      <c r="E56" s="372" t="s">
        <v>53</v>
      </c>
      <c r="F56" s="387"/>
      <c r="G56" s="372" t="s">
        <v>566</v>
      </c>
      <c r="H56" s="371" t="s">
        <v>54</v>
      </c>
      <c r="I56" s="375"/>
      <c r="J56" s="372"/>
      <c r="K56" s="373"/>
      <c r="L56" s="388" t="s">
        <v>78</v>
      </c>
      <c r="M56" s="387" t="s">
        <v>77</v>
      </c>
      <c r="N56" s="387"/>
      <c r="O56" s="387" t="s">
        <v>77</v>
      </c>
      <c r="P56" s="389" t="s">
        <v>77</v>
      </c>
      <c r="Q56" s="388"/>
      <c r="R56" s="387"/>
      <c r="S56" s="387"/>
      <c r="T56" s="387"/>
      <c r="U56" s="390" t="s">
        <v>80</v>
      </c>
      <c r="V56" s="386"/>
      <c r="W56" s="372"/>
      <c r="X56" s="372"/>
      <c r="Y56" s="372"/>
      <c r="Z56" s="373"/>
      <c r="AA56" s="374"/>
      <c r="AB56" s="372"/>
      <c r="AC56" s="372"/>
      <c r="AD56" s="372"/>
      <c r="AE56" s="371"/>
      <c r="AF56" s="375"/>
      <c r="AG56" s="372"/>
      <c r="AH56" s="372"/>
      <c r="AI56" s="372"/>
      <c r="AJ56" s="373"/>
      <c r="AK56" s="374"/>
      <c r="AL56" s="372"/>
      <c r="AM56" s="372"/>
      <c r="AN56" s="372"/>
      <c r="AO56" s="371"/>
      <c r="AP56" s="375"/>
      <c r="AQ56" s="372"/>
      <c r="AR56" s="372"/>
      <c r="AS56" s="372"/>
      <c r="AT56" s="373"/>
      <c r="AU56" s="374"/>
      <c r="AV56" s="372"/>
      <c r="AW56" s="372"/>
      <c r="AX56" s="372"/>
      <c r="AY56" s="371"/>
      <c r="AZ56" s="375"/>
      <c r="BA56" s="372"/>
      <c r="BB56" s="372"/>
      <c r="BC56" s="372"/>
      <c r="BD56" s="373"/>
      <c r="BE56" s="374"/>
      <c r="BF56" s="372"/>
      <c r="BG56" s="372"/>
      <c r="BH56" s="372"/>
      <c r="BI56" s="371"/>
      <c r="BJ56" s="375"/>
      <c r="BK56" s="372"/>
      <c r="BL56" s="372"/>
      <c r="BM56" s="372"/>
      <c r="BN56" s="373"/>
      <c r="BO56" s="374"/>
      <c r="BP56" s="372"/>
      <c r="BQ56" s="372"/>
      <c r="BR56" s="372"/>
      <c r="BS56" s="371"/>
      <c r="BT56" s="375"/>
      <c r="BU56" s="372"/>
      <c r="BV56" s="372"/>
      <c r="BW56" s="372"/>
      <c r="BX56" s="373"/>
      <c r="BY56" s="374"/>
      <c r="BZ56" s="372"/>
      <c r="CA56" s="372"/>
      <c r="CB56" s="372"/>
      <c r="CC56" s="371"/>
      <c r="CD56" s="375"/>
      <c r="CE56" s="372"/>
      <c r="CF56" s="372"/>
      <c r="CG56" s="372"/>
      <c r="CH56" s="371"/>
      <c r="CI56" s="375"/>
      <c r="CJ56" s="372"/>
      <c r="CK56" s="372"/>
      <c r="CL56" s="372"/>
      <c r="CM56" s="373"/>
    </row>
    <row r="57" spans="1:91" ht="25.5" customHeight="1">
      <c r="A57" s="386">
        <v>4000</v>
      </c>
      <c r="B57" s="387" t="s">
        <v>11</v>
      </c>
      <c r="C57" s="387" t="s">
        <v>44</v>
      </c>
      <c r="D57" s="387" t="s">
        <v>76</v>
      </c>
      <c r="E57" s="372" t="s">
        <v>53</v>
      </c>
      <c r="F57" s="387"/>
      <c r="G57" s="372" t="s">
        <v>568</v>
      </c>
      <c r="H57" s="371" t="s">
        <v>54</v>
      </c>
      <c r="I57" s="375"/>
      <c r="J57" s="372"/>
      <c r="K57" s="373"/>
      <c r="L57" s="388" t="s">
        <v>78</v>
      </c>
      <c r="M57" s="387" t="s">
        <v>77</v>
      </c>
      <c r="N57" s="387"/>
      <c r="O57" s="387" t="s">
        <v>77</v>
      </c>
      <c r="P57" s="389" t="s">
        <v>77</v>
      </c>
      <c r="Q57" s="388"/>
      <c r="R57" s="387"/>
      <c r="S57" s="387"/>
      <c r="T57" s="387"/>
      <c r="U57" s="390" t="s">
        <v>80</v>
      </c>
      <c r="V57" s="386"/>
      <c r="W57" s="372"/>
      <c r="X57" s="372"/>
      <c r="Y57" s="372"/>
      <c r="Z57" s="373"/>
      <c r="AA57" s="374"/>
      <c r="AB57" s="372"/>
      <c r="AC57" s="372"/>
      <c r="AD57" s="372"/>
      <c r="AE57" s="371"/>
      <c r="AF57" s="375"/>
      <c r="AG57" s="372"/>
      <c r="AH57" s="372"/>
      <c r="AI57" s="372"/>
      <c r="AJ57" s="373"/>
      <c r="AK57" s="374"/>
      <c r="AL57" s="372"/>
      <c r="AM57" s="372"/>
      <c r="AN57" s="372"/>
      <c r="AO57" s="371"/>
      <c r="AP57" s="375"/>
      <c r="AQ57" s="372"/>
      <c r="AR57" s="372"/>
      <c r="AS57" s="372"/>
      <c r="AT57" s="373"/>
      <c r="AU57" s="374"/>
      <c r="AV57" s="372"/>
      <c r="AW57" s="372"/>
      <c r="AX57" s="372"/>
      <c r="AY57" s="371"/>
      <c r="AZ57" s="375"/>
      <c r="BA57" s="372"/>
      <c r="BB57" s="372"/>
      <c r="BC57" s="372"/>
      <c r="BD57" s="373"/>
      <c r="BE57" s="374"/>
      <c r="BF57" s="372"/>
      <c r="BG57" s="372"/>
      <c r="BH57" s="372"/>
      <c r="BI57" s="371"/>
      <c r="BJ57" s="375"/>
      <c r="BK57" s="372"/>
      <c r="BL57" s="372"/>
      <c r="BM57" s="372"/>
      <c r="BN57" s="373"/>
      <c r="BO57" s="374"/>
      <c r="BP57" s="372"/>
      <c r="BQ57" s="372"/>
      <c r="BR57" s="372"/>
      <c r="BS57" s="371"/>
      <c r="BT57" s="375"/>
      <c r="BU57" s="372"/>
      <c r="BV57" s="372"/>
      <c r="BW57" s="372"/>
      <c r="BX57" s="373"/>
      <c r="BY57" s="374"/>
      <c r="BZ57" s="372"/>
      <c r="CA57" s="372"/>
      <c r="CB57" s="372"/>
      <c r="CC57" s="371"/>
      <c r="CD57" s="375"/>
      <c r="CE57" s="372"/>
      <c r="CF57" s="372"/>
      <c r="CG57" s="372"/>
      <c r="CH57" s="371"/>
      <c r="CI57" s="375"/>
      <c r="CJ57" s="372"/>
      <c r="CK57" s="372"/>
      <c r="CL57" s="372"/>
      <c r="CM57" s="373"/>
    </row>
    <row r="58" spans="1:91" ht="25.5" customHeight="1">
      <c r="A58" s="386">
        <v>4001</v>
      </c>
      <c r="B58" s="387" t="s">
        <v>11</v>
      </c>
      <c r="C58" s="387" t="s">
        <v>44</v>
      </c>
      <c r="D58" s="387" t="s">
        <v>76</v>
      </c>
      <c r="E58" s="372" t="s">
        <v>53</v>
      </c>
      <c r="F58" s="387"/>
      <c r="G58" s="372" t="s">
        <v>570</v>
      </c>
      <c r="H58" s="371" t="s">
        <v>54</v>
      </c>
      <c r="I58" s="375"/>
      <c r="J58" s="372"/>
      <c r="K58" s="373"/>
      <c r="L58" s="388" t="s">
        <v>78</v>
      </c>
      <c r="M58" s="387" t="s">
        <v>77</v>
      </c>
      <c r="N58" s="387"/>
      <c r="O58" s="387" t="s">
        <v>77</v>
      </c>
      <c r="P58" s="389" t="s">
        <v>77</v>
      </c>
      <c r="Q58" s="388"/>
      <c r="R58" s="387"/>
      <c r="S58" s="387"/>
      <c r="T58" s="387"/>
      <c r="U58" s="390" t="s">
        <v>80</v>
      </c>
      <c r="V58" s="386"/>
      <c r="W58" s="372"/>
      <c r="X58" s="372"/>
      <c r="Y58" s="372"/>
      <c r="Z58" s="373"/>
      <c r="AA58" s="374"/>
      <c r="AB58" s="372"/>
      <c r="AC58" s="372"/>
      <c r="AD58" s="372"/>
      <c r="AE58" s="371"/>
      <c r="AF58" s="375"/>
      <c r="AG58" s="372"/>
      <c r="AH58" s="372"/>
      <c r="AI58" s="372"/>
      <c r="AJ58" s="373"/>
      <c r="AK58" s="374"/>
      <c r="AL58" s="372"/>
      <c r="AM58" s="372"/>
      <c r="AN58" s="372"/>
      <c r="AO58" s="371"/>
      <c r="AP58" s="375"/>
      <c r="AQ58" s="372"/>
      <c r="AR58" s="372"/>
      <c r="AS58" s="372"/>
      <c r="AT58" s="373"/>
      <c r="AU58" s="374"/>
      <c r="AV58" s="372"/>
      <c r="AW58" s="372"/>
      <c r="AX58" s="372"/>
      <c r="AY58" s="371"/>
      <c r="AZ58" s="375"/>
      <c r="BA58" s="372"/>
      <c r="BB58" s="372"/>
      <c r="BC58" s="372"/>
      <c r="BD58" s="373"/>
      <c r="BE58" s="374"/>
      <c r="BF58" s="372"/>
      <c r="BG58" s="372"/>
      <c r="BH58" s="372"/>
      <c r="BI58" s="371"/>
      <c r="BJ58" s="375"/>
      <c r="BK58" s="372"/>
      <c r="BL58" s="372"/>
      <c r="BM58" s="372"/>
      <c r="BN58" s="373"/>
      <c r="BO58" s="374"/>
      <c r="BP58" s="372"/>
      <c r="BQ58" s="372"/>
      <c r="BR58" s="372"/>
      <c r="BS58" s="371"/>
      <c r="BT58" s="375"/>
      <c r="BU58" s="372"/>
      <c r="BV58" s="372"/>
      <c r="BW58" s="372"/>
      <c r="BX58" s="373"/>
      <c r="BY58" s="374"/>
      <c r="BZ58" s="372"/>
      <c r="CA58" s="372"/>
      <c r="CB58" s="372"/>
      <c r="CC58" s="371"/>
      <c r="CD58" s="375"/>
      <c r="CE58" s="372"/>
      <c r="CF58" s="372"/>
      <c r="CG58" s="372"/>
      <c r="CH58" s="371"/>
      <c r="CI58" s="375"/>
      <c r="CJ58" s="372"/>
      <c r="CK58" s="372"/>
      <c r="CL58" s="372"/>
      <c r="CM58" s="373"/>
    </row>
    <row r="59" spans="1:91" ht="25.5" customHeight="1" thickBot="1">
      <c r="A59" s="411">
        <v>4002</v>
      </c>
      <c r="B59" s="412" t="s">
        <v>11</v>
      </c>
      <c r="C59" s="412" t="s">
        <v>44</v>
      </c>
      <c r="D59" s="412" t="s">
        <v>76</v>
      </c>
      <c r="E59" s="377" t="s">
        <v>53</v>
      </c>
      <c r="F59" s="412"/>
      <c r="G59" s="377" t="s">
        <v>572</v>
      </c>
      <c r="H59" s="376" t="s">
        <v>54</v>
      </c>
      <c r="I59" s="380"/>
      <c r="J59" s="377"/>
      <c r="K59" s="378"/>
      <c r="L59" s="413" t="s">
        <v>78</v>
      </c>
      <c r="M59" s="412" t="s">
        <v>77</v>
      </c>
      <c r="N59" s="412"/>
      <c r="O59" s="412" t="s">
        <v>77</v>
      </c>
      <c r="P59" s="414" t="s">
        <v>77</v>
      </c>
      <c r="Q59" s="413"/>
      <c r="R59" s="412"/>
      <c r="S59" s="412"/>
      <c r="T59" s="412"/>
      <c r="U59" s="415" t="s">
        <v>80</v>
      </c>
      <c r="V59" s="411"/>
      <c r="W59" s="377"/>
      <c r="X59" s="377"/>
      <c r="Y59" s="377"/>
      <c r="Z59" s="378"/>
      <c r="AA59" s="379"/>
      <c r="AB59" s="377"/>
      <c r="AC59" s="377"/>
      <c r="AD59" s="377"/>
      <c r="AE59" s="376"/>
      <c r="AF59" s="380"/>
      <c r="AG59" s="377"/>
      <c r="AH59" s="377"/>
      <c r="AI59" s="377"/>
      <c r="AJ59" s="378"/>
      <c r="AK59" s="379"/>
      <c r="AL59" s="377"/>
      <c r="AM59" s="377"/>
      <c r="AN59" s="377"/>
      <c r="AO59" s="376"/>
      <c r="AP59" s="380"/>
      <c r="AQ59" s="377"/>
      <c r="AR59" s="377"/>
      <c r="AS59" s="377"/>
      <c r="AT59" s="378"/>
      <c r="AU59" s="379"/>
      <c r="AV59" s="377"/>
      <c r="AW59" s="377"/>
      <c r="AX59" s="377"/>
      <c r="AY59" s="376"/>
      <c r="AZ59" s="380"/>
      <c r="BA59" s="377"/>
      <c r="BB59" s="377"/>
      <c r="BC59" s="377"/>
      <c r="BD59" s="378"/>
      <c r="BE59" s="379"/>
      <c r="BF59" s="377"/>
      <c r="BG59" s="377"/>
      <c r="BH59" s="377"/>
      <c r="BI59" s="376"/>
      <c r="BJ59" s="380"/>
      <c r="BK59" s="377"/>
      <c r="BL59" s="377"/>
      <c r="BM59" s="377"/>
      <c r="BN59" s="378"/>
      <c r="BO59" s="379"/>
      <c r="BP59" s="377"/>
      <c r="BQ59" s="377"/>
      <c r="BR59" s="377"/>
      <c r="BS59" s="376"/>
      <c r="BT59" s="380"/>
      <c r="BU59" s="377"/>
      <c r="BV59" s="377"/>
      <c r="BW59" s="377"/>
      <c r="BX59" s="378"/>
      <c r="BY59" s="379"/>
      <c r="BZ59" s="377"/>
      <c r="CA59" s="377"/>
      <c r="CB59" s="377"/>
      <c r="CC59" s="376"/>
      <c r="CD59" s="380"/>
      <c r="CE59" s="377"/>
      <c r="CF59" s="377"/>
      <c r="CG59" s="377"/>
      <c r="CH59" s="376"/>
      <c r="CI59" s="380"/>
      <c r="CJ59" s="377"/>
      <c r="CK59" s="377"/>
      <c r="CL59" s="377"/>
      <c r="CM59" s="378"/>
    </row>
    <row r="60" spans="1:91" ht="15" customHeight="1" thickBot="1">
      <c r="A60" s="48"/>
      <c r="B60" s="179"/>
      <c r="C60" s="180"/>
      <c r="D60" s="181"/>
      <c r="E60" s="17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50"/>
      <c r="CH60" s="50"/>
      <c r="CI60" s="50"/>
      <c r="CJ60" s="50"/>
      <c r="CK60" s="50"/>
      <c r="CL60" s="50"/>
      <c r="CM60" s="51"/>
    </row>
    <row r="61" spans="1:91" ht="25.5" customHeight="1" thickBot="1">
      <c r="A61" s="275" t="s">
        <v>31</v>
      </c>
      <c r="B61" s="276"/>
      <c r="C61" s="277"/>
      <c r="D61" s="192"/>
      <c r="E61" s="278" t="s">
        <v>32</v>
      </c>
      <c r="F61" s="276"/>
      <c r="G61" s="277"/>
      <c r="H61" s="193" t="s">
        <v>8</v>
      </c>
      <c r="I61" s="192" t="s">
        <v>9</v>
      </c>
      <c r="J61" s="192" t="s">
        <v>33</v>
      </c>
      <c r="K61" s="192" t="s">
        <v>10</v>
      </c>
      <c r="L61" s="291"/>
      <c r="M61" s="292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  <c r="AA61" s="292"/>
      <c r="AB61" s="292"/>
      <c r="AC61" s="292"/>
      <c r="AD61" s="292"/>
      <c r="AE61" s="292"/>
      <c r="AF61" s="292"/>
      <c r="AG61" s="292"/>
      <c r="AH61" s="292"/>
      <c r="AI61" s="292"/>
      <c r="AJ61" s="292"/>
      <c r="AK61" s="292"/>
      <c r="AL61" s="292"/>
      <c r="AM61" s="292"/>
      <c r="AN61" s="292"/>
      <c r="AO61" s="292"/>
      <c r="AP61" s="292"/>
      <c r="AQ61" s="292"/>
      <c r="AR61" s="292"/>
      <c r="AS61" s="292"/>
      <c r="AT61" s="292"/>
      <c r="AU61" s="292"/>
      <c r="AV61" s="292"/>
      <c r="AW61" s="292"/>
      <c r="AX61" s="292"/>
      <c r="AY61" s="292"/>
      <c r="AZ61" s="292"/>
      <c r="BA61" s="292"/>
      <c r="BB61" s="292"/>
      <c r="BC61" s="292"/>
      <c r="BD61" s="292"/>
      <c r="BE61" s="293"/>
      <c r="BF61" s="300"/>
      <c r="BG61" s="300"/>
      <c r="BH61" s="300"/>
      <c r="BI61" s="300"/>
      <c r="BJ61" s="300"/>
      <c r="BK61" s="300"/>
      <c r="BL61" s="300"/>
      <c r="BM61" s="300"/>
      <c r="BN61" s="300"/>
      <c r="BO61" s="300"/>
      <c r="BP61" s="300"/>
      <c r="BQ61" s="300"/>
      <c r="BR61" s="300"/>
      <c r="BS61" s="300"/>
      <c r="BT61" s="300"/>
      <c r="BU61" s="301"/>
      <c r="BV61" s="291"/>
      <c r="BW61" s="247"/>
      <c r="BX61" s="247"/>
      <c r="BY61" s="247"/>
      <c r="BZ61" s="247"/>
      <c r="CA61" s="247"/>
      <c r="CB61" s="247"/>
      <c r="CC61" s="247"/>
      <c r="CD61" s="247"/>
      <c r="CE61" s="247"/>
      <c r="CF61" s="247"/>
      <c r="CG61" s="247"/>
      <c r="CH61" s="247"/>
      <c r="CI61" s="247"/>
      <c r="CJ61" s="247"/>
      <c r="CK61" s="247"/>
      <c r="CL61" s="247"/>
      <c r="CM61" s="248"/>
    </row>
    <row r="62" spans="1:91" ht="25.5" customHeight="1">
      <c r="A62" s="288"/>
      <c r="B62" s="289"/>
      <c r="C62" s="289"/>
      <c r="D62" s="52"/>
      <c r="E62" s="290"/>
      <c r="F62" s="290"/>
      <c r="G62" s="290"/>
      <c r="H62" s="53"/>
      <c r="I62" s="53"/>
      <c r="J62" s="53"/>
      <c r="K62" s="54"/>
      <c r="L62" s="294"/>
      <c r="M62" s="295"/>
      <c r="N62" s="295"/>
      <c r="O62" s="295"/>
      <c r="P62" s="295"/>
      <c r="Q62" s="295"/>
      <c r="R62" s="295"/>
      <c r="S62" s="295"/>
      <c r="T62" s="295"/>
      <c r="U62" s="295"/>
      <c r="V62" s="295"/>
      <c r="W62" s="295"/>
      <c r="X62" s="295"/>
      <c r="Y62" s="295"/>
      <c r="Z62" s="295"/>
      <c r="AA62" s="295"/>
      <c r="AB62" s="295"/>
      <c r="AC62" s="295"/>
      <c r="AD62" s="295"/>
      <c r="AE62" s="295"/>
      <c r="AF62" s="295"/>
      <c r="AG62" s="295"/>
      <c r="AH62" s="295"/>
      <c r="AI62" s="295"/>
      <c r="AJ62" s="295"/>
      <c r="AK62" s="295"/>
      <c r="AL62" s="295"/>
      <c r="AM62" s="295"/>
      <c r="AN62" s="295"/>
      <c r="AO62" s="295"/>
      <c r="AP62" s="295"/>
      <c r="AQ62" s="295"/>
      <c r="AR62" s="295"/>
      <c r="AS62" s="295"/>
      <c r="AT62" s="295"/>
      <c r="AU62" s="295"/>
      <c r="AV62" s="295"/>
      <c r="AW62" s="295"/>
      <c r="AX62" s="295"/>
      <c r="AY62" s="295"/>
      <c r="AZ62" s="295"/>
      <c r="BA62" s="295"/>
      <c r="BB62" s="295"/>
      <c r="BC62" s="295"/>
      <c r="BD62" s="295"/>
      <c r="BE62" s="296"/>
      <c r="BF62" s="302"/>
      <c r="BG62" s="302"/>
      <c r="BH62" s="302"/>
      <c r="BI62" s="302"/>
      <c r="BJ62" s="302"/>
      <c r="BK62" s="302"/>
      <c r="BL62" s="302"/>
      <c r="BM62" s="302"/>
      <c r="BN62" s="302"/>
      <c r="BO62" s="302"/>
      <c r="BP62" s="302"/>
      <c r="BQ62" s="302"/>
      <c r="BR62" s="302"/>
      <c r="BS62" s="302"/>
      <c r="BT62" s="302"/>
      <c r="BU62" s="303"/>
      <c r="BV62" s="306"/>
      <c r="BW62" s="249"/>
      <c r="BX62" s="249"/>
      <c r="BY62" s="249"/>
      <c r="BZ62" s="249"/>
      <c r="CA62" s="249"/>
      <c r="CB62" s="249"/>
      <c r="CC62" s="249"/>
      <c r="CD62" s="249"/>
      <c r="CE62" s="249"/>
      <c r="CF62" s="249"/>
      <c r="CG62" s="249"/>
      <c r="CH62" s="249"/>
      <c r="CI62" s="249"/>
      <c r="CJ62" s="249"/>
      <c r="CK62" s="249"/>
      <c r="CL62" s="249"/>
      <c r="CM62" s="250"/>
    </row>
    <row r="63" spans="1:91" ht="25.5" customHeight="1" thickBot="1">
      <c r="A63" s="288"/>
      <c r="B63" s="289"/>
      <c r="C63" s="289"/>
      <c r="D63" s="52"/>
      <c r="E63" s="290"/>
      <c r="F63" s="290"/>
      <c r="G63" s="290"/>
      <c r="H63" s="53"/>
      <c r="I63" s="53"/>
      <c r="J63" s="53"/>
      <c r="K63" s="54"/>
      <c r="L63" s="294"/>
      <c r="M63" s="295"/>
      <c r="N63" s="295"/>
      <c r="O63" s="295"/>
      <c r="P63" s="295"/>
      <c r="Q63" s="295"/>
      <c r="R63" s="295"/>
      <c r="S63" s="295"/>
      <c r="T63" s="295"/>
      <c r="U63" s="295"/>
      <c r="V63" s="295"/>
      <c r="W63" s="295"/>
      <c r="X63" s="295"/>
      <c r="Y63" s="295"/>
      <c r="Z63" s="295"/>
      <c r="AA63" s="295"/>
      <c r="AB63" s="295"/>
      <c r="AC63" s="295"/>
      <c r="AD63" s="295"/>
      <c r="AE63" s="295"/>
      <c r="AF63" s="295"/>
      <c r="AG63" s="295"/>
      <c r="AH63" s="295"/>
      <c r="AI63" s="295"/>
      <c r="AJ63" s="295"/>
      <c r="AK63" s="295"/>
      <c r="AL63" s="295"/>
      <c r="AM63" s="295"/>
      <c r="AN63" s="295"/>
      <c r="AO63" s="295"/>
      <c r="AP63" s="295"/>
      <c r="AQ63" s="295"/>
      <c r="AR63" s="295"/>
      <c r="AS63" s="295"/>
      <c r="AT63" s="295"/>
      <c r="AU63" s="295"/>
      <c r="AV63" s="295"/>
      <c r="AW63" s="295"/>
      <c r="AX63" s="295"/>
      <c r="AY63" s="295"/>
      <c r="AZ63" s="295"/>
      <c r="BA63" s="295"/>
      <c r="BB63" s="295"/>
      <c r="BC63" s="295"/>
      <c r="BD63" s="295"/>
      <c r="BE63" s="296"/>
      <c r="BF63" s="304"/>
      <c r="BG63" s="304"/>
      <c r="BH63" s="304"/>
      <c r="BI63" s="304"/>
      <c r="BJ63" s="304"/>
      <c r="BK63" s="304"/>
      <c r="BL63" s="304"/>
      <c r="BM63" s="304"/>
      <c r="BN63" s="304"/>
      <c r="BO63" s="304"/>
      <c r="BP63" s="304"/>
      <c r="BQ63" s="304"/>
      <c r="BR63" s="304"/>
      <c r="BS63" s="304"/>
      <c r="BT63" s="304"/>
      <c r="BU63" s="305"/>
      <c r="BV63" s="263"/>
      <c r="BW63" s="251"/>
      <c r="BX63" s="251"/>
      <c r="BY63" s="251"/>
      <c r="BZ63" s="251"/>
      <c r="CA63" s="251"/>
      <c r="CB63" s="251"/>
      <c r="CC63" s="251"/>
      <c r="CD63" s="251"/>
      <c r="CE63" s="251"/>
      <c r="CF63" s="251"/>
      <c r="CG63" s="251"/>
      <c r="CH63" s="251"/>
      <c r="CI63" s="251"/>
      <c r="CJ63" s="251"/>
      <c r="CK63" s="251"/>
      <c r="CL63" s="251"/>
      <c r="CM63" s="252"/>
    </row>
    <row r="64" spans="1:91" ht="27" customHeight="1">
      <c r="A64" s="288"/>
      <c r="B64" s="289"/>
      <c r="C64" s="289"/>
      <c r="D64" s="52"/>
      <c r="E64" s="290"/>
      <c r="F64" s="290"/>
      <c r="G64" s="290"/>
      <c r="H64" s="53"/>
      <c r="I64" s="53"/>
      <c r="J64" s="53"/>
      <c r="K64" s="54"/>
      <c r="L64" s="294"/>
      <c r="M64" s="295"/>
      <c r="N64" s="295"/>
      <c r="O64" s="295"/>
      <c r="P64" s="295"/>
      <c r="Q64" s="295"/>
      <c r="R64" s="295"/>
      <c r="S64" s="295"/>
      <c r="T64" s="295"/>
      <c r="U64" s="295"/>
      <c r="V64" s="295"/>
      <c r="W64" s="295"/>
      <c r="X64" s="295"/>
      <c r="Y64" s="295"/>
      <c r="Z64" s="295"/>
      <c r="AA64" s="295"/>
      <c r="AB64" s="295"/>
      <c r="AC64" s="295"/>
      <c r="AD64" s="295"/>
      <c r="AE64" s="295"/>
      <c r="AF64" s="295"/>
      <c r="AG64" s="295"/>
      <c r="AH64" s="295"/>
      <c r="AI64" s="295"/>
      <c r="AJ64" s="295"/>
      <c r="AK64" s="295"/>
      <c r="AL64" s="295"/>
      <c r="AM64" s="295"/>
      <c r="AN64" s="295"/>
      <c r="AO64" s="295"/>
      <c r="AP64" s="295"/>
      <c r="AQ64" s="295"/>
      <c r="AR64" s="295"/>
      <c r="AS64" s="295"/>
      <c r="AT64" s="295"/>
      <c r="AU64" s="295"/>
      <c r="AV64" s="295"/>
      <c r="AW64" s="295"/>
      <c r="AX64" s="295"/>
      <c r="AY64" s="295"/>
      <c r="AZ64" s="295"/>
      <c r="BA64" s="295"/>
      <c r="BB64" s="295"/>
      <c r="BC64" s="295"/>
      <c r="BD64" s="295"/>
      <c r="BE64" s="296"/>
      <c r="BF64" s="247" t="s">
        <v>89</v>
      </c>
      <c r="BG64" s="247"/>
      <c r="BH64" s="247"/>
      <c r="BI64" s="247"/>
      <c r="BJ64" s="247"/>
      <c r="BK64" s="247"/>
      <c r="BL64" s="247"/>
      <c r="BM64" s="247"/>
      <c r="BN64" s="247"/>
      <c r="BO64" s="247"/>
      <c r="BP64" s="247"/>
      <c r="BQ64" s="247"/>
      <c r="BR64" s="247"/>
      <c r="BS64" s="247"/>
      <c r="BT64" s="247"/>
      <c r="BU64" s="248"/>
      <c r="BV64" s="279" t="s">
        <v>90</v>
      </c>
      <c r="BW64" s="280"/>
      <c r="BX64" s="280"/>
      <c r="BY64" s="280"/>
      <c r="BZ64" s="280"/>
      <c r="CA64" s="280"/>
      <c r="CB64" s="280"/>
      <c r="CC64" s="280"/>
      <c r="CD64" s="280"/>
      <c r="CE64" s="280"/>
      <c r="CF64" s="280"/>
      <c r="CG64" s="280"/>
      <c r="CH64" s="280"/>
      <c r="CI64" s="280"/>
      <c r="CJ64" s="280"/>
      <c r="CK64" s="280"/>
      <c r="CL64" s="280"/>
      <c r="CM64" s="281"/>
    </row>
    <row r="65" spans="1:91" ht="25.5" customHeight="1">
      <c r="A65" s="288"/>
      <c r="B65" s="289"/>
      <c r="C65" s="289"/>
      <c r="D65" s="52"/>
      <c r="E65" s="290"/>
      <c r="F65" s="290"/>
      <c r="G65" s="290"/>
      <c r="H65" s="53"/>
      <c r="I65" s="53"/>
      <c r="J65" s="53"/>
      <c r="K65" s="54"/>
      <c r="L65" s="294"/>
      <c r="M65" s="295"/>
      <c r="N65" s="295"/>
      <c r="O65" s="295"/>
      <c r="P65" s="295"/>
      <c r="Q65" s="295"/>
      <c r="R65" s="295"/>
      <c r="S65" s="295"/>
      <c r="T65" s="295"/>
      <c r="U65" s="295"/>
      <c r="V65" s="295"/>
      <c r="W65" s="295"/>
      <c r="X65" s="295"/>
      <c r="Y65" s="295"/>
      <c r="Z65" s="295"/>
      <c r="AA65" s="295"/>
      <c r="AB65" s="295"/>
      <c r="AC65" s="295"/>
      <c r="AD65" s="295"/>
      <c r="AE65" s="295"/>
      <c r="AF65" s="295"/>
      <c r="AG65" s="295"/>
      <c r="AH65" s="295"/>
      <c r="AI65" s="295"/>
      <c r="AJ65" s="295"/>
      <c r="AK65" s="295"/>
      <c r="AL65" s="295"/>
      <c r="AM65" s="295"/>
      <c r="AN65" s="295"/>
      <c r="AO65" s="295"/>
      <c r="AP65" s="295"/>
      <c r="AQ65" s="295"/>
      <c r="AR65" s="295"/>
      <c r="AS65" s="295"/>
      <c r="AT65" s="295"/>
      <c r="AU65" s="295"/>
      <c r="AV65" s="295"/>
      <c r="AW65" s="295"/>
      <c r="AX65" s="295"/>
      <c r="AY65" s="295"/>
      <c r="AZ65" s="295"/>
      <c r="BA65" s="295"/>
      <c r="BB65" s="295"/>
      <c r="BC65" s="295"/>
      <c r="BD65" s="295"/>
      <c r="BE65" s="296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50"/>
      <c r="BV65" s="282"/>
      <c r="BW65" s="283"/>
      <c r="BX65" s="283"/>
      <c r="BY65" s="283"/>
      <c r="BZ65" s="283"/>
      <c r="CA65" s="283"/>
      <c r="CB65" s="283"/>
      <c r="CC65" s="283"/>
      <c r="CD65" s="283"/>
      <c r="CE65" s="283"/>
      <c r="CF65" s="283"/>
      <c r="CG65" s="283"/>
      <c r="CH65" s="283"/>
      <c r="CI65" s="283"/>
      <c r="CJ65" s="283"/>
      <c r="CK65" s="283"/>
      <c r="CL65" s="283"/>
      <c r="CM65" s="284"/>
    </row>
    <row r="66" spans="1:91" ht="25.5" customHeight="1" thickBot="1">
      <c r="A66" s="288"/>
      <c r="B66" s="289"/>
      <c r="C66" s="289"/>
      <c r="D66" s="52"/>
      <c r="E66" s="290"/>
      <c r="F66" s="290"/>
      <c r="G66" s="290"/>
      <c r="H66" s="53"/>
      <c r="I66" s="53"/>
      <c r="J66" s="53"/>
      <c r="K66" s="54"/>
      <c r="L66" s="294"/>
      <c r="M66" s="295"/>
      <c r="N66" s="295"/>
      <c r="O66" s="295"/>
      <c r="P66" s="295"/>
      <c r="Q66" s="295"/>
      <c r="R66" s="295"/>
      <c r="S66" s="295"/>
      <c r="T66" s="295"/>
      <c r="U66" s="295"/>
      <c r="V66" s="295"/>
      <c r="W66" s="295"/>
      <c r="X66" s="295"/>
      <c r="Y66" s="295"/>
      <c r="Z66" s="295"/>
      <c r="AA66" s="295"/>
      <c r="AB66" s="295"/>
      <c r="AC66" s="295"/>
      <c r="AD66" s="295"/>
      <c r="AE66" s="295"/>
      <c r="AF66" s="295"/>
      <c r="AG66" s="295"/>
      <c r="AH66" s="295"/>
      <c r="AI66" s="295"/>
      <c r="AJ66" s="295"/>
      <c r="AK66" s="295"/>
      <c r="AL66" s="295"/>
      <c r="AM66" s="295"/>
      <c r="AN66" s="295"/>
      <c r="AO66" s="295"/>
      <c r="AP66" s="295"/>
      <c r="AQ66" s="295"/>
      <c r="AR66" s="295"/>
      <c r="AS66" s="295"/>
      <c r="AT66" s="295"/>
      <c r="AU66" s="295"/>
      <c r="AV66" s="295"/>
      <c r="AW66" s="295"/>
      <c r="AX66" s="295"/>
      <c r="AY66" s="295"/>
      <c r="AZ66" s="295"/>
      <c r="BA66" s="295"/>
      <c r="BB66" s="295"/>
      <c r="BC66" s="295"/>
      <c r="BD66" s="295"/>
      <c r="BE66" s="296"/>
      <c r="BF66" s="251"/>
      <c r="BG66" s="251"/>
      <c r="BH66" s="251"/>
      <c r="BI66" s="251"/>
      <c r="BJ66" s="251"/>
      <c r="BK66" s="251"/>
      <c r="BL66" s="251"/>
      <c r="BM66" s="251"/>
      <c r="BN66" s="251"/>
      <c r="BO66" s="251"/>
      <c r="BP66" s="251"/>
      <c r="BQ66" s="251"/>
      <c r="BR66" s="251"/>
      <c r="BS66" s="251"/>
      <c r="BT66" s="251"/>
      <c r="BU66" s="252"/>
      <c r="BV66" s="285"/>
      <c r="BW66" s="286"/>
      <c r="BX66" s="286"/>
      <c r="BY66" s="286"/>
      <c r="BZ66" s="286"/>
      <c r="CA66" s="286"/>
      <c r="CB66" s="286"/>
      <c r="CC66" s="286"/>
      <c r="CD66" s="286"/>
      <c r="CE66" s="286"/>
      <c r="CF66" s="286"/>
      <c r="CG66" s="286"/>
      <c r="CH66" s="286"/>
      <c r="CI66" s="286"/>
      <c r="CJ66" s="286"/>
      <c r="CK66" s="286"/>
      <c r="CL66" s="286"/>
      <c r="CM66" s="287"/>
    </row>
    <row r="67" spans="1:91" ht="25.5" customHeight="1">
      <c r="A67" s="255" t="e">
        <f>IF(#REF!&lt;&gt;"",#REF!,"")</f>
        <v>#REF!</v>
      </c>
      <c r="B67" s="256"/>
      <c r="C67" s="256"/>
      <c r="D67" s="185"/>
      <c r="E67" s="257" t="e">
        <f>IF(#REF!&lt;&gt;"",#REF!,"")</f>
        <v>#REF!</v>
      </c>
      <c r="F67" s="257"/>
      <c r="G67" s="257"/>
      <c r="H67" s="186" t="e">
        <f>IF(#REF!&lt;&gt;"",#REF!,"")</f>
        <v>#REF!</v>
      </c>
      <c r="I67" s="186" t="e">
        <f>IF(#REF!&lt;&gt;"",#REF!,"")</f>
        <v>#REF!</v>
      </c>
      <c r="J67" s="186" t="e">
        <f>IF(#REF!&lt;&gt;"",#REF!,"")</f>
        <v>#REF!</v>
      </c>
      <c r="K67" s="187" t="e">
        <f>IF(#REF!&lt;&gt;"",#REF!,"")</f>
        <v>#REF!</v>
      </c>
      <c r="L67" s="294"/>
      <c r="M67" s="295"/>
      <c r="N67" s="295"/>
      <c r="O67" s="295"/>
      <c r="P67" s="295"/>
      <c r="Q67" s="295"/>
      <c r="R67" s="295"/>
      <c r="S67" s="295"/>
      <c r="T67" s="295"/>
      <c r="U67" s="295"/>
      <c r="V67" s="295"/>
      <c r="W67" s="295"/>
      <c r="X67" s="295"/>
      <c r="Y67" s="295"/>
      <c r="Z67" s="295"/>
      <c r="AA67" s="295"/>
      <c r="AB67" s="295"/>
      <c r="AC67" s="295"/>
      <c r="AD67" s="295"/>
      <c r="AE67" s="295"/>
      <c r="AF67" s="295"/>
      <c r="AG67" s="295"/>
      <c r="AH67" s="295"/>
      <c r="AI67" s="295"/>
      <c r="AJ67" s="295"/>
      <c r="AK67" s="295"/>
      <c r="AL67" s="295"/>
      <c r="AM67" s="295"/>
      <c r="AN67" s="295"/>
      <c r="AO67" s="295"/>
      <c r="AP67" s="295"/>
      <c r="AQ67" s="295"/>
      <c r="AR67" s="295"/>
      <c r="AS67" s="295"/>
      <c r="AT67" s="295"/>
      <c r="AU67" s="295"/>
      <c r="AV67" s="295"/>
      <c r="AW67" s="295"/>
      <c r="AX67" s="295"/>
      <c r="AY67" s="295"/>
      <c r="AZ67" s="295"/>
      <c r="BA67" s="295"/>
      <c r="BB67" s="295"/>
      <c r="BC67" s="295"/>
      <c r="BD67" s="295"/>
      <c r="BE67" s="296"/>
      <c r="BF67" s="272" t="s">
        <v>34</v>
      </c>
      <c r="BG67" s="272"/>
      <c r="BH67" s="272"/>
      <c r="BI67" s="272"/>
      <c r="BJ67" s="272"/>
      <c r="BK67" s="272"/>
      <c r="BL67" s="272"/>
      <c r="BM67" s="272"/>
      <c r="BN67" s="272"/>
      <c r="BO67" s="272"/>
      <c r="BP67" s="272"/>
      <c r="BQ67" s="272"/>
      <c r="BR67" s="272"/>
      <c r="BS67" s="272"/>
      <c r="BT67" s="272"/>
      <c r="BU67" s="254"/>
      <c r="BV67" s="273" t="s">
        <v>35</v>
      </c>
      <c r="BW67" s="272"/>
      <c r="BX67" s="274"/>
      <c r="BY67" s="253" t="s">
        <v>36</v>
      </c>
      <c r="BZ67" s="272"/>
      <c r="CA67" s="272"/>
      <c r="CB67" s="272"/>
      <c r="CC67" s="272"/>
      <c r="CD67" s="272"/>
      <c r="CE67" s="272"/>
      <c r="CF67" s="272"/>
      <c r="CG67" s="272"/>
      <c r="CH67" s="272"/>
      <c r="CI67" s="272"/>
      <c r="CJ67" s="272"/>
      <c r="CK67" s="274"/>
      <c r="CL67" s="253" t="s">
        <v>37</v>
      </c>
      <c r="CM67" s="254"/>
    </row>
    <row r="68" spans="1:91" ht="25.5" customHeight="1">
      <c r="A68" s="255" t="e">
        <f>IF(#REF!&lt;&gt;"",#REF!,"")</f>
        <v>#REF!</v>
      </c>
      <c r="B68" s="256"/>
      <c r="C68" s="256"/>
      <c r="D68" s="185"/>
      <c r="E68" s="257" t="e">
        <f>IF(#REF!&lt;&gt;"",#REF!,"")</f>
        <v>#REF!</v>
      </c>
      <c r="F68" s="257"/>
      <c r="G68" s="257"/>
      <c r="H68" s="186" t="e">
        <f>IF(#REF!&lt;&gt;"",#REF!,"")</f>
        <v>#REF!</v>
      </c>
      <c r="I68" s="186" t="e">
        <f>IF(#REF!&lt;&gt;"",#REF!,"")</f>
        <v>#REF!</v>
      </c>
      <c r="J68" s="186" t="e">
        <f>IF(#REF!&lt;&gt;"",#REF!,"")</f>
        <v>#REF!</v>
      </c>
      <c r="K68" s="187" t="e">
        <f>IF(#REF!&lt;&gt;"",#REF!,"")</f>
        <v>#REF!</v>
      </c>
      <c r="L68" s="294"/>
      <c r="M68" s="295"/>
      <c r="N68" s="295"/>
      <c r="O68" s="295"/>
      <c r="P68" s="295"/>
      <c r="Q68" s="295"/>
      <c r="R68" s="295"/>
      <c r="S68" s="295"/>
      <c r="T68" s="295"/>
      <c r="U68" s="295"/>
      <c r="V68" s="295"/>
      <c r="W68" s="295"/>
      <c r="X68" s="295"/>
      <c r="Y68" s="295"/>
      <c r="Z68" s="295"/>
      <c r="AA68" s="295"/>
      <c r="AB68" s="295"/>
      <c r="AC68" s="295"/>
      <c r="AD68" s="295"/>
      <c r="AE68" s="295"/>
      <c r="AF68" s="295"/>
      <c r="AG68" s="295"/>
      <c r="AH68" s="295"/>
      <c r="AI68" s="295"/>
      <c r="AJ68" s="295"/>
      <c r="AK68" s="295"/>
      <c r="AL68" s="295"/>
      <c r="AM68" s="295"/>
      <c r="AN68" s="295"/>
      <c r="AO68" s="295"/>
      <c r="AP68" s="295"/>
      <c r="AQ68" s="295"/>
      <c r="AR68" s="295"/>
      <c r="AS68" s="295"/>
      <c r="AT68" s="295"/>
      <c r="AU68" s="295"/>
      <c r="AV68" s="295"/>
      <c r="AW68" s="295"/>
      <c r="AX68" s="295"/>
      <c r="AY68" s="295"/>
      <c r="AZ68" s="295"/>
      <c r="BA68" s="295"/>
      <c r="BB68" s="295"/>
      <c r="BC68" s="295"/>
      <c r="BD68" s="295"/>
      <c r="BE68" s="296"/>
      <c r="BF68" s="258" t="s">
        <v>5</v>
      </c>
      <c r="BG68" s="259"/>
      <c r="BH68" s="259"/>
      <c r="BI68" s="259"/>
      <c r="BJ68" s="259"/>
      <c r="BK68" s="259"/>
      <c r="BL68" s="259"/>
      <c r="BM68" s="259"/>
      <c r="BN68" s="259"/>
      <c r="BO68" s="259"/>
      <c r="BP68" s="259"/>
      <c r="BQ68" s="259"/>
      <c r="BR68" s="259"/>
      <c r="BS68" s="259"/>
      <c r="BT68" s="259"/>
      <c r="BU68" s="260"/>
      <c r="BV68" s="261" t="s">
        <v>12</v>
      </c>
      <c r="BW68" s="259"/>
      <c r="BX68" s="262"/>
      <c r="BY68" s="265" t="s">
        <v>1694</v>
      </c>
      <c r="BZ68" s="266"/>
      <c r="CA68" s="266"/>
      <c r="CB68" s="266"/>
      <c r="CC68" s="266"/>
      <c r="CD68" s="266"/>
      <c r="CE68" s="266"/>
      <c r="CF68" s="266"/>
      <c r="CG68" s="266"/>
      <c r="CH68" s="266"/>
      <c r="CI68" s="266"/>
      <c r="CJ68" s="266"/>
      <c r="CK68" s="267"/>
      <c r="CL68" s="227" t="s">
        <v>11</v>
      </c>
      <c r="CM68" s="260"/>
    </row>
    <row r="69" spans="1:91" ht="25.5" customHeight="1" thickBot="1">
      <c r="A69" s="255" t="e">
        <f>IF(#REF!&lt;&gt;"",#REF!,"")</f>
        <v>#REF!</v>
      </c>
      <c r="B69" s="256"/>
      <c r="C69" s="256"/>
      <c r="D69" s="185"/>
      <c r="E69" s="257" t="e">
        <f>IF(#REF!&lt;&gt;"",#REF!,"")</f>
        <v>#REF!</v>
      </c>
      <c r="F69" s="257"/>
      <c r="G69" s="257"/>
      <c r="H69" s="186" t="e">
        <f>IF(#REF!&lt;&gt;"",#REF!,"")</f>
        <v>#REF!</v>
      </c>
      <c r="I69" s="186" t="e">
        <f>IF(#REF!&lt;&gt;"",#REF!,"")</f>
        <v>#REF!</v>
      </c>
      <c r="J69" s="186" t="e">
        <f>IF(#REF!&lt;&gt;"",#REF!,"")</f>
        <v>#REF!</v>
      </c>
      <c r="K69" s="187" t="e">
        <f>IF(#REF!&lt;&gt;"",#REF!,"")</f>
        <v>#REF!</v>
      </c>
      <c r="L69" s="297"/>
      <c r="M69" s="298"/>
      <c r="N69" s="298"/>
      <c r="O69" s="298"/>
      <c r="P69" s="298"/>
      <c r="Q69" s="298"/>
      <c r="R69" s="298"/>
      <c r="S69" s="298"/>
      <c r="T69" s="298"/>
      <c r="U69" s="298"/>
      <c r="V69" s="298"/>
      <c r="W69" s="298"/>
      <c r="X69" s="298"/>
      <c r="Y69" s="298"/>
      <c r="Z69" s="298"/>
      <c r="AA69" s="298"/>
      <c r="AB69" s="298"/>
      <c r="AC69" s="298"/>
      <c r="AD69" s="298"/>
      <c r="AE69" s="298"/>
      <c r="AF69" s="298"/>
      <c r="AG69" s="298"/>
      <c r="AH69" s="298"/>
      <c r="AI69" s="298"/>
      <c r="AJ69" s="298"/>
      <c r="AK69" s="298"/>
      <c r="AL69" s="298"/>
      <c r="AM69" s="298"/>
      <c r="AN69" s="298"/>
      <c r="AO69" s="298"/>
      <c r="AP69" s="298"/>
      <c r="AQ69" s="298"/>
      <c r="AR69" s="298"/>
      <c r="AS69" s="298"/>
      <c r="AT69" s="298"/>
      <c r="AU69" s="298"/>
      <c r="AV69" s="298"/>
      <c r="AW69" s="298"/>
      <c r="AX69" s="298"/>
      <c r="AY69" s="298"/>
      <c r="AZ69" s="298"/>
      <c r="BA69" s="298"/>
      <c r="BB69" s="298"/>
      <c r="BC69" s="298"/>
      <c r="BD69" s="298"/>
      <c r="BE69" s="299"/>
      <c r="BF69" s="251"/>
      <c r="BG69" s="251"/>
      <c r="BH69" s="251"/>
      <c r="BI69" s="251"/>
      <c r="BJ69" s="251"/>
      <c r="BK69" s="251"/>
      <c r="BL69" s="251"/>
      <c r="BM69" s="251"/>
      <c r="BN69" s="251"/>
      <c r="BO69" s="251"/>
      <c r="BP69" s="251"/>
      <c r="BQ69" s="251"/>
      <c r="BR69" s="251"/>
      <c r="BS69" s="251"/>
      <c r="BT69" s="251"/>
      <c r="BU69" s="252"/>
      <c r="BV69" s="263"/>
      <c r="BW69" s="251"/>
      <c r="BX69" s="264"/>
      <c r="BY69" s="268"/>
      <c r="BZ69" s="269"/>
      <c r="CA69" s="269"/>
      <c r="CB69" s="269"/>
      <c r="CC69" s="269"/>
      <c r="CD69" s="269"/>
      <c r="CE69" s="269"/>
      <c r="CF69" s="269"/>
      <c r="CG69" s="269"/>
      <c r="CH69" s="269"/>
      <c r="CI69" s="269"/>
      <c r="CJ69" s="269"/>
      <c r="CK69" s="270"/>
      <c r="CL69" s="271"/>
      <c r="CM69" s="252"/>
    </row>
    <row r="70" spans="1:91" ht="12" customHeight="1">
      <c r="A70" s="55"/>
      <c r="B70" s="56"/>
      <c r="C70" s="56"/>
      <c r="D70" s="56"/>
      <c r="E70" s="57"/>
      <c r="F70" s="58"/>
      <c r="G70" s="58"/>
      <c r="H70" s="58"/>
      <c r="I70" s="59"/>
      <c r="BL70" s="17"/>
      <c r="BM70" s="17"/>
      <c r="BN70" s="17"/>
      <c r="BO70" s="17"/>
      <c r="BP70" s="17"/>
      <c r="BQ70" s="17"/>
      <c r="BR70" s="17"/>
      <c r="BS70" s="17"/>
      <c r="BT70" s="61"/>
      <c r="CD70" s="57"/>
      <c r="CE70" s="57"/>
      <c r="CF70" s="57"/>
      <c r="CG70" s="57"/>
      <c r="CH70" s="57"/>
      <c r="CI70" s="57"/>
      <c r="CJ70" s="57"/>
      <c r="CK70" s="57"/>
      <c r="CL70" s="57"/>
      <c r="CM70" s="57"/>
    </row>
  </sheetData>
  <mergeCells count="45"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BV64:CM66"/>
    <mergeCell ref="A65:C65"/>
    <mergeCell ref="E65:G65"/>
    <mergeCell ref="A66:C66"/>
    <mergeCell ref="E66:G66"/>
    <mergeCell ref="A67:C67"/>
    <mergeCell ref="E67:G67"/>
    <mergeCell ref="BF67:BU67"/>
    <mergeCell ref="BV67:BX67"/>
    <mergeCell ref="BY67:CK67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BF64:BU66"/>
    <mergeCell ref="G7:G9"/>
    <mergeCell ref="H7:H9"/>
    <mergeCell ref="I7:K7"/>
    <mergeCell ref="J8:K8"/>
    <mergeCell ref="A61:C61"/>
    <mergeCell ref="E61:G61"/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29" orientation="landscape" r:id="rId1"/>
  <headerFooter alignWithMargins="0">
    <oddFooter xml:space="preserve">&amp;L&amp;Z&amp;F&amp;C&amp;D&amp;RConcise DesignShutdown Key 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DQ70"/>
  <sheetViews>
    <sheetView showGridLines="0" view="pageBreakPreview" topLeftCell="C1" zoomScale="50" zoomScaleNormal="50" zoomScaleSheetLayoutView="50" zoomScalePageLayoutView="50" workbookViewId="0">
      <selection activeCell="I1" sqref="I1:K9"/>
    </sheetView>
  </sheetViews>
  <sheetFormatPr defaultColWidth="12.7109375" defaultRowHeight="12" customHeight="1"/>
  <cols>
    <col min="1" max="1" width="8.7109375" style="21" hidden="1" customWidth="1"/>
    <col min="2" max="2" width="7.42578125" style="21" hidden="1" customWidth="1"/>
    <col min="3" max="3" width="19" style="21" customWidth="1"/>
    <col min="4" max="4" width="25.42578125" style="21" hidden="1" customWidth="1"/>
    <col min="5" max="5" width="95.85546875" style="27" bestFit="1" customWidth="1"/>
    <col min="6" max="6" width="18.42578125" style="196" hidden="1" customWidth="1"/>
    <col min="7" max="7" width="31.5703125" style="196" bestFit="1" customWidth="1"/>
    <col min="8" max="8" width="33" style="196" bestFit="1" customWidth="1"/>
    <col min="9" max="10" width="8.42578125" style="41" customWidth="1"/>
    <col min="11" max="11" width="10.85546875" style="41" bestFit="1" customWidth="1"/>
    <col min="12" max="12" width="6.140625" style="60" hidden="1" customWidth="1"/>
    <col min="13" max="14" width="6.140625" style="27" customWidth="1"/>
    <col min="15" max="16" width="6.140625" style="27" hidden="1" customWidth="1"/>
    <col min="17" max="21" width="6.140625" style="27" customWidth="1"/>
    <col min="22" max="22" width="6.140625" style="60" customWidth="1"/>
    <col min="23" max="31" width="6.140625" style="27" customWidth="1"/>
    <col min="32" max="32" width="6.140625" style="60" customWidth="1"/>
    <col min="33" max="41" width="6.140625" style="27" customWidth="1"/>
    <col min="42" max="42" width="6.140625" style="60" customWidth="1"/>
    <col min="43" max="51" width="6.140625" style="27" customWidth="1"/>
    <col min="52" max="52" width="6.140625" style="60" customWidth="1"/>
    <col min="53" max="61" width="6.140625" style="27" customWidth="1"/>
    <col min="62" max="62" width="6.140625" style="60" customWidth="1"/>
    <col min="63" max="71" width="6.140625" style="27" customWidth="1"/>
    <col min="72" max="72" width="6.140625" style="60" customWidth="1"/>
    <col min="73" max="80" width="6.140625" style="27" customWidth="1"/>
    <col min="81" max="81" width="6.140625" style="62" customWidth="1"/>
    <col min="82" max="91" width="6.140625" style="27" customWidth="1"/>
    <col min="92" max="16384" width="12.7109375" style="27"/>
  </cols>
  <sheetData>
    <row r="1" spans="1:121" s="194" customFormat="1" ht="20.25" customHeight="1">
      <c r="A1" s="15"/>
      <c r="B1" s="16"/>
      <c r="C1" s="16"/>
      <c r="D1" s="16"/>
      <c r="E1" s="17"/>
      <c r="F1" s="195"/>
      <c r="G1" s="195"/>
      <c r="H1" s="195"/>
      <c r="I1" s="18"/>
      <c r="J1" s="19" t="s">
        <v>13</v>
      </c>
      <c r="K1" s="20"/>
      <c r="L1" s="407">
        <v>1</v>
      </c>
      <c r="M1" s="402">
        <v>2</v>
      </c>
      <c r="N1" s="402">
        <v>3</v>
      </c>
      <c r="O1" s="402">
        <v>4</v>
      </c>
      <c r="P1" s="408">
        <v>6</v>
      </c>
      <c r="Q1" s="407">
        <v>7</v>
      </c>
      <c r="R1" s="402">
        <v>238</v>
      </c>
      <c r="S1" s="402">
        <v>889</v>
      </c>
      <c r="T1" s="402">
        <v>887</v>
      </c>
      <c r="U1" s="409">
        <v>888</v>
      </c>
      <c r="V1" s="401">
        <v>231</v>
      </c>
      <c r="W1" s="403">
        <v>7777</v>
      </c>
      <c r="X1" s="403"/>
      <c r="Y1" s="403"/>
      <c r="Z1" s="406"/>
      <c r="AA1" s="410"/>
      <c r="AB1" s="403"/>
      <c r="AC1" s="403"/>
      <c r="AD1" s="403"/>
      <c r="AE1" s="404"/>
      <c r="AF1" s="405"/>
      <c r="AG1" s="403"/>
      <c r="AH1" s="403"/>
      <c r="AI1" s="403"/>
      <c r="AJ1" s="406"/>
      <c r="AK1" s="410"/>
      <c r="AL1" s="403"/>
      <c r="AM1" s="403"/>
      <c r="AN1" s="403"/>
      <c r="AO1" s="404"/>
      <c r="AP1" s="405"/>
      <c r="AQ1" s="403"/>
      <c r="AR1" s="403"/>
      <c r="AS1" s="403"/>
      <c r="AT1" s="406"/>
      <c r="AU1" s="410"/>
      <c r="AV1" s="403"/>
      <c r="AW1" s="403"/>
      <c r="AX1" s="403"/>
      <c r="AY1" s="404"/>
      <c r="AZ1" s="405"/>
      <c r="BA1" s="403"/>
      <c r="BB1" s="403"/>
      <c r="BC1" s="403"/>
      <c r="BD1" s="406"/>
      <c r="BE1" s="410"/>
      <c r="BF1" s="403"/>
      <c r="BG1" s="403"/>
      <c r="BH1" s="403"/>
      <c r="BI1" s="404"/>
      <c r="BJ1" s="405"/>
      <c r="BK1" s="403"/>
      <c r="BL1" s="403"/>
      <c r="BM1" s="403"/>
      <c r="BN1" s="406"/>
      <c r="BO1" s="410"/>
      <c r="BP1" s="403"/>
      <c r="BQ1" s="403"/>
      <c r="BR1" s="403"/>
      <c r="BS1" s="404"/>
      <c r="BT1" s="405"/>
      <c r="BU1" s="403"/>
      <c r="BV1" s="403"/>
      <c r="BW1" s="403"/>
      <c r="BX1" s="406"/>
      <c r="BY1" s="410"/>
      <c r="BZ1" s="403"/>
      <c r="CA1" s="403"/>
      <c r="CB1" s="403"/>
      <c r="CC1" s="404"/>
      <c r="CD1" s="405"/>
      <c r="CE1" s="403"/>
      <c r="CF1" s="403"/>
      <c r="CG1" s="403"/>
      <c r="CH1" s="404"/>
      <c r="CI1" s="405"/>
      <c r="CJ1" s="403"/>
      <c r="CK1" s="403"/>
      <c r="CL1" s="403"/>
      <c r="CM1" s="406"/>
      <c r="CN1" s="21"/>
      <c r="CO1" s="21"/>
      <c r="CP1" s="21"/>
      <c r="CQ1" s="21"/>
      <c r="CR1" s="21"/>
      <c r="CS1" s="21"/>
      <c r="CT1" s="21"/>
      <c r="CU1" s="21"/>
      <c r="CV1" s="21"/>
      <c r="CW1" s="21"/>
      <c r="CX1" s="21"/>
      <c r="CY1" s="21"/>
      <c r="CZ1" s="21"/>
      <c r="DA1" s="21"/>
      <c r="DB1" s="21"/>
      <c r="DC1" s="21"/>
      <c r="DD1" s="21"/>
      <c r="DE1" s="21"/>
      <c r="DF1" s="21"/>
      <c r="DG1" s="21"/>
      <c r="DH1" s="21"/>
      <c r="DI1" s="21"/>
      <c r="DJ1" s="21"/>
      <c r="DK1" s="21"/>
      <c r="DL1" s="21"/>
      <c r="DM1" s="21"/>
      <c r="DN1" s="21"/>
      <c r="DO1" s="21"/>
      <c r="DP1" s="21"/>
      <c r="DQ1" s="21"/>
    </row>
    <row r="2" spans="1:121" s="194" customFormat="1" ht="24" customHeight="1" thickBot="1">
      <c r="A2" s="22"/>
      <c r="B2" s="21"/>
      <c r="C2" s="21"/>
      <c r="D2" s="21"/>
      <c r="F2" s="196"/>
      <c r="G2" s="196"/>
      <c r="H2" s="196"/>
      <c r="I2" s="23"/>
      <c r="J2" s="24" t="s">
        <v>14</v>
      </c>
      <c r="K2" s="25"/>
      <c r="L2" s="388" t="s">
        <v>11</v>
      </c>
      <c r="M2" s="387" t="s">
        <v>11</v>
      </c>
      <c r="N2" s="387" t="s">
        <v>11</v>
      </c>
      <c r="O2" s="387" t="s">
        <v>11</v>
      </c>
      <c r="P2" s="389" t="s">
        <v>11</v>
      </c>
      <c r="Q2" s="388" t="s">
        <v>77</v>
      </c>
      <c r="R2" s="387" t="s">
        <v>11</v>
      </c>
      <c r="S2" s="387" t="s">
        <v>11</v>
      </c>
      <c r="T2" s="387" t="s">
        <v>11</v>
      </c>
      <c r="U2" s="390" t="s">
        <v>11</v>
      </c>
      <c r="V2" s="386" t="s">
        <v>11</v>
      </c>
      <c r="W2" s="372" t="s">
        <v>11</v>
      </c>
      <c r="X2" s="372"/>
      <c r="Y2" s="372"/>
      <c r="Z2" s="373"/>
      <c r="AA2" s="374"/>
      <c r="AB2" s="372"/>
      <c r="AC2" s="372"/>
      <c r="AD2" s="372"/>
      <c r="AE2" s="371"/>
      <c r="AF2" s="375"/>
      <c r="AG2" s="372"/>
      <c r="AH2" s="372"/>
      <c r="AI2" s="372"/>
      <c r="AJ2" s="373"/>
      <c r="AK2" s="374"/>
      <c r="AL2" s="372"/>
      <c r="AM2" s="372"/>
      <c r="AN2" s="372"/>
      <c r="AO2" s="371"/>
      <c r="AP2" s="375"/>
      <c r="AQ2" s="372"/>
      <c r="AR2" s="372"/>
      <c r="AS2" s="372"/>
      <c r="AT2" s="373"/>
      <c r="AU2" s="374"/>
      <c r="AV2" s="372"/>
      <c r="AW2" s="372"/>
      <c r="AX2" s="372"/>
      <c r="AY2" s="371"/>
      <c r="AZ2" s="375"/>
      <c r="BA2" s="372"/>
      <c r="BB2" s="372"/>
      <c r="BC2" s="372"/>
      <c r="BD2" s="373"/>
      <c r="BE2" s="374"/>
      <c r="BF2" s="372"/>
      <c r="BG2" s="372"/>
      <c r="BH2" s="372"/>
      <c r="BI2" s="371"/>
      <c r="BJ2" s="375"/>
      <c r="BK2" s="372"/>
      <c r="BL2" s="372"/>
      <c r="BM2" s="372"/>
      <c r="BN2" s="373"/>
      <c r="BO2" s="374"/>
      <c r="BP2" s="372"/>
      <c r="BQ2" s="372"/>
      <c r="BR2" s="372"/>
      <c r="BS2" s="371"/>
      <c r="BT2" s="375"/>
      <c r="BU2" s="372"/>
      <c r="BV2" s="372"/>
      <c r="BW2" s="372"/>
      <c r="BX2" s="373"/>
      <c r="BY2" s="374"/>
      <c r="BZ2" s="372"/>
      <c r="CA2" s="372"/>
      <c r="CB2" s="372"/>
      <c r="CC2" s="371"/>
      <c r="CD2" s="375"/>
      <c r="CE2" s="372"/>
      <c r="CF2" s="372"/>
      <c r="CG2" s="372"/>
      <c r="CH2" s="371"/>
      <c r="CI2" s="375"/>
      <c r="CJ2" s="372"/>
      <c r="CK2" s="372"/>
      <c r="CL2" s="372"/>
      <c r="CM2" s="373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  <c r="DO2" s="26"/>
      <c r="DP2" s="26"/>
      <c r="DQ2" s="21"/>
    </row>
    <row r="3" spans="1:121" ht="111" customHeight="1">
      <c r="A3" s="22"/>
      <c r="I3" s="307" t="s">
        <v>15</v>
      </c>
      <c r="J3" s="308"/>
      <c r="K3" s="309"/>
      <c r="L3" s="421" t="s">
        <v>76</v>
      </c>
      <c r="M3" s="422" t="s">
        <v>76</v>
      </c>
      <c r="N3" s="422" t="s">
        <v>76</v>
      </c>
      <c r="O3" s="422" t="s">
        <v>76</v>
      </c>
      <c r="P3" s="423" t="s">
        <v>76</v>
      </c>
      <c r="Q3" s="421"/>
      <c r="R3" s="422" t="s">
        <v>16</v>
      </c>
      <c r="S3" s="422" t="s">
        <v>44</v>
      </c>
      <c r="T3" s="422" t="s">
        <v>44</v>
      </c>
      <c r="U3" s="424" t="s">
        <v>44</v>
      </c>
      <c r="V3" s="425" t="s">
        <v>44</v>
      </c>
      <c r="W3" s="372" t="s">
        <v>93</v>
      </c>
      <c r="X3" s="372"/>
      <c r="Y3" s="372"/>
      <c r="Z3" s="373"/>
      <c r="AA3" s="374"/>
      <c r="AB3" s="372"/>
      <c r="AC3" s="372"/>
      <c r="AD3" s="372"/>
      <c r="AE3" s="371"/>
      <c r="AF3" s="375"/>
      <c r="AG3" s="372"/>
      <c r="AH3" s="372"/>
      <c r="AI3" s="372"/>
      <c r="AJ3" s="373"/>
      <c r="AK3" s="374"/>
      <c r="AL3" s="372"/>
      <c r="AM3" s="372"/>
      <c r="AN3" s="372"/>
      <c r="AO3" s="371"/>
      <c r="AP3" s="375"/>
      <c r="AQ3" s="372"/>
      <c r="AR3" s="372"/>
      <c r="AS3" s="372"/>
      <c r="AT3" s="373"/>
      <c r="AU3" s="374"/>
      <c r="AV3" s="372"/>
      <c r="AW3" s="372"/>
      <c r="AX3" s="372"/>
      <c r="AY3" s="371"/>
      <c r="AZ3" s="375"/>
      <c r="BA3" s="372"/>
      <c r="BB3" s="372"/>
      <c r="BC3" s="372"/>
      <c r="BD3" s="373"/>
      <c r="BE3" s="374"/>
      <c r="BF3" s="372"/>
      <c r="BG3" s="372"/>
      <c r="BH3" s="372"/>
      <c r="BI3" s="371"/>
      <c r="BJ3" s="375"/>
      <c r="BK3" s="372"/>
      <c r="BL3" s="372"/>
      <c r="BM3" s="372"/>
      <c r="BN3" s="373"/>
      <c r="BO3" s="374"/>
      <c r="BP3" s="372"/>
      <c r="BQ3" s="372"/>
      <c r="BR3" s="372"/>
      <c r="BS3" s="371"/>
      <c r="BT3" s="375"/>
      <c r="BU3" s="372"/>
      <c r="BV3" s="372"/>
      <c r="BW3" s="372"/>
      <c r="BX3" s="373"/>
      <c r="BY3" s="374"/>
      <c r="BZ3" s="372"/>
      <c r="CA3" s="372"/>
      <c r="CB3" s="372"/>
      <c r="CC3" s="371"/>
      <c r="CD3" s="375"/>
      <c r="CE3" s="372"/>
      <c r="CF3" s="372"/>
      <c r="CG3" s="372"/>
      <c r="CH3" s="371"/>
      <c r="CI3" s="375"/>
      <c r="CJ3" s="372"/>
      <c r="CK3" s="372"/>
      <c r="CL3" s="372"/>
      <c r="CM3" s="373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</row>
    <row r="4" spans="1:121" s="29" customFormat="1" ht="156.75" customHeight="1">
      <c r="A4" s="22"/>
      <c r="B4" s="21"/>
      <c r="C4" s="21"/>
      <c r="D4" s="21"/>
      <c r="F4" s="21"/>
      <c r="G4" s="21"/>
      <c r="H4" s="30"/>
      <c r="I4" s="310" t="s">
        <v>17</v>
      </c>
      <c r="J4" s="311"/>
      <c r="K4" s="312"/>
      <c r="L4" s="421" t="s">
        <v>76</v>
      </c>
      <c r="M4" s="422" t="s">
        <v>76</v>
      </c>
      <c r="N4" s="422" t="s">
        <v>76</v>
      </c>
      <c r="O4" s="422" t="s">
        <v>76</v>
      </c>
      <c r="P4" s="423" t="s">
        <v>76</v>
      </c>
      <c r="Q4" s="421" t="s">
        <v>77</v>
      </c>
      <c r="R4" s="422" t="s">
        <v>76</v>
      </c>
      <c r="S4" s="422" t="s">
        <v>76</v>
      </c>
      <c r="T4" s="422" t="s">
        <v>76</v>
      </c>
      <c r="U4" s="424" t="s">
        <v>76</v>
      </c>
      <c r="V4" s="425" t="s">
        <v>76</v>
      </c>
      <c r="W4" s="372" t="s">
        <v>93</v>
      </c>
      <c r="X4" s="372"/>
      <c r="Y4" s="372"/>
      <c r="Z4" s="373"/>
      <c r="AA4" s="374"/>
      <c r="AB4" s="372"/>
      <c r="AC4" s="372"/>
      <c r="AD4" s="372"/>
      <c r="AE4" s="371"/>
      <c r="AF4" s="375"/>
      <c r="AG4" s="372"/>
      <c r="AH4" s="372"/>
      <c r="AI4" s="372"/>
      <c r="AJ4" s="373"/>
      <c r="AK4" s="374"/>
      <c r="AL4" s="372"/>
      <c r="AM4" s="372"/>
      <c r="AN4" s="372"/>
      <c r="AO4" s="371"/>
      <c r="AP4" s="375"/>
      <c r="AQ4" s="372"/>
      <c r="AR4" s="372"/>
      <c r="AS4" s="372"/>
      <c r="AT4" s="373"/>
      <c r="AU4" s="374"/>
      <c r="AV4" s="372"/>
      <c r="AW4" s="372"/>
      <c r="AX4" s="372"/>
      <c r="AY4" s="371"/>
      <c r="AZ4" s="375"/>
      <c r="BA4" s="372"/>
      <c r="BB4" s="372"/>
      <c r="BC4" s="372"/>
      <c r="BD4" s="373"/>
      <c r="BE4" s="374"/>
      <c r="BF4" s="372"/>
      <c r="BG4" s="372"/>
      <c r="BH4" s="372"/>
      <c r="BI4" s="371"/>
      <c r="BJ4" s="375"/>
      <c r="BK4" s="372"/>
      <c r="BL4" s="372"/>
      <c r="BM4" s="372"/>
      <c r="BN4" s="373"/>
      <c r="BO4" s="374"/>
      <c r="BP4" s="372"/>
      <c r="BQ4" s="372"/>
      <c r="BR4" s="372"/>
      <c r="BS4" s="371"/>
      <c r="BT4" s="375"/>
      <c r="BU4" s="372"/>
      <c r="BV4" s="372"/>
      <c r="BW4" s="372"/>
      <c r="BX4" s="373"/>
      <c r="BY4" s="374"/>
      <c r="BZ4" s="372"/>
      <c r="CA4" s="372"/>
      <c r="CB4" s="372"/>
      <c r="CC4" s="371"/>
      <c r="CD4" s="375"/>
      <c r="CE4" s="372"/>
      <c r="CF4" s="372"/>
      <c r="CG4" s="372"/>
      <c r="CH4" s="371"/>
      <c r="CI4" s="375"/>
      <c r="CJ4" s="372"/>
      <c r="CK4" s="372"/>
      <c r="CL4" s="372"/>
      <c r="CM4" s="373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6"/>
      <c r="DF4" s="28"/>
      <c r="DG4" s="26"/>
      <c r="DH4" s="28"/>
      <c r="DI4" s="26"/>
      <c r="DJ4" s="28"/>
      <c r="DK4" s="26"/>
      <c r="DL4" s="28"/>
      <c r="DM4" s="26"/>
      <c r="DN4" s="28"/>
      <c r="DO4" s="26"/>
      <c r="DP4" s="28"/>
      <c r="DQ4" s="28"/>
    </row>
    <row r="5" spans="1:121" s="21" customFormat="1" ht="408" customHeight="1">
      <c r="A5" s="22"/>
      <c r="H5" s="30" t="s">
        <v>18</v>
      </c>
      <c r="I5" s="203" t="s">
        <v>7</v>
      </c>
      <c r="J5" s="204"/>
      <c r="K5" s="313"/>
      <c r="L5" s="426" t="s">
        <v>69</v>
      </c>
      <c r="M5" s="427" t="s">
        <v>72</v>
      </c>
      <c r="N5" s="427" t="s">
        <v>71</v>
      </c>
      <c r="O5" s="427" t="s">
        <v>83</v>
      </c>
      <c r="P5" s="428" t="s">
        <v>82</v>
      </c>
      <c r="Q5" s="426"/>
      <c r="R5" s="427" t="s">
        <v>56</v>
      </c>
      <c r="S5" s="427" t="s">
        <v>59</v>
      </c>
      <c r="T5" s="427" t="s">
        <v>57</v>
      </c>
      <c r="U5" s="429" t="s">
        <v>58</v>
      </c>
      <c r="V5" s="430" t="s">
        <v>55</v>
      </c>
      <c r="W5" s="372" t="s">
        <v>93</v>
      </c>
      <c r="X5" s="372"/>
      <c r="Y5" s="372"/>
      <c r="Z5" s="373"/>
      <c r="AA5" s="374"/>
      <c r="AB5" s="372"/>
      <c r="AC5" s="372"/>
      <c r="AD5" s="372"/>
      <c r="AE5" s="371"/>
      <c r="AF5" s="375"/>
      <c r="AG5" s="372"/>
      <c r="AH5" s="372"/>
      <c r="AI5" s="372"/>
      <c r="AJ5" s="373"/>
      <c r="AK5" s="374"/>
      <c r="AL5" s="372"/>
      <c r="AM5" s="372"/>
      <c r="AN5" s="372"/>
      <c r="AO5" s="371"/>
      <c r="AP5" s="375"/>
      <c r="AQ5" s="372"/>
      <c r="AR5" s="372"/>
      <c r="AS5" s="372"/>
      <c r="AT5" s="373"/>
      <c r="AU5" s="374"/>
      <c r="AV5" s="372"/>
      <c r="AW5" s="372"/>
      <c r="AX5" s="372"/>
      <c r="AY5" s="371"/>
      <c r="AZ5" s="375"/>
      <c r="BA5" s="372"/>
      <c r="BB5" s="372"/>
      <c r="BC5" s="372"/>
      <c r="BD5" s="373"/>
      <c r="BE5" s="374"/>
      <c r="BF5" s="372"/>
      <c r="BG5" s="372"/>
      <c r="BH5" s="372"/>
      <c r="BI5" s="371"/>
      <c r="BJ5" s="375"/>
      <c r="BK5" s="372"/>
      <c r="BL5" s="372"/>
      <c r="BM5" s="372"/>
      <c r="BN5" s="373"/>
      <c r="BO5" s="374"/>
      <c r="BP5" s="372"/>
      <c r="BQ5" s="372"/>
      <c r="BR5" s="372"/>
      <c r="BS5" s="371"/>
      <c r="BT5" s="375"/>
      <c r="BU5" s="372"/>
      <c r="BV5" s="372"/>
      <c r="BW5" s="372"/>
      <c r="BX5" s="373"/>
      <c r="BY5" s="374"/>
      <c r="BZ5" s="372"/>
      <c r="CA5" s="372"/>
      <c r="CB5" s="372"/>
      <c r="CC5" s="371"/>
      <c r="CD5" s="375"/>
      <c r="CE5" s="372"/>
      <c r="CF5" s="372"/>
      <c r="CG5" s="372"/>
      <c r="CH5" s="371"/>
      <c r="CI5" s="375"/>
      <c r="CJ5" s="372"/>
      <c r="CK5" s="372"/>
      <c r="CL5" s="372"/>
      <c r="CM5" s="373"/>
      <c r="CN5" s="31"/>
      <c r="CO5" s="32"/>
      <c r="CP5" s="31"/>
      <c r="CQ5" s="32"/>
      <c r="CR5" s="31"/>
      <c r="CS5" s="32"/>
      <c r="CT5" s="31"/>
      <c r="CU5" s="32"/>
      <c r="CV5" s="31"/>
      <c r="CW5" s="33"/>
      <c r="CX5" s="31"/>
      <c r="CY5" s="33"/>
      <c r="CZ5" s="31"/>
      <c r="DA5" s="31"/>
      <c r="DB5" s="31"/>
      <c r="DC5" s="32"/>
      <c r="DD5" s="31"/>
      <c r="DE5" s="31"/>
      <c r="DF5" s="31"/>
      <c r="DG5" s="31"/>
      <c r="DH5" s="31"/>
      <c r="DI5" s="31"/>
      <c r="DJ5" s="31"/>
      <c r="DK5" s="32"/>
      <c r="DL5" s="31"/>
      <c r="DM5" s="33"/>
      <c r="DN5" s="31"/>
      <c r="DO5" s="31"/>
      <c r="DP5" s="31"/>
      <c r="DQ5" s="33"/>
    </row>
    <row r="6" spans="1:121" s="21" customFormat="1" ht="140.25" customHeight="1" thickBot="1">
      <c r="A6" s="22"/>
      <c r="D6" s="197"/>
      <c r="E6" s="197" t="s">
        <v>19</v>
      </c>
      <c r="I6" s="232" t="s">
        <v>20</v>
      </c>
      <c r="J6" s="233"/>
      <c r="K6" s="314"/>
      <c r="L6" s="431" t="s">
        <v>66</v>
      </c>
      <c r="M6" s="432" t="s">
        <v>64</v>
      </c>
      <c r="N6" s="432" t="s">
        <v>65</v>
      </c>
      <c r="O6" s="432" t="s">
        <v>67</v>
      </c>
      <c r="P6" s="433" t="s">
        <v>68</v>
      </c>
      <c r="Q6" s="431"/>
      <c r="R6" s="432" t="s">
        <v>21</v>
      </c>
      <c r="S6" s="432" t="s">
        <v>63</v>
      </c>
      <c r="T6" s="432" t="s">
        <v>61</v>
      </c>
      <c r="U6" s="434" t="s">
        <v>62</v>
      </c>
      <c r="V6" s="435" t="s">
        <v>60</v>
      </c>
      <c r="W6" s="393" t="s">
        <v>92</v>
      </c>
      <c r="X6" s="393"/>
      <c r="Y6" s="393"/>
      <c r="Z6" s="396"/>
      <c r="AA6" s="400"/>
      <c r="AB6" s="393"/>
      <c r="AC6" s="393"/>
      <c r="AD6" s="393"/>
      <c r="AE6" s="394"/>
      <c r="AF6" s="395"/>
      <c r="AG6" s="393"/>
      <c r="AH6" s="393"/>
      <c r="AI6" s="393"/>
      <c r="AJ6" s="396"/>
      <c r="AK6" s="400"/>
      <c r="AL6" s="393"/>
      <c r="AM6" s="393"/>
      <c r="AN6" s="393"/>
      <c r="AO6" s="394"/>
      <c r="AP6" s="395"/>
      <c r="AQ6" s="393"/>
      <c r="AR6" s="393"/>
      <c r="AS6" s="393"/>
      <c r="AT6" s="396"/>
      <c r="AU6" s="400"/>
      <c r="AV6" s="393"/>
      <c r="AW6" s="393"/>
      <c r="AX6" s="393"/>
      <c r="AY6" s="394"/>
      <c r="AZ6" s="395"/>
      <c r="BA6" s="393"/>
      <c r="BB6" s="393"/>
      <c r="BC6" s="393"/>
      <c r="BD6" s="396"/>
      <c r="BE6" s="400"/>
      <c r="BF6" s="393"/>
      <c r="BG6" s="393"/>
      <c r="BH6" s="393"/>
      <c r="BI6" s="394"/>
      <c r="BJ6" s="395"/>
      <c r="BK6" s="393"/>
      <c r="BL6" s="393"/>
      <c r="BM6" s="393"/>
      <c r="BN6" s="396"/>
      <c r="BO6" s="400"/>
      <c r="BP6" s="393"/>
      <c r="BQ6" s="393"/>
      <c r="BR6" s="393"/>
      <c r="BS6" s="394"/>
      <c r="BT6" s="395"/>
      <c r="BU6" s="393"/>
      <c r="BV6" s="393"/>
      <c r="BW6" s="393"/>
      <c r="BX6" s="396"/>
      <c r="BY6" s="400"/>
      <c r="BZ6" s="393"/>
      <c r="CA6" s="393"/>
      <c r="CB6" s="393"/>
      <c r="CC6" s="394"/>
      <c r="CD6" s="395"/>
      <c r="CE6" s="393"/>
      <c r="CF6" s="393"/>
      <c r="CG6" s="393"/>
      <c r="CH6" s="394"/>
      <c r="CI6" s="395"/>
      <c r="CJ6" s="393"/>
      <c r="CK6" s="393"/>
      <c r="CL6" s="393"/>
      <c r="CM6" s="396"/>
      <c r="CN6" s="28"/>
      <c r="CO6" s="28"/>
      <c r="CP6" s="28"/>
      <c r="CQ6" s="34"/>
      <c r="CR6" s="33"/>
      <c r="CS6" s="33"/>
      <c r="CT6" s="34"/>
      <c r="CU6" s="35"/>
      <c r="CV6" s="36"/>
      <c r="CW6" s="37"/>
      <c r="CX6" s="37"/>
      <c r="CY6" s="37"/>
      <c r="CZ6" s="38"/>
      <c r="DA6" s="39"/>
      <c r="DB6" s="39"/>
      <c r="DC6" s="39"/>
      <c r="DD6" s="28"/>
      <c r="DE6" s="39"/>
      <c r="DF6" s="40"/>
      <c r="DG6" s="39"/>
      <c r="DH6" s="40"/>
      <c r="DI6" s="39"/>
      <c r="DJ6" s="40"/>
      <c r="DK6" s="39"/>
      <c r="DL6" s="40"/>
      <c r="DM6" s="39"/>
      <c r="DN6" s="40"/>
      <c r="DO6" s="39"/>
      <c r="DP6" s="40"/>
      <c r="DQ6" s="40"/>
    </row>
    <row r="7" spans="1:121" s="41" customFormat="1" ht="25.5" customHeight="1">
      <c r="A7" s="221" t="s">
        <v>22</v>
      </c>
      <c r="B7" s="212" t="s">
        <v>23</v>
      </c>
      <c r="C7" s="212" t="s">
        <v>24</v>
      </c>
      <c r="D7" s="212" t="s">
        <v>25</v>
      </c>
      <c r="E7" s="212" t="s">
        <v>7</v>
      </c>
      <c r="F7" s="212" t="s">
        <v>26</v>
      </c>
      <c r="G7" s="212" t="s">
        <v>20</v>
      </c>
      <c r="H7" s="225" t="s">
        <v>27</v>
      </c>
      <c r="I7" s="318" t="s">
        <v>28</v>
      </c>
      <c r="J7" s="212"/>
      <c r="K7" s="319"/>
      <c r="L7" s="407"/>
      <c r="M7" s="402"/>
      <c r="N7" s="402"/>
      <c r="O7" s="402"/>
      <c r="P7" s="408"/>
      <c r="Q7" s="407"/>
      <c r="R7" s="402"/>
      <c r="S7" s="402"/>
      <c r="T7" s="402"/>
      <c r="U7" s="409"/>
      <c r="V7" s="401"/>
      <c r="W7" s="403" t="s">
        <v>93</v>
      </c>
      <c r="X7" s="403"/>
      <c r="Y7" s="403"/>
      <c r="Z7" s="406"/>
      <c r="AA7" s="410"/>
      <c r="AB7" s="403"/>
      <c r="AC7" s="403"/>
      <c r="AD7" s="403"/>
      <c r="AE7" s="404"/>
      <c r="AF7" s="405"/>
      <c r="AG7" s="403"/>
      <c r="AH7" s="403"/>
      <c r="AI7" s="403"/>
      <c r="AJ7" s="406"/>
      <c r="AK7" s="410"/>
      <c r="AL7" s="403"/>
      <c r="AM7" s="403"/>
      <c r="AN7" s="403"/>
      <c r="AO7" s="404"/>
      <c r="AP7" s="405"/>
      <c r="AQ7" s="403"/>
      <c r="AR7" s="403"/>
      <c r="AS7" s="403"/>
      <c r="AT7" s="406"/>
      <c r="AU7" s="410"/>
      <c r="AV7" s="403"/>
      <c r="AW7" s="403"/>
      <c r="AX7" s="403"/>
      <c r="AY7" s="404"/>
      <c r="AZ7" s="405"/>
      <c r="BA7" s="403"/>
      <c r="BB7" s="403"/>
      <c r="BC7" s="403"/>
      <c r="BD7" s="406"/>
      <c r="BE7" s="410"/>
      <c r="BF7" s="403"/>
      <c r="BG7" s="403"/>
      <c r="BH7" s="403"/>
      <c r="BI7" s="404"/>
      <c r="BJ7" s="405"/>
      <c r="BK7" s="403"/>
      <c r="BL7" s="403"/>
      <c r="BM7" s="403"/>
      <c r="BN7" s="406"/>
      <c r="BO7" s="410"/>
      <c r="BP7" s="403"/>
      <c r="BQ7" s="403"/>
      <c r="BR7" s="403"/>
      <c r="BS7" s="404"/>
      <c r="BT7" s="405"/>
      <c r="BU7" s="403"/>
      <c r="BV7" s="403"/>
      <c r="BW7" s="403"/>
      <c r="BX7" s="406"/>
      <c r="BY7" s="410"/>
      <c r="BZ7" s="403"/>
      <c r="CA7" s="403"/>
      <c r="CB7" s="403"/>
      <c r="CC7" s="404"/>
      <c r="CD7" s="405"/>
      <c r="CE7" s="403"/>
      <c r="CF7" s="403"/>
      <c r="CG7" s="403"/>
      <c r="CH7" s="404"/>
      <c r="CI7" s="405"/>
      <c r="CJ7" s="403"/>
      <c r="CK7" s="403"/>
      <c r="CL7" s="403"/>
      <c r="CM7" s="406"/>
    </row>
    <row r="8" spans="1:121" s="41" customFormat="1" ht="25.5" customHeight="1">
      <c r="A8" s="222"/>
      <c r="B8" s="213"/>
      <c r="C8" s="213"/>
      <c r="D8" s="213"/>
      <c r="E8" s="213"/>
      <c r="F8" s="213"/>
      <c r="G8" s="213"/>
      <c r="H8" s="226"/>
      <c r="I8" s="42"/>
      <c r="J8" s="214" t="s">
        <v>29</v>
      </c>
      <c r="K8" s="320"/>
      <c r="L8" s="388"/>
      <c r="M8" s="387"/>
      <c r="N8" s="387"/>
      <c r="O8" s="387"/>
      <c r="P8" s="389"/>
      <c r="Q8" s="388"/>
      <c r="R8" s="387"/>
      <c r="S8" s="387"/>
      <c r="T8" s="387"/>
      <c r="U8" s="390"/>
      <c r="V8" s="386"/>
      <c r="W8" s="372" t="s">
        <v>93</v>
      </c>
      <c r="X8" s="372"/>
      <c r="Y8" s="372"/>
      <c r="Z8" s="373"/>
      <c r="AA8" s="374"/>
      <c r="AB8" s="372"/>
      <c r="AC8" s="372"/>
      <c r="AD8" s="372"/>
      <c r="AE8" s="371"/>
      <c r="AF8" s="375"/>
      <c r="AG8" s="372"/>
      <c r="AH8" s="372"/>
      <c r="AI8" s="372"/>
      <c r="AJ8" s="373"/>
      <c r="AK8" s="374"/>
      <c r="AL8" s="372"/>
      <c r="AM8" s="372"/>
      <c r="AN8" s="372"/>
      <c r="AO8" s="371"/>
      <c r="AP8" s="375"/>
      <c r="AQ8" s="372"/>
      <c r="AR8" s="372"/>
      <c r="AS8" s="372"/>
      <c r="AT8" s="373"/>
      <c r="AU8" s="374"/>
      <c r="AV8" s="372"/>
      <c r="AW8" s="372"/>
      <c r="AX8" s="372"/>
      <c r="AY8" s="371"/>
      <c r="AZ8" s="375"/>
      <c r="BA8" s="372"/>
      <c r="BB8" s="372"/>
      <c r="BC8" s="372"/>
      <c r="BD8" s="373"/>
      <c r="BE8" s="374"/>
      <c r="BF8" s="372"/>
      <c r="BG8" s="372"/>
      <c r="BH8" s="372"/>
      <c r="BI8" s="371"/>
      <c r="BJ8" s="375"/>
      <c r="BK8" s="372"/>
      <c r="BL8" s="372"/>
      <c r="BM8" s="372"/>
      <c r="BN8" s="373"/>
      <c r="BO8" s="374"/>
      <c r="BP8" s="372"/>
      <c r="BQ8" s="372"/>
      <c r="BR8" s="372"/>
      <c r="BS8" s="371"/>
      <c r="BT8" s="375"/>
      <c r="BU8" s="372"/>
      <c r="BV8" s="372"/>
      <c r="BW8" s="372"/>
      <c r="BX8" s="373"/>
      <c r="BY8" s="374"/>
      <c r="BZ8" s="372"/>
      <c r="CA8" s="372"/>
      <c r="CB8" s="372"/>
      <c r="CC8" s="371"/>
      <c r="CD8" s="375"/>
      <c r="CE8" s="372"/>
      <c r="CF8" s="372"/>
      <c r="CG8" s="372"/>
      <c r="CH8" s="371"/>
      <c r="CI8" s="375"/>
      <c r="CJ8" s="372"/>
      <c r="CK8" s="372"/>
      <c r="CL8" s="372"/>
      <c r="CM8" s="373"/>
    </row>
    <row r="9" spans="1:121" s="41" customFormat="1" ht="25.5" customHeight="1" thickBot="1">
      <c r="A9" s="315"/>
      <c r="B9" s="316"/>
      <c r="C9" s="316"/>
      <c r="D9" s="316"/>
      <c r="E9" s="316"/>
      <c r="F9" s="316"/>
      <c r="G9" s="316"/>
      <c r="H9" s="317"/>
      <c r="I9" s="43"/>
      <c r="J9" s="191"/>
      <c r="K9" s="44" t="s">
        <v>30</v>
      </c>
      <c r="L9" s="413"/>
      <c r="M9" s="412"/>
      <c r="N9" s="412"/>
      <c r="O9" s="412"/>
      <c r="P9" s="414"/>
      <c r="Q9" s="413"/>
      <c r="R9" s="412"/>
      <c r="S9" s="412"/>
      <c r="T9" s="412"/>
      <c r="U9" s="415"/>
      <c r="V9" s="411"/>
      <c r="W9" s="377" t="s">
        <v>93</v>
      </c>
      <c r="X9" s="377"/>
      <c r="Y9" s="377"/>
      <c r="Z9" s="378"/>
      <c r="AA9" s="379"/>
      <c r="AB9" s="377"/>
      <c r="AC9" s="377"/>
      <c r="AD9" s="377"/>
      <c r="AE9" s="376"/>
      <c r="AF9" s="380"/>
      <c r="AG9" s="377"/>
      <c r="AH9" s="377"/>
      <c r="AI9" s="377"/>
      <c r="AJ9" s="378"/>
      <c r="AK9" s="379"/>
      <c r="AL9" s="377"/>
      <c r="AM9" s="377"/>
      <c r="AN9" s="377"/>
      <c r="AO9" s="376"/>
      <c r="AP9" s="380"/>
      <c r="AQ9" s="377"/>
      <c r="AR9" s="377"/>
      <c r="AS9" s="377"/>
      <c r="AT9" s="378"/>
      <c r="AU9" s="379"/>
      <c r="AV9" s="377"/>
      <c r="AW9" s="377"/>
      <c r="AX9" s="377"/>
      <c r="AY9" s="376"/>
      <c r="AZ9" s="380"/>
      <c r="BA9" s="377"/>
      <c r="BB9" s="377"/>
      <c r="BC9" s="377"/>
      <c r="BD9" s="378"/>
      <c r="BE9" s="379"/>
      <c r="BF9" s="377"/>
      <c r="BG9" s="377"/>
      <c r="BH9" s="377"/>
      <c r="BI9" s="376"/>
      <c r="BJ9" s="380"/>
      <c r="BK9" s="377"/>
      <c r="BL9" s="377"/>
      <c r="BM9" s="377"/>
      <c r="BN9" s="378"/>
      <c r="BO9" s="379"/>
      <c r="BP9" s="377"/>
      <c r="BQ9" s="377"/>
      <c r="BR9" s="377"/>
      <c r="BS9" s="376"/>
      <c r="BT9" s="380"/>
      <c r="BU9" s="377"/>
      <c r="BV9" s="377"/>
      <c r="BW9" s="377"/>
      <c r="BX9" s="378"/>
      <c r="BY9" s="379"/>
      <c r="BZ9" s="377"/>
      <c r="CA9" s="377"/>
      <c r="CB9" s="377"/>
      <c r="CC9" s="376"/>
      <c r="CD9" s="380"/>
      <c r="CE9" s="377"/>
      <c r="CF9" s="377"/>
      <c r="CG9" s="377"/>
      <c r="CH9" s="376"/>
      <c r="CI9" s="380"/>
      <c r="CJ9" s="377"/>
      <c r="CK9" s="377"/>
      <c r="CL9" s="377"/>
      <c r="CM9" s="378"/>
    </row>
    <row r="10" spans="1:121" ht="25.5" hidden="1" customHeight="1">
      <c r="A10" s="100">
        <v>4003</v>
      </c>
      <c r="B10" s="101" t="s">
        <v>11</v>
      </c>
      <c r="C10" s="101" t="s">
        <v>44</v>
      </c>
      <c r="D10" s="101" t="s">
        <v>76</v>
      </c>
      <c r="E10" s="102" t="s">
        <v>53</v>
      </c>
      <c r="F10" s="101"/>
      <c r="G10" s="102" t="s">
        <v>574</v>
      </c>
      <c r="H10" s="177" t="s">
        <v>54</v>
      </c>
      <c r="I10" s="104"/>
      <c r="J10" s="102"/>
      <c r="K10" s="103"/>
      <c r="L10" s="347" t="s">
        <v>78</v>
      </c>
      <c r="M10" s="342" t="s">
        <v>77</v>
      </c>
      <c r="N10" s="342"/>
      <c r="O10" s="342" t="s">
        <v>77</v>
      </c>
      <c r="P10" s="348" t="s">
        <v>77</v>
      </c>
      <c r="Q10" s="347"/>
      <c r="R10" s="342"/>
      <c r="S10" s="342"/>
      <c r="T10" s="342"/>
      <c r="U10" s="349" t="s">
        <v>80</v>
      </c>
      <c r="V10" s="341"/>
      <c r="W10" s="343"/>
      <c r="X10" s="343"/>
      <c r="Y10" s="343"/>
      <c r="Z10" s="346"/>
      <c r="AA10" s="350"/>
      <c r="AB10" s="343"/>
      <c r="AC10" s="343"/>
      <c r="AD10" s="343"/>
      <c r="AE10" s="344"/>
      <c r="AF10" s="345"/>
      <c r="AG10" s="343"/>
      <c r="AH10" s="343"/>
      <c r="AI10" s="343"/>
      <c r="AJ10" s="346"/>
      <c r="AK10" s="350"/>
      <c r="AL10" s="343"/>
      <c r="AM10" s="343"/>
      <c r="AN10" s="343"/>
      <c r="AO10" s="344"/>
      <c r="AP10" s="345"/>
      <c r="AQ10" s="343"/>
      <c r="AR10" s="343"/>
      <c r="AS10" s="343"/>
      <c r="AT10" s="346"/>
      <c r="AU10" s="350"/>
      <c r="AV10" s="343"/>
      <c r="AW10" s="343"/>
      <c r="AX10" s="343"/>
      <c r="AY10" s="344"/>
      <c r="AZ10" s="345"/>
      <c r="BA10" s="343"/>
      <c r="BB10" s="343"/>
      <c r="BC10" s="343"/>
      <c r="BD10" s="346"/>
      <c r="BE10" s="350"/>
      <c r="BF10" s="343"/>
      <c r="BG10" s="343"/>
      <c r="BH10" s="343"/>
      <c r="BI10" s="344"/>
      <c r="BJ10" s="345"/>
      <c r="BK10" s="343"/>
      <c r="BL10" s="343"/>
      <c r="BM10" s="343"/>
      <c r="BN10" s="346"/>
      <c r="BO10" s="350"/>
      <c r="BP10" s="343"/>
      <c r="BQ10" s="343"/>
      <c r="BR10" s="343"/>
      <c r="BS10" s="344"/>
      <c r="BT10" s="345"/>
      <c r="BU10" s="343"/>
      <c r="BV10" s="343"/>
      <c r="BW10" s="343"/>
      <c r="BX10" s="346"/>
      <c r="BY10" s="350"/>
      <c r="BZ10" s="343"/>
      <c r="CA10" s="343"/>
      <c r="CB10" s="343"/>
      <c r="CC10" s="344"/>
      <c r="CD10" s="345"/>
      <c r="CE10" s="343"/>
      <c r="CF10" s="343"/>
      <c r="CG10" s="343"/>
      <c r="CH10" s="344"/>
      <c r="CI10" s="345"/>
      <c r="CJ10" s="343"/>
      <c r="CK10" s="343"/>
      <c r="CL10" s="343"/>
      <c r="CM10" s="346"/>
      <c r="CN10" s="45"/>
      <c r="CO10" s="45"/>
      <c r="CP10" s="45"/>
      <c r="CQ10" s="45"/>
      <c r="CR10" s="45"/>
      <c r="CS10" s="45"/>
      <c r="CT10" s="45"/>
      <c r="CU10" s="45"/>
      <c r="CV10" s="45"/>
      <c r="CW10" s="45"/>
      <c r="CX10" s="45"/>
      <c r="CY10" s="45"/>
      <c r="CZ10" s="45"/>
      <c r="DA10" s="45"/>
      <c r="DB10" s="45"/>
      <c r="DC10" s="45"/>
      <c r="DD10" s="45"/>
      <c r="DE10" s="45"/>
      <c r="DF10" s="45"/>
      <c r="DG10" s="45"/>
      <c r="DH10" s="45"/>
      <c r="DI10" s="45"/>
      <c r="DJ10" s="45"/>
      <c r="DK10" s="45"/>
      <c r="DL10" s="45"/>
      <c r="DM10" s="45"/>
      <c r="DN10" s="45"/>
    </row>
    <row r="11" spans="1:121" ht="25.5" customHeight="1">
      <c r="A11" s="321">
        <v>4004</v>
      </c>
      <c r="B11" s="322" t="s">
        <v>11</v>
      </c>
      <c r="C11" s="322" t="s">
        <v>44</v>
      </c>
      <c r="D11" s="322" t="s">
        <v>76</v>
      </c>
      <c r="E11" s="323" t="s">
        <v>53</v>
      </c>
      <c r="F11" s="322"/>
      <c r="G11" s="323" t="s">
        <v>576</v>
      </c>
      <c r="H11" s="324" t="s">
        <v>54</v>
      </c>
      <c r="I11" s="325"/>
      <c r="J11" s="323"/>
      <c r="K11" s="326"/>
      <c r="L11" s="327" t="s">
        <v>78</v>
      </c>
      <c r="M11" s="322" t="s">
        <v>77</v>
      </c>
      <c r="N11" s="322"/>
      <c r="O11" s="322" t="s">
        <v>77</v>
      </c>
      <c r="P11" s="328" t="s">
        <v>77</v>
      </c>
      <c r="Q11" s="327"/>
      <c r="R11" s="322"/>
      <c r="S11" s="322"/>
      <c r="T11" s="322"/>
      <c r="U11" s="329" t="s">
        <v>80</v>
      </c>
      <c r="V11" s="321"/>
      <c r="W11" s="323"/>
      <c r="X11" s="323"/>
      <c r="Y11" s="323"/>
      <c r="Z11" s="326"/>
      <c r="AA11" s="330"/>
      <c r="AB11" s="323"/>
      <c r="AC11" s="323"/>
      <c r="AD11" s="323"/>
      <c r="AE11" s="324"/>
      <c r="AF11" s="325"/>
      <c r="AG11" s="323"/>
      <c r="AH11" s="323"/>
      <c r="AI11" s="323"/>
      <c r="AJ11" s="326"/>
      <c r="AK11" s="330"/>
      <c r="AL11" s="323"/>
      <c r="AM11" s="323"/>
      <c r="AN11" s="323"/>
      <c r="AO11" s="324"/>
      <c r="AP11" s="325"/>
      <c r="AQ11" s="323"/>
      <c r="AR11" s="323"/>
      <c r="AS11" s="323"/>
      <c r="AT11" s="326"/>
      <c r="AU11" s="330"/>
      <c r="AV11" s="323"/>
      <c r="AW11" s="323"/>
      <c r="AX11" s="323"/>
      <c r="AY11" s="324"/>
      <c r="AZ11" s="325"/>
      <c r="BA11" s="323"/>
      <c r="BB11" s="323"/>
      <c r="BC11" s="323"/>
      <c r="BD11" s="326"/>
      <c r="BE11" s="330"/>
      <c r="BF11" s="323"/>
      <c r="BG11" s="323"/>
      <c r="BH11" s="323"/>
      <c r="BI11" s="324"/>
      <c r="BJ11" s="325"/>
      <c r="BK11" s="323"/>
      <c r="BL11" s="323"/>
      <c r="BM11" s="323"/>
      <c r="BN11" s="326"/>
      <c r="BO11" s="330"/>
      <c r="BP11" s="323"/>
      <c r="BQ11" s="323"/>
      <c r="BR11" s="323"/>
      <c r="BS11" s="324"/>
      <c r="BT11" s="325"/>
      <c r="BU11" s="323"/>
      <c r="BV11" s="323"/>
      <c r="BW11" s="323"/>
      <c r="BX11" s="326"/>
      <c r="BY11" s="330"/>
      <c r="BZ11" s="323"/>
      <c r="CA11" s="323"/>
      <c r="CB11" s="323"/>
      <c r="CC11" s="324"/>
      <c r="CD11" s="325"/>
      <c r="CE11" s="323"/>
      <c r="CF11" s="323"/>
      <c r="CG11" s="323"/>
      <c r="CH11" s="324"/>
      <c r="CI11" s="325"/>
      <c r="CJ11" s="323"/>
      <c r="CK11" s="323"/>
      <c r="CL11" s="323"/>
      <c r="CM11" s="326"/>
      <c r="CN11" s="46"/>
      <c r="CO11" s="45"/>
      <c r="CP11" s="45"/>
      <c r="CQ11" s="45"/>
      <c r="CR11" s="46"/>
      <c r="CS11" s="45"/>
      <c r="CT11" s="45"/>
      <c r="CU11" s="45"/>
      <c r="CV11" s="45"/>
      <c r="CW11" s="45"/>
      <c r="CX11" s="46"/>
      <c r="CY11" s="45"/>
      <c r="CZ11" s="45"/>
      <c r="DA11" s="46"/>
      <c r="DB11" s="47"/>
      <c r="DC11" s="46"/>
      <c r="DD11" s="46"/>
      <c r="DE11" s="45"/>
      <c r="DF11" s="46"/>
      <c r="DG11" s="46"/>
      <c r="DH11" s="45"/>
      <c r="DI11" s="45"/>
      <c r="DJ11" s="45"/>
      <c r="DK11" s="45"/>
      <c r="DL11" s="45"/>
      <c r="DM11" s="45"/>
      <c r="DN11" s="45"/>
    </row>
    <row r="12" spans="1:121" ht="25.5" customHeight="1">
      <c r="A12" s="321">
        <v>4005</v>
      </c>
      <c r="B12" s="322" t="s">
        <v>11</v>
      </c>
      <c r="C12" s="322" t="s">
        <v>44</v>
      </c>
      <c r="D12" s="322" t="s">
        <v>76</v>
      </c>
      <c r="E12" s="323" t="s">
        <v>53</v>
      </c>
      <c r="F12" s="322"/>
      <c r="G12" s="323" t="s">
        <v>578</v>
      </c>
      <c r="H12" s="324" t="s">
        <v>54</v>
      </c>
      <c r="I12" s="325"/>
      <c r="J12" s="323"/>
      <c r="K12" s="326"/>
      <c r="L12" s="327" t="s">
        <v>78</v>
      </c>
      <c r="M12" s="322" t="s">
        <v>77</v>
      </c>
      <c r="N12" s="322"/>
      <c r="O12" s="322" t="s">
        <v>77</v>
      </c>
      <c r="P12" s="328" t="s">
        <v>77</v>
      </c>
      <c r="Q12" s="327"/>
      <c r="R12" s="322"/>
      <c r="S12" s="322"/>
      <c r="T12" s="322"/>
      <c r="U12" s="329" t="s">
        <v>80</v>
      </c>
      <c r="V12" s="321"/>
      <c r="W12" s="323"/>
      <c r="X12" s="323"/>
      <c r="Y12" s="323"/>
      <c r="Z12" s="326"/>
      <c r="AA12" s="330"/>
      <c r="AB12" s="323"/>
      <c r="AC12" s="323"/>
      <c r="AD12" s="323"/>
      <c r="AE12" s="324"/>
      <c r="AF12" s="325"/>
      <c r="AG12" s="323"/>
      <c r="AH12" s="323"/>
      <c r="AI12" s="323"/>
      <c r="AJ12" s="326"/>
      <c r="AK12" s="330"/>
      <c r="AL12" s="323"/>
      <c r="AM12" s="323"/>
      <c r="AN12" s="323"/>
      <c r="AO12" s="324"/>
      <c r="AP12" s="325"/>
      <c r="AQ12" s="323"/>
      <c r="AR12" s="323"/>
      <c r="AS12" s="323"/>
      <c r="AT12" s="326"/>
      <c r="AU12" s="330"/>
      <c r="AV12" s="323"/>
      <c r="AW12" s="323"/>
      <c r="AX12" s="323"/>
      <c r="AY12" s="324"/>
      <c r="AZ12" s="325"/>
      <c r="BA12" s="323"/>
      <c r="BB12" s="323"/>
      <c r="BC12" s="323"/>
      <c r="BD12" s="326"/>
      <c r="BE12" s="330"/>
      <c r="BF12" s="323"/>
      <c r="BG12" s="323"/>
      <c r="BH12" s="323"/>
      <c r="BI12" s="324"/>
      <c r="BJ12" s="325"/>
      <c r="BK12" s="323"/>
      <c r="BL12" s="323"/>
      <c r="BM12" s="323"/>
      <c r="BN12" s="326"/>
      <c r="BO12" s="330"/>
      <c r="BP12" s="323"/>
      <c r="BQ12" s="323"/>
      <c r="BR12" s="323"/>
      <c r="BS12" s="324"/>
      <c r="BT12" s="325"/>
      <c r="BU12" s="323"/>
      <c r="BV12" s="323"/>
      <c r="BW12" s="323"/>
      <c r="BX12" s="326"/>
      <c r="BY12" s="330"/>
      <c r="BZ12" s="323"/>
      <c r="CA12" s="323"/>
      <c r="CB12" s="323"/>
      <c r="CC12" s="324"/>
      <c r="CD12" s="325"/>
      <c r="CE12" s="323"/>
      <c r="CF12" s="323"/>
      <c r="CG12" s="323"/>
      <c r="CH12" s="324"/>
      <c r="CI12" s="325"/>
      <c r="CJ12" s="323"/>
      <c r="CK12" s="323"/>
      <c r="CL12" s="323"/>
      <c r="CM12" s="326"/>
      <c r="CN12" s="45"/>
      <c r="CO12" s="45"/>
      <c r="CP12" s="45"/>
      <c r="CQ12" s="45"/>
      <c r="CR12" s="45"/>
      <c r="CS12" s="45"/>
      <c r="CT12" s="45"/>
      <c r="CU12" s="45"/>
      <c r="CV12" s="45"/>
      <c r="CW12" s="45"/>
      <c r="CX12" s="46"/>
      <c r="CY12" s="45"/>
      <c r="CZ12" s="45"/>
      <c r="DA12" s="46"/>
      <c r="DB12" s="45"/>
      <c r="DC12" s="46"/>
      <c r="DD12" s="46"/>
      <c r="DE12" s="45"/>
      <c r="DF12" s="46"/>
      <c r="DG12" s="46"/>
      <c r="DH12" s="45"/>
      <c r="DI12" s="45"/>
      <c r="DJ12" s="45"/>
      <c r="DK12" s="45"/>
      <c r="DL12" s="45"/>
      <c r="DM12" s="45"/>
      <c r="DN12" s="45"/>
    </row>
    <row r="13" spans="1:121" ht="25.5" hidden="1" customHeight="1">
      <c r="A13" s="321">
        <v>4006</v>
      </c>
      <c r="B13" s="322" t="s">
        <v>11</v>
      </c>
      <c r="C13" s="322" t="s">
        <v>44</v>
      </c>
      <c r="D13" s="322" t="s">
        <v>76</v>
      </c>
      <c r="E13" s="323" t="s">
        <v>53</v>
      </c>
      <c r="F13" s="322"/>
      <c r="G13" s="323" t="s">
        <v>580</v>
      </c>
      <c r="H13" s="324" t="s">
        <v>54</v>
      </c>
      <c r="I13" s="325"/>
      <c r="J13" s="323"/>
      <c r="K13" s="326"/>
      <c r="L13" s="327" t="s">
        <v>78</v>
      </c>
      <c r="M13" s="322" t="s">
        <v>77</v>
      </c>
      <c r="N13" s="322"/>
      <c r="O13" s="322" t="s">
        <v>77</v>
      </c>
      <c r="P13" s="328" t="s">
        <v>77</v>
      </c>
      <c r="Q13" s="327"/>
      <c r="R13" s="322"/>
      <c r="S13" s="322"/>
      <c r="T13" s="322"/>
      <c r="U13" s="329" t="s">
        <v>80</v>
      </c>
      <c r="V13" s="321"/>
      <c r="W13" s="323"/>
      <c r="X13" s="323"/>
      <c r="Y13" s="323"/>
      <c r="Z13" s="326"/>
      <c r="AA13" s="330"/>
      <c r="AB13" s="323"/>
      <c r="AC13" s="323"/>
      <c r="AD13" s="323"/>
      <c r="AE13" s="324"/>
      <c r="AF13" s="325"/>
      <c r="AG13" s="323"/>
      <c r="AH13" s="323"/>
      <c r="AI13" s="323"/>
      <c r="AJ13" s="326"/>
      <c r="AK13" s="330"/>
      <c r="AL13" s="323"/>
      <c r="AM13" s="323"/>
      <c r="AN13" s="323"/>
      <c r="AO13" s="324"/>
      <c r="AP13" s="325"/>
      <c r="AQ13" s="323"/>
      <c r="AR13" s="323"/>
      <c r="AS13" s="323"/>
      <c r="AT13" s="326"/>
      <c r="AU13" s="330"/>
      <c r="AV13" s="323"/>
      <c r="AW13" s="323"/>
      <c r="AX13" s="323"/>
      <c r="AY13" s="324"/>
      <c r="AZ13" s="325"/>
      <c r="BA13" s="323"/>
      <c r="BB13" s="323"/>
      <c r="BC13" s="323"/>
      <c r="BD13" s="326"/>
      <c r="BE13" s="330"/>
      <c r="BF13" s="323"/>
      <c r="BG13" s="323"/>
      <c r="BH13" s="323"/>
      <c r="BI13" s="324"/>
      <c r="BJ13" s="325"/>
      <c r="BK13" s="323"/>
      <c r="BL13" s="323"/>
      <c r="BM13" s="323"/>
      <c r="BN13" s="326"/>
      <c r="BO13" s="330"/>
      <c r="BP13" s="323"/>
      <c r="BQ13" s="323"/>
      <c r="BR13" s="323"/>
      <c r="BS13" s="324"/>
      <c r="BT13" s="325"/>
      <c r="BU13" s="323"/>
      <c r="BV13" s="323"/>
      <c r="BW13" s="323"/>
      <c r="BX13" s="326"/>
      <c r="BY13" s="330"/>
      <c r="BZ13" s="323"/>
      <c r="CA13" s="323"/>
      <c r="CB13" s="323"/>
      <c r="CC13" s="324"/>
      <c r="CD13" s="325"/>
      <c r="CE13" s="323"/>
      <c r="CF13" s="323"/>
      <c r="CG13" s="323"/>
      <c r="CH13" s="324"/>
      <c r="CI13" s="325"/>
      <c r="CJ13" s="323"/>
      <c r="CK13" s="323"/>
      <c r="CL13" s="323"/>
      <c r="CM13" s="326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  <c r="DA13" s="45"/>
      <c r="DB13" s="45"/>
      <c r="DC13" s="45"/>
      <c r="DD13" s="45"/>
      <c r="DE13" s="45"/>
      <c r="DF13" s="45"/>
      <c r="DG13" s="46"/>
      <c r="DH13" s="45"/>
      <c r="DI13" s="45"/>
      <c r="DJ13" s="45"/>
      <c r="DK13" s="45"/>
      <c r="DL13" s="45"/>
      <c r="DM13" s="45"/>
      <c r="DN13" s="45"/>
    </row>
    <row r="14" spans="1:121" ht="25.5" hidden="1" customHeight="1" thickBot="1">
      <c r="A14" s="331">
        <v>4007</v>
      </c>
      <c r="B14" s="332" t="s">
        <v>11</v>
      </c>
      <c r="C14" s="332" t="s">
        <v>44</v>
      </c>
      <c r="D14" s="332" t="s">
        <v>76</v>
      </c>
      <c r="E14" s="333" t="s">
        <v>53</v>
      </c>
      <c r="F14" s="332"/>
      <c r="G14" s="333" t="s">
        <v>582</v>
      </c>
      <c r="H14" s="334" t="s">
        <v>54</v>
      </c>
      <c r="I14" s="335"/>
      <c r="J14" s="333"/>
      <c r="K14" s="336"/>
      <c r="L14" s="337" t="s">
        <v>78</v>
      </c>
      <c r="M14" s="332" t="s">
        <v>77</v>
      </c>
      <c r="N14" s="332"/>
      <c r="O14" s="332" t="s">
        <v>77</v>
      </c>
      <c r="P14" s="338" t="s">
        <v>77</v>
      </c>
      <c r="Q14" s="337"/>
      <c r="R14" s="332"/>
      <c r="S14" s="332"/>
      <c r="T14" s="332"/>
      <c r="U14" s="339" t="s">
        <v>80</v>
      </c>
      <c r="V14" s="331"/>
      <c r="W14" s="333"/>
      <c r="X14" s="333"/>
      <c r="Y14" s="333"/>
      <c r="Z14" s="336"/>
      <c r="AA14" s="340"/>
      <c r="AB14" s="333"/>
      <c r="AC14" s="333"/>
      <c r="AD14" s="333"/>
      <c r="AE14" s="334"/>
      <c r="AF14" s="335"/>
      <c r="AG14" s="333"/>
      <c r="AH14" s="333"/>
      <c r="AI14" s="333"/>
      <c r="AJ14" s="336"/>
      <c r="AK14" s="340"/>
      <c r="AL14" s="333"/>
      <c r="AM14" s="333"/>
      <c r="AN14" s="333"/>
      <c r="AO14" s="334"/>
      <c r="AP14" s="335"/>
      <c r="AQ14" s="333"/>
      <c r="AR14" s="333"/>
      <c r="AS14" s="333"/>
      <c r="AT14" s="336"/>
      <c r="AU14" s="340"/>
      <c r="AV14" s="333"/>
      <c r="AW14" s="333"/>
      <c r="AX14" s="333"/>
      <c r="AY14" s="334"/>
      <c r="AZ14" s="335"/>
      <c r="BA14" s="333"/>
      <c r="BB14" s="333"/>
      <c r="BC14" s="333"/>
      <c r="BD14" s="336"/>
      <c r="BE14" s="340"/>
      <c r="BF14" s="333"/>
      <c r="BG14" s="333"/>
      <c r="BH14" s="333"/>
      <c r="BI14" s="334"/>
      <c r="BJ14" s="335"/>
      <c r="BK14" s="333"/>
      <c r="BL14" s="333"/>
      <c r="BM14" s="333"/>
      <c r="BN14" s="336"/>
      <c r="BO14" s="340"/>
      <c r="BP14" s="333"/>
      <c r="BQ14" s="333"/>
      <c r="BR14" s="333"/>
      <c r="BS14" s="334"/>
      <c r="BT14" s="335"/>
      <c r="BU14" s="333"/>
      <c r="BV14" s="333"/>
      <c r="BW14" s="333"/>
      <c r="BX14" s="336"/>
      <c r="BY14" s="340"/>
      <c r="BZ14" s="333"/>
      <c r="CA14" s="333"/>
      <c r="CB14" s="333"/>
      <c r="CC14" s="334"/>
      <c r="CD14" s="335"/>
      <c r="CE14" s="333"/>
      <c r="CF14" s="333"/>
      <c r="CG14" s="333"/>
      <c r="CH14" s="334"/>
      <c r="CI14" s="335"/>
      <c r="CJ14" s="333"/>
      <c r="CK14" s="333"/>
      <c r="CL14" s="333"/>
      <c r="CM14" s="336"/>
      <c r="CN14" s="45"/>
      <c r="CO14" s="45"/>
      <c r="CP14" s="45"/>
      <c r="CQ14" s="45"/>
      <c r="CR14" s="45"/>
      <c r="CS14" s="45"/>
      <c r="CT14" s="45"/>
      <c r="CU14" s="45"/>
      <c r="CV14" s="45"/>
      <c r="CW14" s="45"/>
      <c r="CX14" s="45"/>
      <c r="CY14" s="45"/>
      <c r="CZ14" s="45"/>
      <c r="DA14" s="45"/>
      <c r="DB14" s="45"/>
      <c r="DC14" s="45"/>
      <c r="DD14" s="45"/>
      <c r="DE14" s="45"/>
      <c r="DF14" s="45"/>
      <c r="DG14" s="46"/>
      <c r="DH14" s="45"/>
      <c r="DI14" s="45"/>
      <c r="DJ14" s="45"/>
      <c r="DK14" s="45"/>
      <c r="DL14" s="45"/>
      <c r="DM14" s="45"/>
      <c r="DN14" s="45"/>
    </row>
    <row r="15" spans="1:121" ht="25.5" customHeight="1">
      <c r="A15" s="341">
        <v>4008</v>
      </c>
      <c r="B15" s="342" t="s">
        <v>11</v>
      </c>
      <c r="C15" s="342" t="s">
        <v>44</v>
      </c>
      <c r="D15" s="342" t="s">
        <v>76</v>
      </c>
      <c r="E15" s="343" t="s">
        <v>53</v>
      </c>
      <c r="F15" s="342"/>
      <c r="G15" s="343" t="s">
        <v>584</v>
      </c>
      <c r="H15" s="344" t="s">
        <v>54</v>
      </c>
      <c r="I15" s="345"/>
      <c r="J15" s="343"/>
      <c r="K15" s="346"/>
      <c r="L15" s="347" t="s">
        <v>78</v>
      </c>
      <c r="M15" s="342" t="s">
        <v>77</v>
      </c>
      <c r="N15" s="342"/>
      <c r="O15" s="342" t="s">
        <v>77</v>
      </c>
      <c r="P15" s="348" t="s">
        <v>77</v>
      </c>
      <c r="Q15" s="347"/>
      <c r="R15" s="342"/>
      <c r="S15" s="342"/>
      <c r="T15" s="342"/>
      <c r="U15" s="349" t="s">
        <v>80</v>
      </c>
      <c r="V15" s="341"/>
      <c r="W15" s="343"/>
      <c r="X15" s="343"/>
      <c r="Y15" s="343"/>
      <c r="Z15" s="346"/>
      <c r="AA15" s="350"/>
      <c r="AB15" s="343"/>
      <c r="AC15" s="343"/>
      <c r="AD15" s="343"/>
      <c r="AE15" s="344"/>
      <c r="AF15" s="345"/>
      <c r="AG15" s="343"/>
      <c r="AH15" s="343"/>
      <c r="AI15" s="343"/>
      <c r="AJ15" s="346"/>
      <c r="AK15" s="350"/>
      <c r="AL15" s="343"/>
      <c r="AM15" s="343"/>
      <c r="AN15" s="343"/>
      <c r="AO15" s="344"/>
      <c r="AP15" s="345"/>
      <c r="AQ15" s="343"/>
      <c r="AR15" s="343"/>
      <c r="AS15" s="343"/>
      <c r="AT15" s="346"/>
      <c r="AU15" s="350"/>
      <c r="AV15" s="343"/>
      <c r="AW15" s="343"/>
      <c r="AX15" s="343"/>
      <c r="AY15" s="344"/>
      <c r="AZ15" s="345"/>
      <c r="BA15" s="343"/>
      <c r="BB15" s="343"/>
      <c r="BC15" s="343"/>
      <c r="BD15" s="346"/>
      <c r="BE15" s="350"/>
      <c r="BF15" s="343"/>
      <c r="BG15" s="343"/>
      <c r="BH15" s="343"/>
      <c r="BI15" s="344"/>
      <c r="BJ15" s="345"/>
      <c r="BK15" s="343"/>
      <c r="BL15" s="343"/>
      <c r="BM15" s="343"/>
      <c r="BN15" s="346"/>
      <c r="BO15" s="350"/>
      <c r="BP15" s="343"/>
      <c r="BQ15" s="343"/>
      <c r="BR15" s="343"/>
      <c r="BS15" s="344"/>
      <c r="BT15" s="345"/>
      <c r="BU15" s="343"/>
      <c r="BV15" s="343"/>
      <c r="BW15" s="343"/>
      <c r="BX15" s="346"/>
      <c r="BY15" s="350"/>
      <c r="BZ15" s="343"/>
      <c r="CA15" s="343"/>
      <c r="CB15" s="343"/>
      <c r="CC15" s="344"/>
      <c r="CD15" s="345"/>
      <c r="CE15" s="343"/>
      <c r="CF15" s="343"/>
      <c r="CG15" s="343"/>
      <c r="CH15" s="344"/>
      <c r="CI15" s="345"/>
      <c r="CJ15" s="343"/>
      <c r="CK15" s="343"/>
      <c r="CL15" s="343"/>
      <c r="CM15" s="346"/>
      <c r="CN15" s="45"/>
      <c r="CO15" s="45"/>
      <c r="CP15" s="46"/>
      <c r="CQ15" s="45"/>
      <c r="CR15" s="45"/>
      <c r="CS15" s="45"/>
      <c r="CT15" s="45"/>
      <c r="CU15" s="45"/>
      <c r="CV15" s="45"/>
      <c r="CW15" s="45"/>
      <c r="CX15" s="46"/>
      <c r="CY15" s="45"/>
      <c r="CZ15" s="45"/>
      <c r="DA15" s="46"/>
      <c r="DB15" s="45"/>
      <c r="DC15" s="46"/>
      <c r="DD15" s="46"/>
      <c r="DE15" s="45"/>
      <c r="DF15" s="46"/>
      <c r="DG15" s="46"/>
      <c r="DH15" s="45"/>
      <c r="DI15" s="46"/>
      <c r="DJ15" s="46"/>
      <c r="DK15" s="45"/>
      <c r="DL15" s="46"/>
      <c r="DM15" s="45"/>
      <c r="DN15" s="45"/>
    </row>
    <row r="16" spans="1:121" ht="25.5" customHeight="1">
      <c r="A16" s="321">
        <v>4009</v>
      </c>
      <c r="B16" s="322" t="s">
        <v>11</v>
      </c>
      <c r="C16" s="322" t="s">
        <v>44</v>
      </c>
      <c r="D16" s="322" t="s">
        <v>76</v>
      </c>
      <c r="E16" s="323" t="s">
        <v>53</v>
      </c>
      <c r="F16" s="322"/>
      <c r="G16" s="323" t="s">
        <v>586</v>
      </c>
      <c r="H16" s="324" t="s">
        <v>54</v>
      </c>
      <c r="I16" s="325"/>
      <c r="J16" s="323"/>
      <c r="K16" s="326"/>
      <c r="L16" s="327" t="s">
        <v>78</v>
      </c>
      <c r="M16" s="322" t="s">
        <v>77</v>
      </c>
      <c r="N16" s="322"/>
      <c r="O16" s="322" t="s">
        <v>77</v>
      </c>
      <c r="P16" s="328" t="s">
        <v>77</v>
      </c>
      <c r="Q16" s="327"/>
      <c r="R16" s="322"/>
      <c r="S16" s="322"/>
      <c r="T16" s="322"/>
      <c r="U16" s="329" t="s">
        <v>80</v>
      </c>
      <c r="V16" s="321"/>
      <c r="W16" s="323"/>
      <c r="X16" s="323"/>
      <c r="Y16" s="323"/>
      <c r="Z16" s="326"/>
      <c r="AA16" s="330"/>
      <c r="AB16" s="323"/>
      <c r="AC16" s="323"/>
      <c r="AD16" s="323"/>
      <c r="AE16" s="324"/>
      <c r="AF16" s="325"/>
      <c r="AG16" s="323"/>
      <c r="AH16" s="323"/>
      <c r="AI16" s="323"/>
      <c r="AJ16" s="326"/>
      <c r="AK16" s="330"/>
      <c r="AL16" s="323"/>
      <c r="AM16" s="323"/>
      <c r="AN16" s="323"/>
      <c r="AO16" s="324"/>
      <c r="AP16" s="325"/>
      <c r="AQ16" s="323"/>
      <c r="AR16" s="323"/>
      <c r="AS16" s="323"/>
      <c r="AT16" s="326"/>
      <c r="AU16" s="330"/>
      <c r="AV16" s="323"/>
      <c r="AW16" s="323"/>
      <c r="AX16" s="323"/>
      <c r="AY16" s="324"/>
      <c r="AZ16" s="325"/>
      <c r="BA16" s="323"/>
      <c r="BB16" s="323"/>
      <c r="BC16" s="323"/>
      <c r="BD16" s="326"/>
      <c r="BE16" s="330"/>
      <c r="BF16" s="323"/>
      <c r="BG16" s="323"/>
      <c r="BH16" s="323"/>
      <c r="BI16" s="324"/>
      <c r="BJ16" s="325"/>
      <c r="BK16" s="323"/>
      <c r="BL16" s="323"/>
      <c r="BM16" s="323"/>
      <c r="BN16" s="326"/>
      <c r="BO16" s="330"/>
      <c r="BP16" s="323"/>
      <c r="BQ16" s="323"/>
      <c r="BR16" s="323"/>
      <c r="BS16" s="324"/>
      <c r="BT16" s="325"/>
      <c r="BU16" s="323"/>
      <c r="BV16" s="323"/>
      <c r="BW16" s="323"/>
      <c r="BX16" s="326"/>
      <c r="BY16" s="330"/>
      <c r="BZ16" s="323"/>
      <c r="CA16" s="323"/>
      <c r="CB16" s="323"/>
      <c r="CC16" s="324"/>
      <c r="CD16" s="325"/>
      <c r="CE16" s="323"/>
      <c r="CF16" s="323"/>
      <c r="CG16" s="323"/>
      <c r="CH16" s="324"/>
      <c r="CI16" s="325"/>
      <c r="CJ16" s="323"/>
      <c r="CK16" s="323"/>
      <c r="CL16" s="323"/>
      <c r="CM16" s="326"/>
      <c r="CN16" s="45"/>
      <c r="CO16" s="45"/>
      <c r="CP16" s="45"/>
      <c r="CQ16" s="45"/>
      <c r="CR16" s="45"/>
      <c r="CS16" s="45"/>
      <c r="CT16" s="45"/>
      <c r="CU16" s="45"/>
      <c r="CV16" s="45"/>
      <c r="CW16" s="45"/>
      <c r="CX16" s="45"/>
      <c r="CY16" s="45"/>
      <c r="CZ16" s="45"/>
      <c r="DA16" s="45"/>
      <c r="DB16" s="45"/>
      <c r="DC16" s="45"/>
      <c r="DD16" s="45"/>
      <c r="DE16" s="45"/>
      <c r="DF16" s="45"/>
      <c r="DG16" s="45"/>
      <c r="DH16" s="45"/>
      <c r="DI16" s="45"/>
      <c r="DJ16" s="45"/>
      <c r="DK16" s="45"/>
      <c r="DL16" s="45"/>
      <c r="DM16" s="45"/>
      <c r="DN16" s="45"/>
    </row>
    <row r="17" spans="1:118" ht="25.5" customHeight="1">
      <c r="A17" s="321">
        <v>4010</v>
      </c>
      <c r="B17" s="322" t="s">
        <v>11</v>
      </c>
      <c r="C17" s="322" t="s">
        <v>44</v>
      </c>
      <c r="D17" s="322" t="s">
        <v>76</v>
      </c>
      <c r="E17" s="323" t="s">
        <v>53</v>
      </c>
      <c r="F17" s="322"/>
      <c r="G17" s="323" t="s">
        <v>588</v>
      </c>
      <c r="H17" s="324" t="s">
        <v>54</v>
      </c>
      <c r="I17" s="325"/>
      <c r="J17" s="323"/>
      <c r="K17" s="326"/>
      <c r="L17" s="327" t="s">
        <v>78</v>
      </c>
      <c r="M17" s="322" t="s">
        <v>77</v>
      </c>
      <c r="N17" s="322"/>
      <c r="O17" s="322" t="s">
        <v>77</v>
      </c>
      <c r="P17" s="328" t="s">
        <v>77</v>
      </c>
      <c r="Q17" s="327"/>
      <c r="R17" s="322"/>
      <c r="S17" s="322"/>
      <c r="T17" s="322"/>
      <c r="U17" s="329" t="s">
        <v>80</v>
      </c>
      <c r="V17" s="321"/>
      <c r="W17" s="323"/>
      <c r="X17" s="323"/>
      <c r="Y17" s="323"/>
      <c r="Z17" s="326"/>
      <c r="AA17" s="330"/>
      <c r="AB17" s="323"/>
      <c r="AC17" s="323"/>
      <c r="AD17" s="323"/>
      <c r="AE17" s="324"/>
      <c r="AF17" s="325"/>
      <c r="AG17" s="323"/>
      <c r="AH17" s="323"/>
      <c r="AI17" s="323"/>
      <c r="AJ17" s="326"/>
      <c r="AK17" s="330"/>
      <c r="AL17" s="323"/>
      <c r="AM17" s="323"/>
      <c r="AN17" s="323"/>
      <c r="AO17" s="324"/>
      <c r="AP17" s="325"/>
      <c r="AQ17" s="323"/>
      <c r="AR17" s="323"/>
      <c r="AS17" s="323"/>
      <c r="AT17" s="326"/>
      <c r="AU17" s="330"/>
      <c r="AV17" s="323"/>
      <c r="AW17" s="323"/>
      <c r="AX17" s="323"/>
      <c r="AY17" s="324"/>
      <c r="AZ17" s="325"/>
      <c r="BA17" s="323"/>
      <c r="BB17" s="323"/>
      <c r="BC17" s="323"/>
      <c r="BD17" s="326"/>
      <c r="BE17" s="330"/>
      <c r="BF17" s="323"/>
      <c r="BG17" s="323"/>
      <c r="BH17" s="323"/>
      <c r="BI17" s="324"/>
      <c r="BJ17" s="325"/>
      <c r="BK17" s="323"/>
      <c r="BL17" s="323"/>
      <c r="BM17" s="323"/>
      <c r="BN17" s="326"/>
      <c r="BO17" s="330"/>
      <c r="BP17" s="323"/>
      <c r="BQ17" s="323"/>
      <c r="BR17" s="323"/>
      <c r="BS17" s="324"/>
      <c r="BT17" s="325"/>
      <c r="BU17" s="323"/>
      <c r="BV17" s="323"/>
      <c r="BW17" s="323"/>
      <c r="BX17" s="326"/>
      <c r="BY17" s="330"/>
      <c r="BZ17" s="323"/>
      <c r="CA17" s="323"/>
      <c r="CB17" s="323"/>
      <c r="CC17" s="324"/>
      <c r="CD17" s="325"/>
      <c r="CE17" s="323"/>
      <c r="CF17" s="323"/>
      <c r="CG17" s="323"/>
      <c r="CH17" s="324"/>
      <c r="CI17" s="325"/>
      <c r="CJ17" s="323"/>
      <c r="CK17" s="323"/>
      <c r="CL17" s="323"/>
      <c r="CM17" s="326"/>
      <c r="CN17" s="45"/>
      <c r="CO17" s="45"/>
      <c r="CP17" s="45"/>
      <c r="CQ17" s="45"/>
      <c r="CR17" s="45"/>
      <c r="CS17" s="45"/>
      <c r="CT17" s="45"/>
      <c r="CU17" s="45"/>
      <c r="CV17" s="45"/>
      <c r="CW17" s="45"/>
      <c r="CX17" s="45"/>
      <c r="CY17" s="45"/>
      <c r="CZ17" s="45"/>
      <c r="DA17" s="45"/>
      <c r="DB17" s="45"/>
      <c r="DC17" s="45"/>
      <c r="DD17" s="45"/>
      <c r="DE17" s="45"/>
      <c r="DF17" s="45"/>
      <c r="DG17" s="45"/>
      <c r="DH17" s="45"/>
      <c r="DI17" s="45"/>
      <c r="DJ17" s="45"/>
      <c r="DK17" s="45"/>
      <c r="DL17" s="45"/>
      <c r="DM17" s="45"/>
      <c r="DN17" s="45"/>
    </row>
    <row r="18" spans="1:118" ht="25.5" customHeight="1">
      <c r="A18" s="321">
        <v>4011</v>
      </c>
      <c r="B18" s="322" t="s">
        <v>11</v>
      </c>
      <c r="C18" s="322" t="s">
        <v>44</v>
      </c>
      <c r="D18" s="322" t="s">
        <v>76</v>
      </c>
      <c r="E18" s="323" t="s">
        <v>53</v>
      </c>
      <c r="F18" s="322"/>
      <c r="G18" s="323" t="s">
        <v>590</v>
      </c>
      <c r="H18" s="324" t="s">
        <v>54</v>
      </c>
      <c r="I18" s="325"/>
      <c r="J18" s="323"/>
      <c r="K18" s="326"/>
      <c r="L18" s="327" t="s">
        <v>78</v>
      </c>
      <c r="M18" s="322" t="s">
        <v>77</v>
      </c>
      <c r="N18" s="322"/>
      <c r="O18" s="322" t="s">
        <v>77</v>
      </c>
      <c r="P18" s="328" t="s">
        <v>77</v>
      </c>
      <c r="Q18" s="327"/>
      <c r="R18" s="322"/>
      <c r="S18" s="322"/>
      <c r="T18" s="322"/>
      <c r="U18" s="329" t="s">
        <v>80</v>
      </c>
      <c r="V18" s="321"/>
      <c r="W18" s="323"/>
      <c r="X18" s="323"/>
      <c r="Y18" s="323"/>
      <c r="Z18" s="326"/>
      <c r="AA18" s="330"/>
      <c r="AB18" s="323"/>
      <c r="AC18" s="323"/>
      <c r="AD18" s="323"/>
      <c r="AE18" s="324"/>
      <c r="AF18" s="325"/>
      <c r="AG18" s="323"/>
      <c r="AH18" s="323"/>
      <c r="AI18" s="323"/>
      <c r="AJ18" s="326"/>
      <c r="AK18" s="330"/>
      <c r="AL18" s="323"/>
      <c r="AM18" s="323"/>
      <c r="AN18" s="323"/>
      <c r="AO18" s="324"/>
      <c r="AP18" s="325"/>
      <c r="AQ18" s="323"/>
      <c r="AR18" s="323"/>
      <c r="AS18" s="323"/>
      <c r="AT18" s="326"/>
      <c r="AU18" s="330"/>
      <c r="AV18" s="323"/>
      <c r="AW18" s="323"/>
      <c r="AX18" s="323"/>
      <c r="AY18" s="324"/>
      <c r="AZ18" s="325"/>
      <c r="BA18" s="323"/>
      <c r="BB18" s="323"/>
      <c r="BC18" s="323"/>
      <c r="BD18" s="326"/>
      <c r="BE18" s="330"/>
      <c r="BF18" s="323"/>
      <c r="BG18" s="323"/>
      <c r="BH18" s="323"/>
      <c r="BI18" s="324"/>
      <c r="BJ18" s="325"/>
      <c r="BK18" s="323"/>
      <c r="BL18" s="323"/>
      <c r="BM18" s="323"/>
      <c r="BN18" s="326"/>
      <c r="BO18" s="330"/>
      <c r="BP18" s="323"/>
      <c r="BQ18" s="323"/>
      <c r="BR18" s="323"/>
      <c r="BS18" s="324"/>
      <c r="BT18" s="325"/>
      <c r="BU18" s="323"/>
      <c r="BV18" s="323"/>
      <c r="BW18" s="323"/>
      <c r="BX18" s="326"/>
      <c r="BY18" s="330"/>
      <c r="BZ18" s="323"/>
      <c r="CA18" s="323"/>
      <c r="CB18" s="323"/>
      <c r="CC18" s="324"/>
      <c r="CD18" s="325"/>
      <c r="CE18" s="323"/>
      <c r="CF18" s="323"/>
      <c r="CG18" s="323"/>
      <c r="CH18" s="324"/>
      <c r="CI18" s="325"/>
      <c r="CJ18" s="323"/>
      <c r="CK18" s="323"/>
      <c r="CL18" s="323"/>
      <c r="CM18" s="326"/>
      <c r="CN18" s="45"/>
      <c r="CO18" s="45"/>
      <c r="CP18" s="45"/>
      <c r="CQ18" s="45"/>
      <c r="CR18" s="45"/>
      <c r="CS18" s="45"/>
      <c r="CT18" s="45"/>
      <c r="CU18" s="45"/>
      <c r="CV18" s="45"/>
      <c r="CW18" s="45"/>
      <c r="CX18" s="45"/>
      <c r="CY18" s="45"/>
      <c r="CZ18" s="45"/>
      <c r="DA18" s="45"/>
      <c r="DB18" s="45"/>
      <c r="DC18" s="45"/>
      <c r="DD18" s="45"/>
      <c r="DE18" s="45"/>
      <c r="DF18" s="45"/>
      <c r="DG18" s="45"/>
      <c r="DH18" s="45"/>
      <c r="DI18" s="45"/>
      <c r="DJ18" s="45"/>
      <c r="DK18" s="45"/>
      <c r="DL18" s="45"/>
      <c r="DM18" s="45"/>
      <c r="DN18" s="45"/>
    </row>
    <row r="19" spans="1:118" ht="25.5" customHeight="1" thickBot="1">
      <c r="A19" s="351">
        <v>4012</v>
      </c>
      <c r="B19" s="352" t="s">
        <v>11</v>
      </c>
      <c r="C19" s="352" t="s">
        <v>44</v>
      </c>
      <c r="D19" s="352" t="s">
        <v>76</v>
      </c>
      <c r="E19" s="353" t="s">
        <v>53</v>
      </c>
      <c r="F19" s="352"/>
      <c r="G19" s="353" t="s">
        <v>592</v>
      </c>
      <c r="H19" s="354" t="s">
        <v>54</v>
      </c>
      <c r="I19" s="355"/>
      <c r="J19" s="353"/>
      <c r="K19" s="356"/>
      <c r="L19" s="357" t="s">
        <v>78</v>
      </c>
      <c r="M19" s="352" t="s">
        <v>77</v>
      </c>
      <c r="N19" s="352"/>
      <c r="O19" s="352" t="s">
        <v>77</v>
      </c>
      <c r="P19" s="358" t="s">
        <v>77</v>
      </c>
      <c r="Q19" s="357"/>
      <c r="R19" s="352"/>
      <c r="S19" s="352"/>
      <c r="T19" s="352"/>
      <c r="U19" s="359" t="s">
        <v>80</v>
      </c>
      <c r="V19" s="351"/>
      <c r="W19" s="353"/>
      <c r="X19" s="353"/>
      <c r="Y19" s="353"/>
      <c r="Z19" s="356"/>
      <c r="AA19" s="360"/>
      <c r="AB19" s="353"/>
      <c r="AC19" s="353"/>
      <c r="AD19" s="353"/>
      <c r="AE19" s="354"/>
      <c r="AF19" s="355"/>
      <c r="AG19" s="353"/>
      <c r="AH19" s="353"/>
      <c r="AI19" s="353"/>
      <c r="AJ19" s="356"/>
      <c r="AK19" s="360"/>
      <c r="AL19" s="353"/>
      <c r="AM19" s="353"/>
      <c r="AN19" s="353"/>
      <c r="AO19" s="354"/>
      <c r="AP19" s="355"/>
      <c r="AQ19" s="353"/>
      <c r="AR19" s="353"/>
      <c r="AS19" s="353"/>
      <c r="AT19" s="356"/>
      <c r="AU19" s="360"/>
      <c r="AV19" s="353"/>
      <c r="AW19" s="353"/>
      <c r="AX19" s="353"/>
      <c r="AY19" s="354"/>
      <c r="AZ19" s="355"/>
      <c r="BA19" s="353"/>
      <c r="BB19" s="353"/>
      <c r="BC19" s="353"/>
      <c r="BD19" s="356"/>
      <c r="BE19" s="360"/>
      <c r="BF19" s="353"/>
      <c r="BG19" s="353"/>
      <c r="BH19" s="353"/>
      <c r="BI19" s="354"/>
      <c r="BJ19" s="355"/>
      <c r="BK19" s="353"/>
      <c r="BL19" s="353"/>
      <c r="BM19" s="353"/>
      <c r="BN19" s="356"/>
      <c r="BO19" s="360"/>
      <c r="BP19" s="353"/>
      <c r="BQ19" s="353"/>
      <c r="BR19" s="353"/>
      <c r="BS19" s="354"/>
      <c r="BT19" s="355"/>
      <c r="BU19" s="353"/>
      <c r="BV19" s="353"/>
      <c r="BW19" s="353"/>
      <c r="BX19" s="356"/>
      <c r="BY19" s="360"/>
      <c r="BZ19" s="353"/>
      <c r="CA19" s="353"/>
      <c r="CB19" s="353"/>
      <c r="CC19" s="354"/>
      <c r="CD19" s="355"/>
      <c r="CE19" s="353"/>
      <c r="CF19" s="353"/>
      <c r="CG19" s="353"/>
      <c r="CH19" s="354"/>
      <c r="CI19" s="355"/>
      <c r="CJ19" s="353"/>
      <c r="CK19" s="353"/>
      <c r="CL19" s="353"/>
      <c r="CM19" s="356"/>
      <c r="CN19" s="45"/>
      <c r="CO19" s="45"/>
      <c r="CP19" s="45"/>
      <c r="CQ19" s="45"/>
      <c r="CR19" s="45"/>
      <c r="CS19" s="45"/>
      <c r="CT19" s="45"/>
      <c r="CU19" s="45"/>
      <c r="CV19" s="45"/>
      <c r="CW19" s="45"/>
      <c r="CX19" s="45"/>
      <c r="CY19" s="45"/>
      <c r="CZ19" s="45"/>
      <c r="DA19" s="45"/>
      <c r="DB19" s="45"/>
      <c r="DC19" s="45"/>
      <c r="DD19" s="45"/>
      <c r="DE19" s="45"/>
      <c r="DF19" s="45"/>
      <c r="DG19" s="45"/>
      <c r="DH19" s="45"/>
      <c r="DI19" s="45"/>
      <c r="DJ19" s="45"/>
      <c r="DK19" s="45"/>
      <c r="DL19" s="45"/>
      <c r="DM19" s="45"/>
      <c r="DN19" s="45"/>
    </row>
    <row r="20" spans="1:118" ht="25.5" customHeight="1">
      <c r="A20" s="361">
        <v>4013</v>
      </c>
      <c r="B20" s="362" t="s">
        <v>11</v>
      </c>
      <c r="C20" s="362" t="s">
        <v>44</v>
      </c>
      <c r="D20" s="362" t="s">
        <v>76</v>
      </c>
      <c r="E20" s="363" t="s">
        <v>53</v>
      </c>
      <c r="F20" s="362"/>
      <c r="G20" s="363" t="s">
        <v>594</v>
      </c>
      <c r="H20" s="364" t="s">
        <v>54</v>
      </c>
      <c r="I20" s="365"/>
      <c r="J20" s="363"/>
      <c r="K20" s="366"/>
      <c r="L20" s="367" t="s">
        <v>78</v>
      </c>
      <c r="M20" s="362" t="s">
        <v>77</v>
      </c>
      <c r="N20" s="362"/>
      <c r="O20" s="362" t="s">
        <v>77</v>
      </c>
      <c r="P20" s="368" t="s">
        <v>77</v>
      </c>
      <c r="Q20" s="367"/>
      <c r="R20" s="362"/>
      <c r="S20" s="362"/>
      <c r="T20" s="362"/>
      <c r="U20" s="369" t="s">
        <v>80</v>
      </c>
      <c r="V20" s="361"/>
      <c r="W20" s="363"/>
      <c r="X20" s="363"/>
      <c r="Y20" s="363"/>
      <c r="Z20" s="366"/>
      <c r="AA20" s="370"/>
      <c r="AB20" s="363"/>
      <c r="AC20" s="363"/>
      <c r="AD20" s="363"/>
      <c r="AE20" s="364"/>
      <c r="AF20" s="365"/>
      <c r="AG20" s="363"/>
      <c r="AH20" s="363"/>
      <c r="AI20" s="363"/>
      <c r="AJ20" s="366"/>
      <c r="AK20" s="370"/>
      <c r="AL20" s="363"/>
      <c r="AM20" s="363"/>
      <c r="AN20" s="363"/>
      <c r="AO20" s="364"/>
      <c r="AP20" s="365"/>
      <c r="AQ20" s="363"/>
      <c r="AR20" s="363"/>
      <c r="AS20" s="363"/>
      <c r="AT20" s="366"/>
      <c r="AU20" s="370"/>
      <c r="AV20" s="363"/>
      <c r="AW20" s="363"/>
      <c r="AX20" s="363"/>
      <c r="AY20" s="364"/>
      <c r="AZ20" s="365"/>
      <c r="BA20" s="363"/>
      <c r="BB20" s="363"/>
      <c r="BC20" s="363"/>
      <c r="BD20" s="366"/>
      <c r="BE20" s="370"/>
      <c r="BF20" s="363"/>
      <c r="BG20" s="363"/>
      <c r="BH20" s="363"/>
      <c r="BI20" s="364"/>
      <c r="BJ20" s="365"/>
      <c r="BK20" s="363"/>
      <c r="BL20" s="363"/>
      <c r="BM20" s="363"/>
      <c r="BN20" s="366"/>
      <c r="BO20" s="370"/>
      <c r="BP20" s="363"/>
      <c r="BQ20" s="363"/>
      <c r="BR20" s="363"/>
      <c r="BS20" s="364"/>
      <c r="BT20" s="365"/>
      <c r="BU20" s="363"/>
      <c r="BV20" s="363"/>
      <c r="BW20" s="363"/>
      <c r="BX20" s="366"/>
      <c r="BY20" s="370"/>
      <c r="BZ20" s="363"/>
      <c r="CA20" s="363"/>
      <c r="CB20" s="363"/>
      <c r="CC20" s="364"/>
      <c r="CD20" s="365"/>
      <c r="CE20" s="363"/>
      <c r="CF20" s="363"/>
      <c r="CG20" s="363"/>
      <c r="CH20" s="364"/>
      <c r="CI20" s="365"/>
      <c r="CJ20" s="363"/>
      <c r="CK20" s="363"/>
      <c r="CL20" s="363"/>
      <c r="CM20" s="366"/>
      <c r="CN20" s="45"/>
      <c r="CO20" s="45"/>
      <c r="CP20" s="45"/>
      <c r="CQ20" s="45"/>
      <c r="CR20" s="45"/>
      <c r="CS20" s="45"/>
      <c r="CT20" s="45"/>
      <c r="CU20" s="45"/>
      <c r="CV20" s="45"/>
      <c r="CW20" s="45"/>
      <c r="CX20" s="46"/>
      <c r="CY20" s="45"/>
      <c r="CZ20" s="45"/>
      <c r="DA20" s="46"/>
      <c r="DB20" s="45"/>
      <c r="DC20" s="45"/>
      <c r="DD20" s="45"/>
      <c r="DE20" s="45"/>
      <c r="DF20" s="46"/>
      <c r="DG20" s="45"/>
      <c r="DH20" s="45"/>
      <c r="DI20" s="45"/>
      <c r="DJ20" s="45"/>
      <c r="DK20" s="45"/>
      <c r="DL20" s="45"/>
      <c r="DM20" s="45"/>
      <c r="DN20" s="45"/>
    </row>
    <row r="21" spans="1:118" ht="25.5" customHeight="1">
      <c r="A21" s="321">
        <v>4014</v>
      </c>
      <c r="B21" s="322" t="s">
        <v>11</v>
      </c>
      <c r="C21" s="322" t="s">
        <v>44</v>
      </c>
      <c r="D21" s="322" t="s">
        <v>76</v>
      </c>
      <c r="E21" s="323" t="s">
        <v>53</v>
      </c>
      <c r="F21" s="322"/>
      <c r="G21" s="323" t="s">
        <v>596</v>
      </c>
      <c r="H21" s="324" t="s">
        <v>54</v>
      </c>
      <c r="I21" s="325"/>
      <c r="J21" s="323"/>
      <c r="K21" s="326"/>
      <c r="L21" s="327" t="s">
        <v>78</v>
      </c>
      <c r="M21" s="322" t="s">
        <v>77</v>
      </c>
      <c r="N21" s="322"/>
      <c r="O21" s="322" t="s">
        <v>77</v>
      </c>
      <c r="P21" s="328" t="s">
        <v>77</v>
      </c>
      <c r="Q21" s="327"/>
      <c r="R21" s="322"/>
      <c r="S21" s="322"/>
      <c r="T21" s="322"/>
      <c r="U21" s="329" t="s">
        <v>80</v>
      </c>
      <c r="V21" s="321"/>
      <c r="W21" s="323"/>
      <c r="X21" s="323"/>
      <c r="Y21" s="323"/>
      <c r="Z21" s="326"/>
      <c r="AA21" s="330"/>
      <c r="AB21" s="323"/>
      <c r="AC21" s="323"/>
      <c r="AD21" s="323"/>
      <c r="AE21" s="324"/>
      <c r="AF21" s="325"/>
      <c r="AG21" s="323"/>
      <c r="AH21" s="323"/>
      <c r="AI21" s="323"/>
      <c r="AJ21" s="326"/>
      <c r="AK21" s="330"/>
      <c r="AL21" s="323"/>
      <c r="AM21" s="323"/>
      <c r="AN21" s="323"/>
      <c r="AO21" s="324"/>
      <c r="AP21" s="325"/>
      <c r="AQ21" s="323"/>
      <c r="AR21" s="323"/>
      <c r="AS21" s="323"/>
      <c r="AT21" s="326"/>
      <c r="AU21" s="330"/>
      <c r="AV21" s="323"/>
      <c r="AW21" s="323"/>
      <c r="AX21" s="323"/>
      <c r="AY21" s="324"/>
      <c r="AZ21" s="325"/>
      <c r="BA21" s="323"/>
      <c r="BB21" s="323"/>
      <c r="BC21" s="323"/>
      <c r="BD21" s="326"/>
      <c r="BE21" s="330"/>
      <c r="BF21" s="323"/>
      <c r="BG21" s="323"/>
      <c r="BH21" s="323"/>
      <c r="BI21" s="324"/>
      <c r="BJ21" s="325"/>
      <c r="BK21" s="323"/>
      <c r="BL21" s="323"/>
      <c r="BM21" s="323"/>
      <c r="BN21" s="326"/>
      <c r="BO21" s="330"/>
      <c r="BP21" s="323"/>
      <c r="BQ21" s="323"/>
      <c r="BR21" s="323"/>
      <c r="BS21" s="324"/>
      <c r="BT21" s="325"/>
      <c r="BU21" s="323"/>
      <c r="BV21" s="323"/>
      <c r="BW21" s="323"/>
      <c r="BX21" s="326"/>
      <c r="BY21" s="330"/>
      <c r="BZ21" s="323"/>
      <c r="CA21" s="323"/>
      <c r="CB21" s="323"/>
      <c r="CC21" s="324"/>
      <c r="CD21" s="325"/>
      <c r="CE21" s="323"/>
      <c r="CF21" s="323"/>
      <c r="CG21" s="323"/>
      <c r="CH21" s="324"/>
      <c r="CI21" s="325"/>
      <c r="CJ21" s="323"/>
      <c r="CK21" s="323"/>
      <c r="CL21" s="323"/>
      <c r="CM21" s="326"/>
    </row>
    <row r="22" spans="1:118" ht="25.5" customHeight="1">
      <c r="A22" s="321">
        <v>4015</v>
      </c>
      <c r="B22" s="322" t="s">
        <v>11</v>
      </c>
      <c r="C22" s="322" t="s">
        <v>44</v>
      </c>
      <c r="D22" s="322" t="s">
        <v>76</v>
      </c>
      <c r="E22" s="323" t="s">
        <v>53</v>
      </c>
      <c r="F22" s="322"/>
      <c r="G22" s="323" t="s">
        <v>598</v>
      </c>
      <c r="H22" s="371" t="s">
        <v>54</v>
      </c>
      <c r="I22" s="325"/>
      <c r="J22" s="323"/>
      <c r="K22" s="326"/>
      <c r="L22" s="327" t="s">
        <v>78</v>
      </c>
      <c r="M22" s="322" t="s">
        <v>77</v>
      </c>
      <c r="N22" s="322"/>
      <c r="O22" s="322" t="s">
        <v>77</v>
      </c>
      <c r="P22" s="328" t="s">
        <v>77</v>
      </c>
      <c r="Q22" s="327"/>
      <c r="R22" s="322"/>
      <c r="S22" s="322"/>
      <c r="T22" s="322"/>
      <c r="U22" s="329" t="s">
        <v>80</v>
      </c>
      <c r="V22" s="321"/>
      <c r="W22" s="372"/>
      <c r="X22" s="372"/>
      <c r="Y22" s="372"/>
      <c r="Z22" s="373"/>
      <c r="AA22" s="374"/>
      <c r="AB22" s="372"/>
      <c r="AC22" s="372"/>
      <c r="AD22" s="372"/>
      <c r="AE22" s="371"/>
      <c r="AF22" s="375"/>
      <c r="AG22" s="372"/>
      <c r="AH22" s="372"/>
      <c r="AI22" s="372"/>
      <c r="AJ22" s="373"/>
      <c r="AK22" s="374"/>
      <c r="AL22" s="372"/>
      <c r="AM22" s="372"/>
      <c r="AN22" s="372"/>
      <c r="AO22" s="371"/>
      <c r="AP22" s="375"/>
      <c r="AQ22" s="372"/>
      <c r="AR22" s="372"/>
      <c r="AS22" s="372"/>
      <c r="AT22" s="373"/>
      <c r="AU22" s="374"/>
      <c r="AV22" s="372"/>
      <c r="AW22" s="372"/>
      <c r="AX22" s="372"/>
      <c r="AY22" s="371"/>
      <c r="AZ22" s="375"/>
      <c r="BA22" s="372"/>
      <c r="BB22" s="372"/>
      <c r="BC22" s="372"/>
      <c r="BD22" s="373"/>
      <c r="BE22" s="374"/>
      <c r="BF22" s="372"/>
      <c r="BG22" s="372"/>
      <c r="BH22" s="372"/>
      <c r="BI22" s="371"/>
      <c r="BJ22" s="375"/>
      <c r="BK22" s="372"/>
      <c r="BL22" s="372"/>
      <c r="BM22" s="372"/>
      <c r="BN22" s="373"/>
      <c r="BO22" s="374"/>
      <c r="BP22" s="372"/>
      <c r="BQ22" s="372"/>
      <c r="BR22" s="372"/>
      <c r="BS22" s="371"/>
      <c r="BT22" s="375"/>
      <c r="BU22" s="372"/>
      <c r="BV22" s="372"/>
      <c r="BW22" s="372"/>
      <c r="BX22" s="373"/>
      <c r="BY22" s="374"/>
      <c r="BZ22" s="372"/>
      <c r="CA22" s="372"/>
      <c r="CB22" s="372"/>
      <c r="CC22" s="371"/>
      <c r="CD22" s="375"/>
      <c r="CE22" s="372"/>
      <c r="CF22" s="372"/>
      <c r="CG22" s="372"/>
      <c r="CH22" s="371"/>
      <c r="CI22" s="375"/>
      <c r="CJ22" s="372"/>
      <c r="CK22" s="372"/>
      <c r="CL22" s="372"/>
      <c r="CM22" s="373"/>
    </row>
    <row r="23" spans="1:118" ht="25.5" customHeight="1">
      <c r="A23" s="321">
        <v>4016</v>
      </c>
      <c r="B23" s="322" t="s">
        <v>11</v>
      </c>
      <c r="C23" s="322" t="s">
        <v>44</v>
      </c>
      <c r="D23" s="322" t="s">
        <v>76</v>
      </c>
      <c r="E23" s="323" t="s">
        <v>53</v>
      </c>
      <c r="F23" s="322"/>
      <c r="G23" s="323" t="s">
        <v>600</v>
      </c>
      <c r="H23" s="371" t="s">
        <v>54</v>
      </c>
      <c r="I23" s="325"/>
      <c r="J23" s="323"/>
      <c r="K23" s="326"/>
      <c r="L23" s="327" t="s">
        <v>78</v>
      </c>
      <c r="M23" s="322" t="s">
        <v>77</v>
      </c>
      <c r="N23" s="322"/>
      <c r="O23" s="322" t="s">
        <v>77</v>
      </c>
      <c r="P23" s="328" t="s">
        <v>77</v>
      </c>
      <c r="Q23" s="327"/>
      <c r="R23" s="322"/>
      <c r="S23" s="322"/>
      <c r="T23" s="322"/>
      <c r="U23" s="329" t="s">
        <v>80</v>
      </c>
      <c r="V23" s="321"/>
      <c r="W23" s="372"/>
      <c r="X23" s="372"/>
      <c r="Y23" s="372"/>
      <c r="Z23" s="373"/>
      <c r="AA23" s="374"/>
      <c r="AB23" s="372"/>
      <c r="AC23" s="372"/>
      <c r="AD23" s="372"/>
      <c r="AE23" s="371"/>
      <c r="AF23" s="375"/>
      <c r="AG23" s="372"/>
      <c r="AH23" s="372"/>
      <c r="AI23" s="372"/>
      <c r="AJ23" s="373"/>
      <c r="AK23" s="374"/>
      <c r="AL23" s="372"/>
      <c r="AM23" s="372"/>
      <c r="AN23" s="372"/>
      <c r="AO23" s="371"/>
      <c r="AP23" s="375"/>
      <c r="AQ23" s="372"/>
      <c r="AR23" s="372"/>
      <c r="AS23" s="372"/>
      <c r="AT23" s="373"/>
      <c r="AU23" s="374"/>
      <c r="AV23" s="372"/>
      <c r="AW23" s="372"/>
      <c r="AX23" s="372"/>
      <c r="AY23" s="371"/>
      <c r="AZ23" s="375"/>
      <c r="BA23" s="372"/>
      <c r="BB23" s="372"/>
      <c r="BC23" s="372"/>
      <c r="BD23" s="373"/>
      <c r="BE23" s="374"/>
      <c r="BF23" s="372"/>
      <c r="BG23" s="372"/>
      <c r="BH23" s="372"/>
      <c r="BI23" s="371"/>
      <c r="BJ23" s="375"/>
      <c r="BK23" s="372"/>
      <c r="BL23" s="372"/>
      <c r="BM23" s="372"/>
      <c r="BN23" s="373"/>
      <c r="BO23" s="374"/>
      <c r="BP23" s="372"/>
      <c r="BQ23" s="372"/>
      <c r="BR23" s="372"/>
      <c r="BS23" s="371"/>
      <c r="BT23" s="375"/>
      <c r="BU23" s="372"/>
      <c r="BV23" s="372"/>
      <c r="BW23" s="372"/>
      <c r="BX23" s="373"/>
      <c r="BY23" s="374"/>
      <c r="BZ23" s="372"/>
      <c r="CA23" s="372"/>
      <c r="CB23" s="372"/>
      <c r="CC23" s="371"/>
      <c r="CD23" s="375"/>
      <c r="CE23" s="372"/>
      <c r="CF23" s="372"/>
      <c r="CG23" s="372"/>
      <c r="CH23" s="371"/>
      <c r="CI23" s="375"/>
      <c r="CJ23" s="372"/>
      <c r="CK23" s="372"/>
      <c r="CL23" s="372"/>
      <c r="CM23" s="373"/>
    </row>
    <row r="24" spans="1:118" ht="25.5" customHeight="1" thickBot="1">
      <c r="A24" s="331">
        <v>4017</v>
      </c>
      <c r="B24" s="332" t="s">
        <v>11</v>
      </c>
      <c r="C24" s="332" t="s">
        <v>44</v>
      </c>
      <c r="D24" s="332" t="s">
        <v>76</v>
      </c>
      <c r="E24" s="333" t="s">
        <v>53</v>
      </c>
      <c r="F24" s="332"/>
      <c r="G24" s="333" t="s">
        <v>602</v>
      </c>
      <c r="H24" s="376" t="s">
        <v>54</v>
      </c>
      <c r="I24" s="335"/>
      <c r="J24" s="333"/>
      <c r="K24" s="336"/>
      <c r="L24" s="337" t="s">
        <v>78</v>
      </c>
      <c r="M24" s="332" t="s">
        <v>77</v>
      </c>
      <c r="N24" s="332"/>
      <c r="O24" s="332" t="s">
        <v>77</v>
      </c>
      <c r="P24" s="338" t="s">
        <v>77</v>
      </c>
      <c r="Q24" s="337"/>
      <c r="R24" s="332"/>
      <c r="S24" s="332"/>
      <c r="T24" s="332"/>
      <c r="U24" s="339" t="s">
        <v>80</v>
      </c>
      <c r="V24" s="331"/>
      <c r="W24" s="377"/>
      <c r="X24" s="377"/>
      <c r="Y24" s="377"/>
      <c r="Z24" s="378"/>
      <c r="AA24" s="379"/>
      <c r="AB24" s="377"/>
      <c r="AC24" s="377"/>
      <c r="AD24" s="377"/>
      <c r="AE24" s="376"/>
      <c r="AF24" s="380"/>
      <c r="AG24" s="377"/>
      <c r="AH24" s="377"/>
      <c r="AI24" s="377"/>
      <c r="AJ24" s="378"/>
      <c r="AK24" s="379"/>
      <c r="AL24" s="377"/>
      <c r="AM24" s="377"/>
      <c r="AN24" s="377"/>
      <c r="AO24" s="376"/>
      <c r="AP24" s="380"/>
      <c r="AQ24" s="377"/>
      <c r="AR24" s="377"/>
      <c r="AS24" s="377"/>
      <c r="AT24" s="378"/>
      <c r="AU24" s="379"/>
      <c r="AV24" s="377"/>
      <c r="AW24" s="377"/>
      <c r="AX24" s="377"/>
      <c r="AY24" s="376"/>
      <c r="AZ24" s="380"/>
      <c r="BA24" s="377"/>
      <c r="BB24" s="377"/>
      <c r="BC24" s="377"/>
      <c r="BD24" s="378"/>
      <c r="BE24" s="379"/>
      <c r="BF24" s="377"/>
      <c r="BG24" s="377"/>
      <c r="BH24" s="377"/>
      <c r="BI24" s="376"/>
      <c r="BJ24" s="380"/>
      <c r="BK24" s="377"/>
      <c r="BL24" s="377"/>
      <c r="BM24" s="377"/>
      <c r="BN24" s="378"/>
      <c r="BO24" s="379"/>
      <c r="BP24" s="377"/>
      <c r="BQ24" s="377"/>
      <c r="BR24" s="377"/>
      <c r="BS24" s="376"/>
      <c r="BT24" s="380"/>
      <c r="BU24" s="377"/>
      <c r="BV24" s="377"/>
      <c r="BW24" s="377"/>
      <c r="BX24" s="378"/>
      <c r="BY24" s="379"/>
      <c r="BZ24" s="377"/>
      <c r="CA24" s="377"/>
      <c r="CB24" s="377"/>
      <c r="CC24" s="376"/>
      <c r="CD24" s="380"/>
      <c r="CE24" s="377"/>
      <c r="CF24" s="377"/>
      <c r="CG24" s="377"/>
      <c r="CH24" s="376"/>
      <c r="CI24" s="380"/>
      <c r="CJ24" s="377"/>
      <c r="CK24" s="377"/>
      <c r="CL24" s="377"/>
      <c r="CM24" s="378"/>
    </row>
    <row r="25" spans="1:118" ht="25.5" customHeight="1">
      <c r="A25" s="341">
        <v>4018</v>
      </c>
      <c r="B25" s="342" t="s">
        <v>11</v>
      </c>
      <c r="C25" s="342" t="s">
        <v>44</v>
      </c>
      <c r="D25" s="342" t="s">
        <v>76</v>
      </c>
      <c r="E25" s="343" t="s">
        <v>53</v>
      </c>
      <c r="F25" s="342"/>
      <c r="G25" s="343" t="s">
        <v>604</v>
      </c>
      <c r="H25" s="344" t="s">
        <v>54</v>
      </c>
      <c r="I25" s="345"/>
      <c r="J25" s="343"/>
      <c r="K25" s="346"/>
      <c r="L25" s="347" t="s">
        <v>78</v>
      </c>
      <c r="M25" s="342" t="s">
        <v>77</v>
      </c>
      <c r="N25" s="342"/>
      <c r="O25" s="342" t="s">
        <v>77</v>
      </c>
      <c r="P25" s="348" t="s">
        <v>77</v>
      </c>
      <c r="Q25" s="347"/>
      <c r="R25" s="342"/>
      <c r="S25" s="342"/>
      <c r="T25" s="342"/>
      <c r="U25" s="349" t="s">
        <v>80</v>
      </c>
      <c r="V25" s="341"/>
      <c r="W25" s="381"/>
      <c r="X25" s="381"/>
      <c r="Y25" s="381"/>
      <c r="Z25" s="382"/>
      <c r="AA25" s="383"/>
      <c r="AB25" s="381"/>
      <c r="AC25" s="381"/>
      <c r="AD25" s="381"/>
      <c r="AE25" s="384"/>
      <c r="AF25" s="385"/>
      <c r="AG25" s="381"/>
      <c r="AH25" s="381"/>
      <c r="AI25" s="381"/>
      <c r="AJ25" s="382"/>
      <c r="AK25" s="383"/>
      <c r="AL25" s="381"/>
      <c r="AM25" s="381"/>
      <c r="AN25" s="381"/>
      <c r="AO25" s="384"/>
      <c r="AP25" s="385"/>
      <c r="AQ25" s="381"/>
      <c r="AR25" s="381"/>
      <c r="AS25" s="381"/>
      <c r="AT25" s="382"/>
      <c r="AU25" s="383"/>
      <c r="AV25" s="381"/>
      <c r="AW25" s="381"/>
      <c r="AX25" s="381"/>
      <c r="AY25" s="384"/>
      <c r="AZ25" s="385"/>
      <c r="BA25" s="381"/>
      <c r="BB25" s="381"/>
      <c r="BC25" s="381"/>
      <c r="BD25" s="382"/>
      <c r="BE25" s="383"/>
      <c r="BF25" s="381"/>
      <c r="BG25" s="381"/>
      <c r="BH25" s="381"/>
      <c r="BI25" s="384"/>
      <c r="BJ25" s="385"/>
      <c r="BK25" s="381"/>
      <c r="BL25" s="381"/>
      <c r="BM25" s="381"/>
      <c r="BN25" s="382"/>
      <c r="BO25" s="383"/>
      <c r="BP25" s="381"/>
      <c r="BQ25" s="381"/>
      <c r="BR25" s="381"/>
      <c r="BS25" s="384"/>
      <c r="BT25" s="385"/>
      <c r="BU25" s="381"/>
      <c r="BV25" s="381"/>
      <c r="BW25" s="381"/>
      <c r="BX25" s="382"/>
      <c r="BY25" s="383"/>
      <c r="BZ25" s="381"/>
      <c r="CA25" s="381"/>
      <c r="CB25" s="381"/>
      <c r="CC25" s="384"/>
      <c r="CD25" s="385"/>
      <c r="CE25" s="381"/>
      <c r="CF25" s="381"/>
      <c r="CG25" s="381"/>
      <c r="CH25" s="384"/>
      <c r="CI25" s="385"/>
      <c r="CJ25" s="381"/>
      <c r="CK25" s="381"/>
      <c r="CL25" s="381"/>
      <c r="CM25" s="382"/>
    </row>
    <row r="26" spans="1:118" ht="25.5" customHeight="1">
      <c r="A26" s="386">
        <v>4019</v>
      </c>
      <c r="B26" s="387" t="s">
        <v>11</v>
      </c>
      <c r="C26" s="387" t="s">
        <v>44</v>
      </c>
      <c r="D26" s="387" t="s">
        <v>76</v>
      </c>
      <c r="E26" s="372" t="s">
        <v>53</v>
      </c>
      <c r="F26" s="387"/>
      <c r="G26" s="372" t="s">
        <v>606</v>
      </c>
      <c r="H26" s="371" t="s">
        <v>54</v>
      </c>
      <c r="I26" s="375"/>
      <c r="J26" s="372"/>
      <c r="K26" s="373"/>
      <c r="L26" s="388" t="s">
        <v>78</v>
      </c>
      <c r="M26" s="387" t="s">
        <v>77</v>
      </c>
      <c r="N26" s="387"/>
      <c r="O26" s="387" t="s">
        <v>77</v>
      </c>
      <c r="P26" s="389" t="s">
        <v>77</v>
      </c>
      <c r="Q26" s="388"/>
      <c r="R26" s="387"/>
      <c r="S26" s="387"/>
      <c r="T26" s="387"/>
      <c r="U26" s="390" t="s">
        <v>80</v>
      </c>
      <c r="V26" s="386"/>
      <c r="W26" s="372"/>
      <c r="X26" s="372"/>
      <c r="Y26" s="372"/>
      <c r="Z26" s="373"/>
      <c r="AA26" s="374"/>
      <c r="AB26" s="372"/>
      <c r="AC26" s="372"/>
      <c r="AD26" s="372"/>
      <c r="AE26" s="371"/>
      <c r="AF26" s="375"/>
      <c r="AG26" s="372"/>
      <c r="AH26" s="372"/>
      <c r="AI26" s="372"/>
      <c r="AJ26" s="373"/>
      <c r="AK26" s="374"/>
      <c r="AL26" s="372"/>
      <c r="AM26" s="372"/>
      <c r="AN26" s="372"/>
      <c r="AO26" s="371"/>
      <c r="AP26" s="375"/>
      <c r="AQ26" s="372"/>
      <c r="AR26" s="372"/>
      <c r="AS26" s="372"/>
      <c r="AT26" s="373"/>
      <c r="AU26" s="374"/>
      <c r="AV26" s="372"/>
      <c r="AW26" s="372"/>
      <c r="AX26" s="372"/>
      <c r="AY26" s="371"/>
      <c r="AZ26" s="375"/>
      <c r="BA26" s="372"/>
      <c r="BB26" s="372"/>
      <c r="BC26" s="372"/>
      <c r="BD26" s="373"/>
      <c r="BE26" s="374"/>
      <c r="BF26" s="372"/>
      <c r="BG26" s="372"/>
      <c r="BH26" s="372"/>
      <c r="BI26" s="371"/>
      <c r="BJ26" s="375"/>
      <c r="BK26" s="372"/>
      <c r="BL26" s="372"/>
      <c r="BM26" s="372"/>
      <c r="BN26" s="373"/>
      <c r="BO26" s="374"/>
      <c r="BP26" s="372"/>
      <c r="BQ26" s="372"/>
      <c r="BR26" s="372"/>
      <c r="BS26" s="371"/>
      <c r="BT26" s="375"/>
      <c r="BU26" s="372"/>
      <c r="BV26" s="372"/>
      <c r="BW26" s="372"/>
      <c r="BX26" s="373"/>
      <c r="BY26" s="374"/>
      <c r="BZ26" s="372"/>
      <c r="CA26" s="372"/>
      <c r="CB26" s="372"/>
      <c r="CC26" s="371"/>
      <c r="CD26" s="375"/>
      <c r="CE26" s="372"/>
      <c r="CF26" s="372"/>
      <c r="CG26" s="372"/>
      <c r="CH26" s="371"/>
      <c r="CI26" s="375"/>
      <c r="CJ26" s="372"/>
      <c r="CK26" s="372"/>
      <c r="CL26" s="372"/>
      <c r="CM26" s="373"/>
    </row>
    <row r="27" spans="1:118" ht="25.5" customHeight="1">
      <c r="A27" s="386">
        <v>4020</v>
      </c>
      <c r="B27" s="387" t="s">
        <v>11</v>
      </c>
      <c r="C27" s="387" t="s">
        <v>44</v>
      </c>
      <c r="D27" s="387" t="s">
        <v>76</v>
      </c>
      <c r="E27" s="372" t="s">
        <v>53</v>
      </c>
      <c r="F27" s="387"/>
      <c r="G27" s="372" t="s">
        <v>608</v>
      </c>
      <c r="H27" s="371" t="s">
        <v>54</v>
      </c>
      <c r="I27" s="375"/>
      <c r="J27" s="372"/>
      <c r="K27" s="373"/>
      <c r="L27" s="388" t="s">
        <v>78</v>
      </c>
      <c r="M27" s="387" t="s">
        <v>77</v>
      </c>
      <c r="N27" s="387"/>
      <c r="O27" s="387" t="s">
        <v>77</v>
      </c>
      <c r="P27" s="389" t="s">
        <v>77</v>
      </c>
      <c r="Q27" s="388"/>
      <c r="R27" s="387"/>
      <c r="S27" s="387"/>
      <c r="T27" s="387"/>
      <c r="U27" s="390" t="s">
        <v>80</v>
      </c>
      <c r="V27" s="386"/>
      <c r="W27" s="372"/>
      <c r="X27" s="372"/>
      <c r="Y27" s="372"/>
      <c r="Z27" s="373"/>
      <c r="AA27" s="374"/>
      <c r="AB27" s="372"/>
      <c r="AC27" s="372"/>
      <c r="AD27" s="372"/>
      <c r="AE27" s="371"/>
      <c r="AF27" s="375"/>
      <c r="AG27" s="372"/>
      <c r="AH27" s="372"/>
      <c r="AI27" s="372"/>
      <c r="AJ27" s="373"/>
      <c r="AK27" s="374"/>
      <c r="AL27" s="372"/>
      <c r="AM27" s="372"/>
      <c r="AN27" s="372"/>
      <c r="AO27" s="371"/>
      <c r="AP27" s="375"/>
      <c r="AQ27" s="372"/>
      <c r="AR27" s="372"/>
      <c r="AS27" s="372"/>
      <c r="AT27" s="373"/>
      <c r="AU27" s="374"/>
      <c r="AV27" s="372"/>
      <c r="AW27" s="372"/>
      <c r="AX27" s="372"/>
      <c r="AY27" s="371"/>
      <c r="AZ27" s="375"/>
      <c r="BA27" s="372"/>
      <c r="BB27" s="372"/>
      <c r="BC27" s="372"/>
      <c r="BD27" s="373"/>
      <c r="BE27" s="374"/>
      <c r="BF27" s="372"/>
      <c r="BG27" s="372"/>
      <c r="BH27" s="372"/>
      <c r="BI27" s="371"/>
      <c r="BJ27" s="375"/>
      <c r="BK27" s="372"/>
      <c r="BL27" s="372"/>
      <c r="BM27" s="372"/>
      <c r="BN27" s="373"/>
      <c r="BO27" s="374"/>
      <c r="BP27" s="372"/>
      <c r="BQ27" s="372"/>
      <c r="BR27" s="372"/>
      <c r="BS27" s="371"/>
      <c r="BT27" s="375"/>
      <c r="BU27" s="372"/>
      <c r="BV27" s="372"/>
      <c r="BW27" s="372"/>
      <c r="BX27" s="373"/>
      <c r="BY27" s="374"/>
      <c r="BZ27" s="372"/>
      <c r="CA27" s="372"/>
      <c r="CB27" s="372"/>
      <c r="CC27" s="371"/>
      <c r="CD27" s="375"/>
      <c r="CE27" s="372"/>
      <c r="CF27" s="372"/>
      <c r="CG27" s="372"/>
      <c r="CH27" s="371"/>
      <c r="CI27" s="375"/>
      <c r="CJ27" s="372"/>
      <c r="CK27" s="372"/>
      <c r="CL27" s="372"/>
      <c r="CM27" s="373"/>
    </row>
    <row r="28" spans="1:118" ht="25.5" customHeight="1">
      <c r="A28" s="386">
        <v>4021</v>
      </c>
      <c r="B28" s="387" t="s">
        <v>11</v>
      </c>
      <c r="C28" s="387" t="s">
        <v>44</v>
      </c>
      <c r="D28" s="387" t="s">
        <v>76</v>
      </c>
      <c r="E28" s="372" t="s">
        <v>53</v>
      </c>
      <c r="F28" s="387"/>
      <c r="G28" s="372" t="s">
        <v>610</v>
      </c>
      <c r="H28" s="371" t="s">
        <v>54</v>
      </c>
      <c r="I28" s="375"/>
      <c r="J28" s="372"/>
      <c r="K28" s="373"/>
      <c r="L28" s="388" t="s">
        <v>78</v>
      </c>
      <c r="M28" s="387" t="s">
        <v>77</v>
      </c>
      <c r="N28" s="387"/>
      <c r="O28" s="387" t="s">
        <v>77</v>
      </c>
      <c r="P28" s="389" t="s">
        <v>77</v>
      </c>
      <c r="Q28" s="388"/>
      <c r="R28" s="387"/>
      <c r="S28" s="387"/>
      <c r="T28" s="387"/>
      <c r="U28" s="390" t="s">
        <v>80</v>
      </c>
      <c r="V28" s="386"/>
      <c r="W28" s="372"/>
      <c r="X28" s="372"/>
      <c r="Y28" s="372"/>
      <c r="Z28" s="373"/>
      <c r="AA28" s="374"/>
      <c r="AB28" s="372"/>
      <c r="AC28" s="372"/>
      <c r="AD28" s="372"/>
      <c r="AE28" s="371"/>
      <c r="AF28" s="375"/>
      <c r="AG28" s="372"/>
      <c r="AH28" s="372"/>
      <c r="AI28" s="372"/>
      <c r="AJ28" s="373"/>
      <c r="AK28" s="374"/>
      <c r="AL28" s="372"/>
      <c r="AM28" s="372"/>
      <c r="AN28" s="372"/>
      <c r="AO28" s="371"/>
      <c r="AP28" s="375"/>
      <c r="AQ28" s="372"/>
      <c r="AR28" s="372"/>
      <c r="AS28" s="372"/>
      <c r="AT28" s="373"/>
      <c r="AU28" s="374"/>
      <c r="AV28" s="372"/>
      <c r="AW28" s="372"/>
      <c r="AX28" s="372"/>
      <c r="AY28" s="371"/>
      <c r="AZ28" s="375"/>
      <c r="BA28" s="372"/>
      <c r="BB28" s="372"/>
      <c r="BC28" s="372"/>
      <c r="BD28" s="373"/>
      <c r="BE28" s="374"/>
      <c r="BF28" s="372"/>
      <c r="BG28" s="372"/>
      <c r="BH28" s="372"/>
      <c r="BI28" s="371"/>
      <c r="BJ28" s="375"/>
      <c r="BK28" s="372"/>
      <c r="BL28" s="372"/>
      <c r="BM28" s="372"/>
      <c r="BN28" s="373"/>
      <c r="BO28" s="374"/>
      <c r="BP28" s="372"/>
      <c r="BQ28" s="372"/>
      <c r="BR28" s="372"/>
      <c r="BS28" s="371"/>
      <c r="BT28" s="375"/>
      <c r="BU28" s="372"/>
      <c r="BV28" s="372"/>
      <c r="BW28" s="372"/>
      <c r="BX28" s="373"/>
      <c r="BY28" s="374"/>
      <c r="BZ28" s="372"/>
      <c r="CA28" s="372"/>
      <c r="CB28" s="372"/>
      <c r="CC28" s="371"/>
      <c r="CD28" s="375"/>
      <c r="CE28" s="372"/>
      <c r="CF28" s="372"/>
      <c r="CG28" s="372"/>
      <c r="CH28" s="371"/>
      <c r="CI28" s="375"/>
      <c r="CJ28" s="372"/>
      <c r="CK28" s="372"/>
      <c r="CL28" s="372"/>
      <c r="CM28" s="373"/>
    </row>
    <row r="29" spans="1:118" ht="25.5" customHeight="1" thickBot="1">
      <c r="A29" s="391">
        <v>4022</v>
      </c>
      <c r="B29" s="392" t="s">
        <v>11</v>
      </c>
      <c r="C29" s="392" t="s">
        <v>44</v>
      </c>
      <c r="D29" s="392" t="s">
        <v>76</v>
      </c>
      <c r="E29" s="393" t="s">
        <v>53</v>
      </c>
      <c r="F29" s="392"/>
      <c r="G29" s="393" t="s">
        <v>612</v>
      </c>
      <c r="H29" s="394" t="s">
        <v>54</v>
      </c>
      <c r="I29" s="395"/>
      <c r="J29" s="393"/>
      <c r="K29" s="396"/>
      <c r="L29" s="397" t="s">
        <v>78</v>
      </c>
      <c r="M29" s="392" t="s">
        <v>77</v>
      </c>
      <c r="N29" s="392"/>
      <c r="O29" s="392" t="s">
        <v>77</v>
      </c>
      <c r="P29" s="398" t="s">
        <v>77</v>
      </c>
      <c r="Q29" s="397"/>
      <c r="R29" s="392"/>
      <c r="S29" s="392"/>
      <c r="T29" s="392"/>
      <c r="U29" s="399" t="s">
        <v>80</v>
      </c>
      <c r="V29" s="391"/>
      <c r="W29" s="393"/>
      <c r="X29" s="393"/>
      <c r="Y29" s="393"/>
      <c r="Z29" s="396"/>
      <c r="AA29" s="400"/>
      <c r="AB29" s="393"/>
      <c r="AC29" s="393"/>
      <c r="AD29" s="393"/>
      <c r="AE29" s="394"/>
      <c r="AF29" s="395"/>
      <c r="AG29" s="393"/>
      <c r="AH29" s="393"/>
      <c r="AI29" s="393"/>
      <c r="AJ29" s="396"/>
      <c r="AK29" s="400"/>
      <c r="AL29" s="393"/>
      <c r="AM29" s="393"/>
      <c r="AN29" s="393"/>
      <c r="AO29" s="394"/>
      <c r="AP29" s="395"/>
      <c r="AQ29" s="393"/>
      <c r="AR29" s="393"/>
      <c r="AS29" s="393"/>
      <c r="AT29" s="396"/>
      <c r="AU29" s="400"/>
      <c r="AV29" s="393"/>
      <c r="AW29" s="393"/>
      <c r="AX29" s="393"/>
      <c r="AY29" s="394"/>
      <c r="AZ29" s="395"/>
      <c r="BA29" s="393"/>
      <c r="BB29" s="393"/>
      <c r="BC29" s="393"/>
      <c r="BD29" s="396"/>
      <c r="BE29" s="400"/>
      <c r="BF29" s="393"/>
      <c r="BG29" s="393"/>
      <c r="BH29" s="393"/>
      <c r="BI29" s="394"/>
      <c r="BJ29" s="395"/>
      <c r="BK29" s="393"/>
      <c r="BL29" s="393"/>
      <c r="BM29" s="393"/>
      <c r="BN29" s="396"/>
      <c r="BO29" s="400"/>
      <c r="BP29" s="393"/>
      <c r="BQ29" s="393"/>
      <c r="BR29" s="393"/>
      <c r="BS29" s="394"/>
      <c r="BT29" s="395"/>
      <c r="BU29" s="393"/>
      <c r="BV29" s="393"/>
      <c r="BW29" s="393"/>
      <c r="BX29" s="396"/>
      <c r="BY29" s="400"/>
      <c r="BZ29" s="393"/>
      <c r="CA29" s="393"/>
      <c r="CB29" s="393"/>
      <c r="CC29" s="394"/>
      <c r="CD29" s="395"/>
      <c r="CE29" s="393"/>
      <c r="CF29" s="393"/>
      <c r="CG29" s="393"/>
      <c r="CH29" s="394"/>
      <c r="CI29" s="395"/>
      <c r="CJ29" s="393"/>
      <c r="CK29" s="393"/>
      <c r="CL29" s="393"/>
      <c r="CM29" s="396"/>
    </row>
    <row r="30" spans="1:118" ht="25.5" customHeight="1">
      <c r="A30" s="401">
        <v>4023</v>
      </c>
      <c r="B30" s="402" t="s">
        <v>11</v>
      </c>
      <c r="C30" s="402" t="s">
        <v>44</v>
      </c>
      <c r="D30" s="402" t="s">
        <v>76</v>
      </c>
      <c r="E30" s="403" t="s">
        <v>53</v>
      </c>
      <c r="F30" s="402"/>
      <c r="G30" s="403" t="s">
        <v>614</v>
      </c>
      <c r="H30" s="404" t="s">
        <v>54</v>
      </c>
      <c r="I30" s="405"/>
      <c r="J30" s="403"/>
      <c r="K30" s="406"/>
      <c r="L30" s="407" t="s">
        <v>78</v>
      </c>
      <c r="M30" s="402" t="s">
        <v>77</v>
      </c>
      <c r="N30" s="402"/>
      <c r="O30" s="402" t="s">
        <v>77</v>
      </c>
      <c r="P30" s="408" t="s">
        <v>77</v>
      </c>
      <c r="Q30" s="407"/>
      <c r="R30" s="402"/>
      <c r="S30" s="402"/>
      <c r="T30" s="402"/>
      <c r="U30" s="409" t="s">
        <v>80</v>
      </c>
      <c r="V30" s="401"/>
      <c r="W30" s="403"/>
      <c r="X30" s="403"/>
      <c r="Y30" s="403"/>
      <c r="Z30" s="406"/>
      <c r="AA30" s="410"/>
      <c r="AB30" s="403"/>
      <c r="AC30" s="403"/>
      <c r="AD30" s="403"/>
      <c r="AE30" s="404"/>
      <c r="AF30" s="405"/>
      <c r="AG30" s="403"/>
      <c r="AH30" s="403"/>
      <c r="AI30" s="403"/>
      <c r="AJ30" s="406"/>
      <c r="AK30" s="410"/>
      <c r="AL30" s="403"/>
      <c r="AM30" s="403"/>
      <c r="AN30" s="403"/>
      <c r="AO30" s="404"/>
      <c r="AP30" s="405"/>
      <c r="AQ30" s="403"/>
      <c r="AR30" s="403"/>
      <c r="AS30" s="403"/>
      <c r="AT30" s="406"/>
      <c r="AU30" s="410"/>
      <c r="AV30" s="403"/>
      <c r="AW30" s="403"/>
      <c r="AX30" s="403"/>
      <c r="AY30" s="404"/>
      <c r="AZ30" s="405"/>
      <c r="BA30" s="403"/>
      <c r="BB30" s="403"/>
      <c r="BC30" s="403"/>
      <c r="BD30" s="406"/>
      <c r="BE30" s="410"/>
      <c r="BF30" s="403"/>
      <c r="BG30" s="403"/>
      <c r="BH30" s="403"/>
      <c r="BI30" s="404"/>
      <c r="BJ30" s="405"/>
      <c r="BK30" s="403"/>
      <c r="BL30" s="403"/>
      <c r="BM30" s="403"/>
      <c r="BN30" s="406"/>
      <c r="BO30" s="410"/>
      <c r="BP30" s="403"/>
      <c r="BQ30" s="403"/>
      <c r="BR30" s="403"/>
      <c r="BS30" s="404"/>
      <c r="BT30" s="405"/>
      <c r="BU30" s="403"/>
      <c r="BV30" s="403"/>
      <c r="BW30" s="403"/>
      <c r="BX30" s="406"/>
      <c r="BY30" s="410"/>
      <c r="BZ30" s="403"/>
      <c r="CA30" s="403"/>
      <c r="CB30" s="403"/>
      <c r="CC30" s="404"/>
      <c r="CD30" s="405"/>
      <c r="CE30" s="403"/>
      <c r="CF30" s="403"/>
      <c r="CG30" s="403"/>
      <c r="CH30" s="404"/>
      <c r="CI30" s="405"/>
      <c r="CJ30" s="403"/>
      <c r="CK30" s="403"/>
      <c r="CL30" s="403"/>
      <c r="CM30" s="406"/>
    </row>
    <row r="31" spans="1:118" ht="25.5" customHeight="1">
      <c r="A31" s="386">
        <v>4024</v>
      </c>
      <c r="B31" s="387" t="s">
        <v>11</v>
      </c>
      <c r="C31" s="387" t="s">
        <v>44</v>
      </c>
      <c r="D31" s="387" t="s">
        <v>76</v>
      </c>
      <c r="E31" s="372" t="s">
        <v>53</v>
      </c>
      <c r="F31" s="387"/>
      <c r="G31" s="372" t="s">
        <v>616</v>
      </c>
      <c r="H31" s="371" t="s">
        <v>54</v>
      </c>
      <c r="I31" s="375"/>
      <c r="J31" s="372"/>
      <c r="K31" s="373"/>
      <c r="L31" s="388" t="s">
        <v>78</v>
      </c>
      <c r="M31" s="387" t="s">
        <v>77</v>
      </c>
      <c r="N31" s="387"/>
      <c r="O31" s="387" t="s">
        <v>77</v>
      </c>
      <c r="P31" s="389" t="s">
        <v>77</v>
      </c>
      <c r="Q31" s="388"/>
      <c r="R31" s="387"/>
      <c r="S31" s="387"/>
      <c r="T31" s="387"/>
      <c r="U31" s="390" t="s">
        <v>80</v>
      </c>
      <c r="V31" s="386"/>
      <c r="W31" s="372"/>
      <c r="X31" s="372"/>
      <c r="Y31" s="372"/>
      <c r="Z31" s="373"/>
      <c r="AA31" s="374"/>
      <c r="AB31" s="372"/>
      <c r="AC31" s="372"/>
      <c r="AD31" s="372"/>
      <c r="AE31" s="371"/>
      <c r="AF31" s="375"/>
      <c r="AG31" s="372"/>
      <c r="AH31" s="372"/>
      <c r="AI31" s="372"/>
      <c r="AJ31" s="373"/>
      <c r="AK31" s="374"/>
      <c r="AL31" s="372"/>
      <c r="AM31" s="372"/>
      <c r="AN31" s="372"/>
      <c r="AO31" s="371"/>
      <c r="AP31" s="375"/>
      <c r="AQ31" s="372"/>
      <c r="AR31" s="372"/>
      <c r="AS31" s="372"/>
      <c r="AT31" s="373"/>
      <c r="AU31" s="374"/>
      <c r="AV31" s="372"/>
      <c r="AW31" s="372"/>
      <c r="AX31" s="372"/>
      <c r="AY31" s="371"/>
      <c r="AZ31" s="375"/>
      <c r="BA31" s="372"/>
      <c r="BB31" s="372"/>
      <c r="BC31" s="372"/>
      <c r="BD31" s="373"/>
      <c r="BE31" s="374"/>
      <c r="BF31" s="372"/>
      <c r="BG31" s="372"/>
      <c r="BH31" s="372"/>
      <c r="BI31" s="371"/>
      <c r="BJ31" s="375"/>
      <c r="BK31" s="372"/>
      <c r="BL31" s="372"/>
      <c r="BM31" s="372"/>
      <c r="BN31" s="373"/>
      <c r="BO31" s="374"/>
      <c r="BP31" s="372"/>
      <c r="BQ31" s="372"/>
      <c r="BR31" s="372"/>
      <c r="BS31" s="371"/>
      <c r="BT31" s="375"/>
      <c r="BU31" s="372"/>
      <c r="BV31" s="372"/>
      <c r="BW31" s="372"/>
      <c r="BX31" s="373"/>
      <c r="BY31" s="374"/>
      <c r="BZ31" s="372"/>
      <c r="CA31" s="372"/>
      <c r="CB31" s="372"/>
      <c r="CC31" s="371"/>
      <c r="CD31" s="375"/>
      <c r="CE31" s="372"/>
      <c r="CF31" s="372"/>
      <c r="CG31" s="372"/>
      <c r="CH31" s="371"/>
      <c r="CI31" s="375"/>
      <c r="CJ31" s="372"/>
      <c r="CK31" s="372"/>
      <c r="CL31" s="372"/>
      <c r="CM31" s="373"/>
    </row>
    <row r="32" spans="1:118" ht="25.5" customHeight="1">
      <c r="A32" s="386">
        <v>4025</v>
      </c>
      <c r="B32" s="387" t="s">
        <v>11</v>
      </c>
      <c r="C32" s="387" t="s">
        <v>44</v>
      </c>
      <c r="D32" s="387" t="s">
        <v>76</v>
      </c>
      <c r="E32" s="372" t="s">
        <v>53</v>
      </c>
      <c r="F32" s="387"/>
      <c r="G32" s="372" t="s">
        <v>618</v>
      </c>
      <c r="H32" s="371" t="s">
        <v>54</v>
      </c>
      <c r="I32" s="375"/>
      <c r="J32" s="372"/>
      <c r="K32" s="373"/>
      <c r="L32" s="388" t="s">
        <v>78</v>
      </c>
      <c r="M32" s="387" t="s">
        <v>77</v>
      </c>
      <c r="N32" s="387"/>
      <c r="O32" s="387" t="s">
        <v>77</v>
      </c>
      <c r="P32" s="389" t="s">
        <v>77</v>
      </c>
      <c r="Q32" s="388"/>
      <c r="R32" s="387"/>
      <c r="S32" s="387"/>
      <c r="T32" s="387"/>
      <c r="U32" s="390" t="s">
        <v>80</v>
      </c>
      <c r="V32" s="386"/>
      <c r="W32" s="372"/>
      <c r="X32" s="372"/>
      <c r="Y32" s="372"/>
      <c r="Z32" s="373"/>
      <c r="AA32" s="374"/>
      <c r="AB32" s="372"/>
      <c r="AC32" s="372"/>
      <c r="AD32" s="372"/>
      <c r="AE32" s="371"/>
      <c r="AF32" s="375"/>
      <c r="AG32" s="372"/>
      <c r="AH32" s="372"/>
      <c r="AI32" s="372"/>
      <c r="AJ32" s="373"/>
      <c r="AK32" s="374"/>
      <c r="AL32" s="372"/>
      <c r="AM32" s="372"/>
      <c r="AN32" s="372"/>
      <c r="AO32" s="371"/>
      <c r="AP32" s="375"/>
      <c r="AQ32" s="372"/>
      <c r="AR32" s="372"/>
      <c r="AS32" s="372"/>
      <c r="AT32" s="373"/>
      <c r="AU32" s="374"/>
      <c r="AV32" s="372"/>
      <c r="AW32" s="372"/>
      <c r="AX32" s="372"/>
      <c r="AY32" s="371"/>
      <c r="AZ32" s="375"/>
      <c r="BA32" s="372"/>
      <c r="BB32" s="372"/>
      <c r="BC32" s="372"/>
      <c r="BD32" s="373"/>
      <c r="BE32" s="374"/>
      <c r="BF32" s="372"/>
      <c r="BG32" s="372"/>
      <c r="BH32" s="372"/>
      <c r="BI32" s="371"/>
      <c r="BJ32" s="375"/>
      <c r="BK32" s="372"/>
      <c r="BL32" s="372"/>
      <c r="BM32" s="372"/>
      <c r="BN32" s="373"/>
      <c r="BO32" s="374"/>
      <c r="BP32" s="372"/>
      <c r="BQ32" s="372"/>
      <c r="BR32" s="372"/>
      <c r="BS32" s="371"/>
      <c r="BT32" s="375"/>
      <c r="BU32" s="372"/>
      <c r="BV32" s="372"/>
      <c r="BW32" s="372"/>
      <c r="BX32" s="373"/>
      <c r="BY32" s="374"/>
      <c r="BZ32" s="372"/>
      <c r="CA32" s="372"/>
      <c r="CB32" s="372"/>
      <c r="CC32" s="371"/>
      <c r="CD32" s="375"/>
      <c r="CE32" s="372"/>
      <c r="CF32" s="372"/>
      <c r="CG32" s="372"/>
      <c r="CH32" s="371"/>
      <c r="CI32" s="375"/>
      <c r="CJ32" s="372"/>
      <c r="CK32" s="372"/>
      <c r="CL32" s="372"/>
      <c r="CM32" s="373"/>
    </row>
    <row r="33" spans="1:91" ht="25.5" customHeight="1">
      <c r="A33" s="386">
        <v>4026</v>
      </c>
      <c r="B33" s="387" t="s">
        <v>11</v>
      </c>
      <c r="C33" s="387" t="s">
        <v>44</v>
      </c>
      <c r="D33" s="387" t="s">
        <v>76</v>
      </c>
      <c r="E33" s="372" t="s">
        <v>53</v>
      </c>
      <c r="F33" s="387"/>
      <c r="G33" s="372" t="s">
        <v>620</v>
      </c>
      <c r="H33" s="371" t="s">
        <v>54</v>
      </c>
      <c r="I33" s="375"/>
      <c r="J33" s="372"/>
      <c r="K33" s="373"/>
      <c r="L33" s="388" t="s">
        <v>78</v>
      </c>
      <c r="M33" s="387" t="s">
        <v>77</v>
      </c>
      <c r="N33" s="387"/>
      <c r="O33" s="387" t="s">
        <v>77</v>
      </c>
      <c r="P33" s="389" t="s">
        <v>77</v>
      </c>
      <c r="Q33" s="388"/>
      <c r="R33" s="387"/>
      <c r="S33" s="387"/>
      <c r="T33" s="387"/>
      <c r="U33" s="390" t="s">
        <v>80</v>
      </c>
      <c r="V33" s="386"/>
      <c r="W33" s="372"/>
      <c r="X33" s="372"/>
      <c r="Y33" s="372"/>
      <c r="Z33" s="373"/>
      <c r="AA33" s="374"/>
      <c r="AB33" s="372"/>
      <c r="AC33" s="372"/>
      <c r="AD33" s="372"/>
      <c r="AE33" s="371"/>
      <c r="AF33" s="375"/>
      <c r="AG33" s="372"/>
      <c r="AH33" s="372"/>
      <c r="AI33" s="372"/>
      <c r="AJ33" s="373"/>
      <c r="AK33" s="374"/>
      <c r="AL33" s="372"/>
      <c r="AM33" s="372"/>
      <c r="AN33" s="372"/>
      <c r="AO33" s="371"/>
      <c r="AP33" s="375"/>
      <c r="AQ33" s="372"/>
      <c r="AR33" s="372"/>
      <c r="AS33" s="372"/>
      <c r="AT33" s="373"/>
      <c r="AU33" s="374"/>
      <c r="AV33" s="372"/>
      <c r="AW33" s="372"/>
      <c r="AX33" s="372"/>
      <c r="AY33" s="371"/>
      <c r="AZ33" s="375"/>
      <c r="BA33" s="372"/>
      <c r="BB33" s="372"/>
      <c r="BC33" s="372"/>
      <c r="BD33" s="373"/>
      <c r="BE33" s="374"/>
      <c r="BF33" s="372"/>
      <c r="BG33" s="372"/>
      <c r="BH33" s="372"/>
      <c r="BI33" s="371"/>
      <c r="BJ33" s="375"/>
      <c r="BK33" s="372"/>
      <c r="BL33" s="372"/>
      <c r="BM33" s="372"/>
      <c r="BN33" s="373"/>
      <c r="BO33" s="374"/>
      <c r="BP33" s="372"/>
      <c r="BQ33" s="372"/>
      <c r="BR33" s="372"/>
      <c r="BS33" s="371"/>
      <c r="BT33" s="375"/>
      <c r="BU33" s="372"/>
      <c r="BV33" s="372"/>
      <c r="BW33" s="372"/>
      <c r="BX33" s="373"/>
      <c r="BY33" s="374"/>
      <c r="BZ33" s="372"/>
      <c r="CA33" s="372"/>
      <c r="CB33" s="372"/>
      <c r="CC33" s="371"/>
      <c r="CD33" s="375"/>
      <c r="CE33" s="372"/>
      <c r="CF33" s="372"/>
      <c r="CG33" s="372"/>
      <c r="CH33" s="371"/>
      <c r="CI33" s="375"/>
      <c r="CJ33" s="372"/>
      <c r="CK33" s="372"/>
      <c r="CL33" s="372"/>
      <c r="CM33" s="373"/>
    </row>
    <row r="34" spans="1:91" ht="25.5" customHeight="1" thickBot="1">
      <c r="A34" s="411">
        <v>4027</v>
      </c>
      <c r="B34" s="412" t="s">
        <v>11</v>
      </c>
      <c r="C34" s="412" t="s">
        <v>44</v>
      </c>
      <c r="D34" s="412" t="s">
        <v>76</v>
      </c>
      <c r="E34" s="377" t="s">
        <v>53</v>
      </c>
      <c r="F34" s="412"/>
      <c r="G34" s="377" t="s">
        <v>622</v>
      </c>
      <c r="H34" s="376" t="s">
        <v>54</v>
      </c>
      <c r="I34" s="380"/>
      <c r="J34" s="377"/>
      <c r="K34" s="378"/>
      <c r="L34" s="413" t="s">
        <v>78</v>
      </c>
      <c r="M34" s="412" t="s">
        <v>77</v>
      </c>
      <c r="N34" s="412"/>
      <c r="O34" s="412" t="s">
        <v>77</v>
      </c>
      <c r="P34" s="414" t="s">
        <v>77</v>
      </c>
      <c r="Q34" s="413"/>
      <c r="R34" s="412"/>
      <c r="S34" s="412"/>
      <c r="T34" s="412"/>
      <c r="U34" s="415" t="s">
        <v>80</v>
      </c>
      <c r="V34" s="411"/>
      <c r="W34" s="377"/>
      <c r="X34" s="377"/>
      <c r="Y34" s="377"/>
      <c r="Z34" s="378"/>
      <c r="AA34" s="379"/>
      <c r="AB34" s="377"/>
      <c r="AC34" s="377"/>
      <c r="AD34" s="377"/>
      <c r="AE34" s="376"/>
      <c r="AF34" s="380"/>
      <c r="AG34" s="377"/>
      <c r="AH34" s="377"/>
      <c r="AI34" s="377"/>
      <c r="AJ34" s="378"/>
      <c r="AK34" s="379"/>
      <c r="AL34" s="377"/>
      <c r="AM34" s="377"/>
      <c r="AN34" s="377"/>
      <c r="AO34" s="376"/>
      <c r="AP34" s="380"/>
      <c r="AQ34" s="377"/>
      <c r="AR34" s="377"/>
      <c r="AS34" s="377"/>
      <c r="AT34" s="378"/>
      <c r="AU34" s="379"/>
      <c r="AV34" s="377"/>
      <c r="AW34" s="377"/>
      <c r="AX34" s="377"/>
      <c r="AY34" s="376"/>
      <c r="AZ34" s="380"/>
      <c r="BA34" s="377"/>
      <c r="BB34" s="377"/>
      <c r="BC34" s="377"/>
      <c r="BD34" s="378"/>
      <c r="BE34" s="379"/>
      <c r="BF34" s="377"/>
      <c r="BG34" s="377"/>
      <c r="BH34" s="377"/>
      <c r="BI34" s="376"/>
      <c r="BJ34" s="380"/>
      <c r="BK34" s="377"/>
      <c r="BL34" s="377"/>
      <c r="BM34" s="377"/>
      <c r="BN34" s="378"/>
      <c r="BO34" s="379"/>
      <c r="BP34" s="377"/>
      <c r="BQ34" s="377"/>
      <c r="BR34" s="377"/>
      <c r="BS34" s="376"/>
      <c r="BT34" s="380"/>
      <c r="BU34" s="377"/>
      <c r="BV34" s="377"/>
      <c r="BW34" s="377"/>
      <c r="BX34" s="378"/>
      <c r="BY34" s="379"/>
      <c r="BZ34" s="377"/>
      <c r="CA34" s="377"/>
      <c r="CB34" s="377"/>
      <c r="CC34" s="376"/>
      <c r="CD34" s="380"/>
      <c r="CE34" s="377"/>
      <c r="CF34" s="377"/>
      <c r="CG34" s="377"/>
      <c r="CH34" s="376"/>
      <c r="CI34" s="380"/>
      <c r="CJ34" s="377"/>
      <c r="CK34" s="377"/>
      <c r="CL34" s="377"/>
      <c r="CM34" s="378"/>
    </row>
    <row r="35" spans="1:91" ht="25.5" customHeight="1">
      <c r="A35" s="416">
        <v>4028</v>
      </c>
      <c r="B35" s="417" t="s">
        <v>11</v>
      </c>
      <c r="C35" s="417" t="s">
        <v>44</v>
      </c>
      <c r="D35" s="417" t="s">
        <v>76</v>
      </c>
      <c r="E35" s="381" t="s">
        <v>53</v>
      </c>
      <c r="F35" s="417"/>
      <c r="G35" s="381" t="s">
        <v>624</v>
      </c>
      <c r="H35" s="384" t="s">
        <v>54</v>
      </c>
      <c r="I35" s="385"/>
      <c r="J35" s="381"/>
      <c r="K35" s="382"/>
      <c r="L35" s="418" t="s">
        <v>78</v>
      </c>
      <c r="M35" s="417" t="s">
        <v>77</v>
      </c>
      <c r="N35" s="417"/>
      <c r="O35" s="417" t="s">
        <v>77</v>
      </c>
      <c r="P35" s="419" t="s">
        <v>77</v>
      </c>
      <c r="Q35" s="418"/>
      <c r="R35" s="417"/>
      <c r="S35" s="417"/>
      <c r="T35" s="417"/>
      <c r="U35" s="420" t="s">
        <v>80</v>
      </c>
      <c r="V35" s="416"/>
      <c r="W35" s="381"/>
      <c r="X35" s="381"/>
      <c r="Y35" s="381"/>
      <c r="Z35" s="382"/>
      <c r="AA35" s="383"/>
      <c r="AB35" s="381"/>
      <c r="AC35" s="381"/>
      <c r="AD35" s="381"/>
      <c r="AE35" s="384"/>
      <c r="AF35" s="385"/>
      <c r="AG35" s="381"/>
      <c r="AH35" s="381"/>
      <c r="AI35" s="381"/>
      <c r="AJ35" s="382"/>
      <c r="AK35" s="383"/>
      <c r="AL35" s="381"/>
      <c r="AM35" s="381"/>
      <c r="AN35" s="381"/>
      <c r="AO35" s="384"/>
      <c r="AP35" s="385"/>
      <c r="AQ35" s="381"/>
      <c r="AR35" s="381"/>
      <c r="AS35" s="381"/>
      <c r="AT35" s="382"/>
      <c r="AU35" s="383"/>
      <c r="AV35" s="381"/>
      <c r="AW35" s="381"/>
      <c r="AX35" s="381"/>
      <c r="AY35" s="384"/>
      <c r="AZ35" s="385"/>
      <c r="BA35" s="381"/>
      <c r="BB35" s="381"/>
      <c r="BC35" s="381"/>
      <c r="BD35" s="382"/>
      <c r="BE35" s="383"/>
      <c r="BF35" s="381"/>
      <c r="BG35" s="381"/>
      <c r="BH35" s="381"/>
      <c r="BI35" s="384"/>
      <c r="BJ35" s="385"/>
      <c r="BK35" s="381"/>
      <c r="BL35" s="381"/>
      <c r="BM35" s="381"/>
      <c r="BN35" s="382"/>
      <c r="BO35" s="383"/>
      <c r="BP35" s="381"/>
      <c r="BQ35" s="381"/>
      <c r="BR35" s="381"/>
      <c r="BS35" s="384"/>
      <c r="BT35" s="385"/>
      <c r="BU35" s="381"/>
      <c r="BV35" s="381"/>
      <c r="BW35" s="381"/>
      <c r="BX35" s="382"/>
      <c r="BY35" s="383"/>
      <c r="BZ35" s="381"/>
      <c r="CA35" s="381"/>
      <c r="CB35" s="381"/>
      <c r="CC35" s="384"/>
      <c r="CD35" s="385"/>
      <c r="CE35" s="381"/>
      <c r="CF35" s="381"/>
      <c r="CG35" s="381"/>
      <c r="CH35" s="384"/>
      <c r="CI35" s="385"/>
      <c r="CJ35" s="381"/>
      <c r="CK35" s="381"/>
      <c r="CL35" s="381"/>
      <c r="CM35" s="382"/>
    </row>
    <row r="36" spans="1:91" ht="25.5" customHeight="1">
      <c r="A36" s="386">
        <v>4029</v>
      </c>
      <c r="B36" s="387" t="s">
        <v>11</v>
      </c>
      <c r="C36" s="387" t="s">
        <v>44</v>
      </c>
      <c r="D36" s="387" t="s">
        <v>76</v>
      </c>
      <c r="E36" s="372" t="s">
        <v>53</v>
      </c>
      <c r="F36" s="387"/>
      <c r="G36" s="372" t="s">
        <v>626</v>
      </c>
      <c r="H36" s="371" t="s">
        <v>54</v>
      </c>
      <c r="I36" s="375"/>
      <c r="J36" s="372"/>
      <c r="K36" s="373"/>
      <c r="L36" s="388" t="s">
        <v>78</v>
      </c>
      <c r="M36" s="387" t="s">
        <v>77</v>
      </c>
      <c r="N36" s="387"/>
      <c r="O36" s="387" t="s">
        <v>77</v>
      </c>
      <c r="P36" s="389" t="s">
        <v>77</v>
      </c>
      <c r="Q36" s="388"/>
      <c r="R36" s="387"/>
      <c r="S36" s="387"/>
      <c r="T36" s="387"/>
      <c r="U36" s="390" t="s">
        <v>80</v>
      </c>
      <c r="V36" s="386"/>
      <c r="W36" s="372"/>
      <c r="X36" s="372"/>
      <c r="Y36" s="372"/>
      <c r="Z36" s="373"/>
      <c r="AA36" s="374"/>
      <c r="AB36" s="372"/>
      <c r="AC36" s="372"/>
      <c r="AD36" s="372"/>
      <c r="AE36" s="371"/>
      <c r="AF36" s="375"/>
      <c r="AG36" s="372"/>
      <c r="AH36" s="372"/>
      <c r="AI36" s="372"/>
      <c r="AJ36" s="373"/>
      <c r="AK36" s="374"/>
      <c r="AL36" s="372"/>
      <c r="AM36" s="372"/>
      <c r="AN36" s="372"/>
      <c r="AO36" s="371"/>
      <c r="AP36" s="375"/>
      <c r="AQ36" s="372"/>
      <c r="AR36" s="372"/>
      <c r="AS36" s="372"/>
      <c r="AT36" s="373"/>
      <c r="AU36" s="374"/>
      <c r="AV36" s="372"/>
      <c r="AW36" s="372"/>
      <c r="AX36" s="372"/>
      <c r="AY36" s="371"/>
      <c r="AZ36" s="375"/>
      <c r="BA36" s="372"/>
      <c r="BB36" s="372"/>
      <c r="BC36" s="372"/>
      <c r="BD36" s="373"/>
      <c r="BE36" s="374"/>
      <c r="BF36" s="372"/>
      <c r="BG36" s="372"/>
      <c r="BH36" s="372"/>
      <c r="BI36" s="371"/>
      <c r="BJ36" s="375"/>
      <c r="BK36" s="372"/>
      <c r="BL36" s="372"/>
      <c r="BM36" s="372"/>
      <c r="BN36" s="373"/>
      <c r="BO36" s="374"/>
      <c r="BP36" s="372"/>
      <c r="BQ36" s="372"/>
      <c r="BR36" s="372"/>
      <c r="BS36" s="371"/>
      <c r="BT36" s="375"/>
      <c r="BU36" s="372"/>
      <c r="BV36" s="372"/>
      <c r="BW36" s="372"/>
      <c r="BX36" s="373"/>
      <c r="BY36" s="374"/>
      <c r="BZ36" s="372"/>
      <c r="CA36" s="372"/>
      <c r="CB36" s="372"/>
      <c r="CC36" s="371"/>
      <c r="CD36" s="375"/>
      <c r="CE36" s="372"/>
      <c r="CF36" s="372"/>
      <c r="CG36" s="372"/>
      <c r="CH36" s="371"/>
      <c r="CI36" s="375"/>
      <c r="CJ36" s="372"/>
      <c r="CK36" s="372"/>
      <c r="CL36" s="372"/>
      <c r="CM36" s="373"/>
    </row>
    <row r="37" spans="1:91" ht="25.5" customHeight="1">
      <c r="A37" s="386">
        <v>4030</v>
      </c>
      <c r="B37" s="387" t="s">
        <v>11</v>
      </c>
      <c r="C37" s="387" t="s">
        <v>44</v>
      </c>
      <c r="D37" s="387" t="s">
        <v>76</v>
      </c>
      <c r="E37" s="372" t="s">
        <v>53</v>
      </c>
      <c r="F37" s="387"/>
      <c r="G37" s="372" t="s">
        <v>628</v>
      </c>
      <c r="H37" s="371" t="s">
        <v>54</v>
      </c>
      <c r="I37" s="375"/>
      <c r="J37" s="372"/>
      <c r="K37" s="373"/>
      <c r="L37" s="388" t="s">
        <v>78</v>
      </c>
      <c r="M37" s="387" t="s">
        <v>77</v>
      </c>
      <c r="N37" s="387"/>
      <c r="O37" s="387" t="s">
        <v>77</v>
      </c>
      <c r="P37" s="389" t="s">
        <v>77</v>
      </c>
      <c r="Q37" s="388"/>
      <c r="R37" s="387"/>
      <c r="S37" s="387"/>
      <c r="T37" s="387"/>
      <c r="U37" s="390" t="s">
        <v>80</v>
      </c>
      <c r="V37" s="386"/>
      <c r="W37" s="372"/>
      <c r="X37" s="372"/>
      <c r="Y37" s="372"/>
      <c r="Z37" s="373"/>
      <c r="AA37" s="374"/>
      <c r="AB37" s="372"/>
      <c r="AC37" s="372"/>
      <c r="AD37" s="372"/>
      <c r="AE37" s="371"/>
      <c r="AF37" s="375"/>
      <c r="AG37" s="372"/>
      <c r="AH37" s="372"/>
      <c r="AI37" s="372"/>
      <c r="AJ37" s="373"/>
      <c r="AK37" s="374"/>
      <c r="AL37" s="372"/>
      <c r="AM37" s="372"/>
      <c r="AN37" s="372"/>
      <c r="AO37" s="371"/>
      <c r="AP37" s="375"/>
      <c r="AQ37" s="372"/>
      <c r="AR37" s="372"/>
      <c r="AS37" s="372"/>
      <c r="AT37" s="373"/>
      <c r="AU37" s="374"/>
      <c r="AV37" s="372"/>
      <c r="AW37" s="372"/>
      <c r="AX37" s="372"/>
      <c r="AY37" s="371"/>
      <c r="AZ37" s="375"/>
      <c r="BA37" s="372"/>
      <c r="BB37" s="372"/>
      <c r="BC37" s="372"/>
      <c r="BD37" s="373"/>
      <c r="BE37" s="374"/>
      <c r="BF37" s="372"/>
      <c r="BG37" s="372"/>
      <c r="BH37" s="372"/>
      <c r="BI37" s="371"/>
      <c r="BJ37" s="375"/>
      <c r="BK37" s="372"/>
      <c r="BL37" s="372"/>
      <c r="BM37" s="372"/>
      <c r="BN37" s="373"/>
      <c r="BO37" s="374"/>
      <c r="BP37" s="372"/>
      <c r="BQ37" s="372"/>
      <c r="BR37" s="372"/>
      <c r="BS37" s="371"/>
      <c r="BT37" s="375"/>
      <c r="BU37" s="372"/>
      <c r="BV37" s="372"/>
      <c r="BW37" s="372"/>
      <c r="BX37" s="373"/>
      <c r="BY37" s="374"/>
      <c r="BZ37" s="372"/>
      <c r="CA37" s="372"/>
      <c r="CB37" s="372"/>
      <c r="CC37" s="371"/>
      <c r="CD37" s="375"/>
      <c r="CE37" s="372"/>
      <c r="CF37" s="372"/>
      <c r="CG37" s="372"/>
      <c r="CH37" s="371"/>
      <c r="CI37" s="375"/>
      <c r="CJ37" s="372"/>
      <c r="CK37" s="372"/>
      <c r="CL37" s="372"/>
      <c r="CM37" s="373"/>
    </row>
    <row r="38" spans="1:91" ht="25.5" customHeight="1">
      <c r="A38" s="386">
        <v>4031</v>
      </c>
      <c r="B38" s="387" t="s">
        <v>11</v>
      </c>
      <c r="C38" s="387" t="s">
        <v>44</v>
      </c>
      <c r="D38" s="387" t="s">
        <v>76</v>
      </c>
      <c r="E38" s="372" t="s">
        <v>53</v>
      </c>
      <c r="F38" s="387"/>
      <c r="G38" s="372" t="s">
        <v>630</v>
      </c>
      <c r="H38" s="371" t="s">
        <v>54</v>
      </c>
      <c r="I38" s="375"/>
      <c r="J38" s="372"/>
      <c r="K38" s="373"/>
      <c r="L38" s="388" t="s">
        <v>78</v>
      </c>
      <c r="M38" s="387" t="s">
        <v>77</v>
      </c>
      <c r="N38" s="387"/>
      <c r="O38" s="387" t="s">
        <v>77</v>
      </c>
      <c r="P38" s="389" t="s">
        <v>77</v>
      </c>
      <c r="Q38" s="388"/>
      <c r="R38" s="387"/>
      <c r="S38" s="387"/>
      <c r="T38" s="387"/>
      <c r="U38" s="390" t="s">
        <v>80</v>
      </c>
      <c r="V38" s="386"/>
      <c r="W38" s="372"/>
      <c r="X38" s="372"/>
      <c r="Y38" s="372"/>
      <c r="Z38" s="373"/>
      <c r="AA38" s="374"/>
      <c r="AB38" s="372"/>
      <c r="AC38" s="372"/>
      <c r="AD38" s="372"/>
      <c r="AE38" s="371"/>
      <c r="AF38" s="375"/>
      <c r="AG38" s="372"/>
      <c r="AH38" s="372"/>
      <c r="AI38" s="372"/>
      <c r="AJ38" s="373"/>
      <c r="AK38" s="374"/>
      <c r="AL38" s="372"/>
      <c r="AM38" s="372"/>
      <c r="AN38" s="372"/>
      <c r="AO38" s="371"/>
      <c r="AP38" s="375"/>
      <c r="AQ38" s="372"/>
      <c r="AR38" s="372"/>
      <c r="AS38" s="372"/>
      <c r="AT38" s="373"/>
      <c r="AU38" s="374"/>
      <c r="AV38" s="372"/>
      <c r="AW38" s="372"/>
      <c r="AX38" s="372"/>
      <c r="AY38" s="371"/>
      <c r="AZ38" s="375"/>
      <c r="BA38" s="372"/>
      <c r="BB38" s="372"/>
      <c r="BC38" s="372"/>
      <c r="BD38" s="373"/>
      <c r="BE38" s="374"/>
      <c r="BF38" s="372"/>
      <c r="BG38" s="372"/>
      <c r="BH38" s="372"/>
      <c r="BI38" s="371"/>
      <c r="BJ38" s="375"/>
      <c r="BK38" s="372"/>
      <c r="BL38" s="372"/>
      <c r="BM38" s="372"/>
      <c r="BN38" s="373"/>
      <c r="BO38" s="374"/>
      <c r="BP38" s="372"/>
      <c r="BQ38" s="372"/>
      <c r="BR38" s="372"/>
      <c r="BS38" s="371"/>
      <c r="BT38" s="375"/>
      <c r="BU38" s="372"/>
      <c r="BV38" s="372"/>
      <c r="BW38" s="372"/>
      <c r="BX38" s="373"/>
      <c r="BY38" s="374"/>
      <c r="BZ38" s="372"/>
      <c r="CA38" s="372"/>
      <c r="CB38" s="372"/>
      <c r="CC38" s="371"/>
      <c r="CD38" s="375"/>
      <c r="CE38" s="372"/>
      <c r="CF38" s="372"/>
      <c r="CG38" s="372"/>
      <c r="CH38" s="371"/>
      <c r="CI38" s="375"/>
      <c r="CJ38" s="372"/>
      <c r="CK38" s="372"/>
      <c r="CL38" s="372"/>
      <c r="CM38" s="373"/>
    </row>
    <row r="39" spans="1:91" ht="25.5" customHeight="1" thickBot="1">
      <c r="A39" s="391">
        <v>4032</v>
      </c>
      <c r="B39" s="392" t="s">
        <v>11</v>
      </c>
      <c r="C39" s="392" t="s">
        <v>44</v>
      </c>
      <c r="D39" s="392" t="s">
        <v>76</v>
      </c>
      <c r="E39" s="393" t="s">
        <v>53</v>
      </c>
      <c r="F39" s="392"/>
      <c r="G39" s="393" t="s">
        <v>632</v>
      </c>
      <c r="H39" s="394" t="s">
        <v>54</v>
      </c>
      <c r="I39" s="395"/>
      <c r="J39" s="393"/>
      <c r="K39" s="396"/>
      <c r="L39" s="397" t="s">
        <v>78</v>
      </c>
      <c r="M39" s="392" t="s">
        <v>77</v>
      </c>
      <c r="N39" s="392"/>
      <c r="O39" s="392" t="s">
        <v>77</v>
      </c>
      <c r="P39" s="398" t="s">
        <v>77</v>
      </c>
      <c r="Q39" s="397"/>
      <c r="R39" s="392"/>
      <c r="S39" s="392"/>
      <c r="T39" s="392"/>
      <c r="U39" s="399" t="s">
        <v>80</v>
      </c>
      <c r="V39" s="391"/>
      <c r="W39" s="393"/>
      <c r="X39" s="393"/>
      <c r="Y39" s="393"/>
      <c r="Z39" s="396"/>
      <c r="AA39" s="400"/>
      <c r="AB39" s="393"/>
      <c r="AC39" s="393"/>
      <c r="AD39" s="393"/>
      <c r="AE39" s="394"/>
      <c r="AF39" s="395"/>
      <c r="AG39" s="393"/>
      <c r="AH39" s="393"/>
      <c r="AI39" s="393"/>
      <c r="AJ39" s="396"/>
      <c r="AK39" s="400"/>
      <c r="AL39" s="393"/>
      <c r="AM39" s="393"/>
      <c r="AN39" s="393"/>
      <c r="AO39" s="394"/>
      <c r="AP39" s="395"/>
      <c r="AQ39" s="393"/>
      <c r="AR39" s="393"/>
      <c r="AS39" s="393"/>
      <c r="AT39" s="396"/>
      <c r="AU39" s="400"/>
      <c r="AV39" s="393"/>
      <c r="AW39" s="393"/>
      <c r="AX39" s="393"/>
      <c r="AY39" s="394"/>
      <c r="AZ39" s="395"/>
      <c r="BA39" s="393"/>
      <c r="BB39" s="393"/>
      <c r="BC39" s="393"/>
      <c r="BD39" s="396"/>
      <c r="BE39" s="400"/>
      <c r="BF39" s="393"/>
      <c r="BG39" s="393"/>
      <c r="BH39" s="393"/>
      <c r="BI39" s="394"/>
      <c r="BJ39" s="395"/>
      <c r="BK39" s="393"/>
      <c r="BL39" s="393"/>
      <c r="BM39" s="393"/>
      <c r="BN39" s="396"/>
      <c r="BO39" s="400"/>
      <c r="BP39" s="393"/>
      <c r="BQ39" s="393"/>
      <c r="BR39" s="393"/>
      <c r="BS39" s="394"/>
      <c r="BT39" s="395"/>
      <c r="BU39" s="393"/>
      <c r="BV39" s="393"/>
      <c r="BW39" s="393"/>
      <c r="BX39" s="396"/>
      <c r="BY39" s="400"/>
      <c r="BZ39" s="393"/>
      <c r="CA39" s="393"/>
      <c r="CB39" s="393"/>
      <c r="CC39" s="394"/>
      <c r="CD39" s="395"/>
      <c r="CE39" s="393"/>
      <c r="CF39" s="393"/>
      <c r="CG39" s="393"/>
      <c r="CH39" s="394"/>
      <c r="CI39" s="395"/>
      <c r="CJ39" s="393"/>
      <c r="CK39" s="393"/>
      <c r="CL39" s="393"/>
      <c r="CM39" s="396"/>
    </row>
    <row r="40" spans="1:91" ht="25.5" customHeight="1">
      <c r="A40" s="401">
        <v>4033</v>
      </c>
      <c r="B40" s="402" t="s">
        <v>11</v>
      </c>
      <c r="C40" s="402" t="s">
        <v>44</v>
      </c>
      <c r="D40" s="402" t="s">
        <v>76</v>
      </c>
      <c r="E40" s="403" t="s">
        <v>53</v>
      </c>
      <c r="F40" s="402"/>
      <c r="G40" s="403" t="s">
        <v>634</v>
      </c>
      <c r="H40" s="404" t="s">
        <v>54</v>
      </c>
      <c r="I40" s="405"/>
      <c r="J40" s="403"/>
      <c r="K40" s="406"/>
      <c r="L40" s="407" t="s">
        <v>78</v>
      </c>
      <c r="M40" s="402" t="s">
        <v>77</v>
      </c>
      <c r="N40" s="402"/>
      <c r="O40" s="402" t="s">
        <v>77</v>
      </c>
      <c r="P40" s="408" t="s">
        <v>77</v>
      </c>
      <c r="Q40" s="407"/>
      <c r="R40" s="402"/>
      <c r="S40" s="402"/>
      <c r="T40" s="402"/>
      <c r="U40" s="409" t="s">
        <v>80</v>
      </c>
      <c r="V40" s="401"/>
      <c r="W40" s="403"/>
      <c r="X40" s="403"/>
      <c r="Y40" s="403"/>
      <c r="Z40" s="406"/>
      <c r="AA40" s="410"/>
      <c r="AB40" s="403"/>
      <c r="AC40" s="403"/>
      <c r="AD40" s="403"/>
      <c r="AE40" s="404"/>
      <c r="AF40" s="405"/>
      <c r="AG40" s="403"/>
      <c r="AH40" s="403"/>
      <c r="AI40" s="403"/>
      <c r="AJ40" s="406"/>
      <c r="AK40" s="410"/>
      <c r="AL40" s="403"/>
      <c r="AM40" s="403"/>
      <c r="AN40" s="403"/>
      <c r="AO40" s="404"/>
      <c r="AP40" s="405"/>
      <c r="AQ40" s="403"/>
      <c r="AR40" s="403"/>
      <c r="AS40" s="403"/>
      <c r="AT40" s="406"/>
      <c r="AU40" s="410"/>
      <c r="AV40" s="403"/>
      <c r="AW40" s="403"/>
      <c r="AX40" s="403"/>
      <c r="AY40" s="404"/>
      <c r="AZ40" s="405"/>
      <c r="BA40" s="403"/>
      <c r="BB40" s="403"/>
      <c r="BC40" s="403"/>
      <c r="BD40" s="406"/>
      <c r="BE40" s="410"/>
      <c r="BF40" s="403"/>
      <c r="BG40" s="403"/>
      <c r="BH40" s="403"/>
      <c r="BI40" s="404"/>
      <c r="BJ40" s="405"/>
      <c r="BK40" s="403"/>
      <c r="BL40" s="403"/>
      <c r="BM40" s="403"/>
      <c r="BN40" s="406"/>
      <c r="BO40" s="410"/>
      <c r="BP40" s="403"/>
      <c r="BQ40" s="403"/>
      <c r="BR40" s="403"/>
      <c r="BS40" s="404"/>
      <c r="BT40" s="405"/>
      <c r="BU40" s="403"/>
      <c r="BV40" s="403"/>
      <c r="BW40" s="403"/>
      <c r="BX40" s="406"/>
      <c r="BY40" s="410"/>
      <c r="BZ40" s="403"/>
      <c r="CA40" s="403"/>
      <c r="CB40" s="403"/>
      <c r="CC40" s="404"/>
      <c r="CD40" s="405"/>
      <c r="CE40" s="403"/>
      <c r="CF40" s="403"/>
      <c r="CG40" s="403"/>
      <c r="CH40" s="404"/>
      <c r="CI40" s="405"/>
      <c r="CJ40" s="403"/>
      <c r="CK40" s="403"/>
      <c r="CL40" s="403"/>
      <c r="CM40" s="406"/>
    </row>
    <row r="41" spans="1:91" ht="25.5" customHeight="1">
      <c r="A41" s="386">
        <v>4034</v>
      </c>
      <c r="B41" s="387" t="s">
        <v>11</v>
      </c>
      <c r="C41" s="387" t="s">
        <v>44</v>
      </c>
      <c r="D41" s="387" t="s">
        <v>76</v>
      </c>
      <c r="E41" s="372" t="s">
        <v>53</v>
      </c>
      <c r="F41" s="387"/>
      <c r="G41" s="372" t="s">
        <v>636</v>
      </c>
      <c r="H41" s="371" t="s">
        <v>54</v>
      </c>
      <c r="I41" s="375"/>
      <c r="J41" s="372"/>
      <c r="K41" s="373"/>
      <c r="L41" s="388" t="s">
        <v>78</v>
      </c>
      <c r="M41" s="387" t="s">
        <v>77</v>
      </c>
      <c r="N41" s="387"/>
      <c r="O41" s="387" t="s">
        <v>77</v>
      </c>
      <c r="P41" s="389" t="s">
        <v>77</v>
      </c>
      <c r="Q41" s="388"/>
      <c r="R41" s="387"/>
      <c r="S41" s="387"/>
      <c r="T41" s="387"/>
      <c r="U41" s="390" t="s">
        <v>80</v>
      </c>
      <c r="V41" s="386"/>
      <c r="W41" s="372"/>
      <c r="X41" s="372"/>
      <c r="Y41" s="372"/>
      <c r="Z41" s="373"/>
      <c r="AA41" s="374"/>
      <c r="AB41" s="372"/>
      <c r="AC41" s="372"/>
      <c r="AD41" s="372"/>
      <c r="AE41" s="371"/>
      <c r="AF41" s="375"/>
      <c r="AG41" s="372"/>
      <c r="AH41" s="372"/>
      <c r="AI41" s="372"/>
      <c r="AJ41" s="373"/>
      <c r="AK41" s="374"/>
      <c r="AL41" s="372"/>
      <c r="AM41" s="372"/>
      <c r="AN41" s="372"/>
      <c r="AO41" s="371"/>
      <c r="AP41" s="375"/>
      <c r="AQ41" s="372"/>
      <c r="AR41" s="372"/>
      <c r="AS41" s="372"/>
      <c r="AT41" s="373"/>
      <c r="AU41" s="374"/>
      <c r="AV41" s="372"/>
      <c r="AW41" s="372"/>
      <c r="AX41" s="372"/>
      <c r="AY41" s="371"/>
      <c r="AZ41" s="375"/>
      <c r="BA41" s="372"/>
      <c r="BB41" s="372"/>
      <c r="BC41" s="372"/>
      <c r="BD41" s="373"/>
      <c r="BE41" s="374"/>
      <c r="BF41" s="372"/>
      <c r="BG41" s="372"/>
      <c r="BH41" s="372"/>
      <c r="BI41" s="371"/>
      <c r="BJ41" s="375"/>
      <c r="BK41" s="372"/>
      <c r="BL41" s="372"/>
      <c r="BM41" s="372"/>
      <c r="BN41" s="373"/>
      <c r="BO41" s="374"/>
      <c r="BP41" s="372"/>
      <c r="BQ41" s="372"/>
      <c r="BR41" s="372"/>
      <c r="BS41" s="371"/>
      <c r="BT41" s="375"/>
      <c r="BU41" s="372"/>
      <c r="BV41" s="372"/>
      <c r="BW41" s="372"/>
      <c r="BX41" s="373"/>
      <c r="BY41" s="374"/>
      <c r="BZ41" s="372"/>
      <c r="CA41" s="372"/>
      <c r="CB41" s="372"/>
      <c r="CC41" s="371"/>
      <c r="CD41" s="375"/>
      <c r="CE41" s="372"/>
      <c r="CF41" s="372"/>
      <c r="CG41" s="372"/>
      <c r="CH41" s="371"/>
      <c r="CI41" s="375"/>
      <c r="CJ41" s="372"/>
      <c r="CK41" s="372"/>
      <c r="CL41" s="372"/>
      <c r="CM41" s="373"/>
    </row>
    <row r="42" spans="1:91" ht="25.5" customHeight="1">
      <c r="A42" s="386">
        <v>4035</v>
      </c>
      <c r="B42" s="387" t="s">
        <v>11</v>
      </c>
      <c r="C42" s="387" t="s">
        <v>44</v>
      </c>
      <c r="D42" s="387" t="s">
        <v>76</v>
      </c>
      <c r="E42" s="372" t="s">
        <v>53</v>
      </c>
      <c r="F42" s="387"/>
      <c r="G42" s="372" t="s">
        <v>638</v>
      </c>
      <c r="H42" s="371" t="s">
        <v>54</v>
      </c>
      <c r="I42" s="375"/>
      <c r="J42" s="372"/>
      <c r="K42" s="373"/>
      <c r="L42" s="388" t="s">
        <v>78</v>
      </c>
      <c r="M42" s="387" t="s">
        <v>77</v>
      </c>
      <c r="N42" s="387"/>
      <c r="O42" s="387" t="s">
        <v>77</v>
      </c>
      <c r="P42" s="389" t="s">
        <v>77</v>
      </c>
      <c r="Q42" s="388"/>
      <c r="R42" s="387"/>
      <c r="S42" s="387"/>
      <c r="T42" s="387"/>
      <c r="U42" s="390" t="s">
        <v>80</v>
      </c>
      <c r="V42" s="386"/>
      <c r="W42" s="372"/>
      <c r="X42" s="372"/>
      <c r="Y42" s="372"/>
      <c r="Z42" s="373"/>
      <c r="AA42" s="374"/>
      <c r="AB42" s="372"/>
      <c r="AC42" s="372"/>
      <c r="AD42" s="372"/>
      <c r="AE42" s="371"/>
      <c r="AF42" s="375"/>
      <c r="AG42" s="372"/>
      <c r="AH42" s="372"/>
      <c r="AI42" s="372"/>
      <c r="AJ42" s="373"/>
      <c r="AK42" s="374"/>
      <c r="AL42" s="372"/>
      <c r="AM42" s="372"/>
      <c r="AN42" s="372"/>
      <c r="AO42" s="371"/>
      <c r="AP42" s="375"/>
      <c r="AQ42" s="372"/>
      <c r="AR42" s="372"/>
      <c r="AS42" s="372"/>
      <c r="AT42" s="373"/>
      <c r="AU42" s="374"/>
      <c r="AV42" s="372"/>
      <c r="AW42" s="372"/>
      <c r="AX42" s="372"/>
      <c r="AY42" s="371"/>
      <c r="AZ42" s="375"/>
      <c r="BA42" s="372"/>
      <c r="BB42" s="372"/>
      <c r="BC42" s="372"/>
      <c r="BD42" s="373"/>
      <c r="BE42" s="374"/>
      <c r="BF42" s="372"/>
      <c r="BG42" s="372"/>
      <c r="BH42" s="372"/>
      <c r="BI42" s="371"/>
      <c r="BJ42" s="375"/>
      <c r="BK42" s="372"/>
      <c r="BL42" s="372"/>
      <c r="BM42" s="372"/>
      <c r="BN42" s="373"/>
      <c r="BO42" s="374"/>
      <c r="BP42" s="372"/>
      <c r="BQ42" s="372"/>
      <c r="BR42" s="372"/>
      <c r="BS42" s="371"/>
      <c r="BT42" s="375"/>
      <c r="BU42" s="372"/>
      <c r="BV42" s="372"/>
      <c r="BW42" s="372"/>
      <c r="BX42" s="373"/>
      <c r="BY42" s="374"/>
      <c r="BZ42" s="372"/>
      <c r="CA42" s="372"/>
      <c r="CB42" s="372"/>
      <c r="CC42" s="371"/>
      <c r="CD42" s="375"/>
      <c r="CE42" s="372"/>
      <c r="CF42" s="372"/>
      <c r="CG42" s="372"/>
      <c r="CH42" s="371"/>
      <c r="CI42" s="375"/>
      <c r="CJ42" s="372"/>
      <c r="CK42" s="372"/>
      <c r="CL42" s="372"/>
      <c r="CM42" s="373"/>
    </row>
    <row r="43" spans="1:91" ht="25.5" customHeight="1">
      <c r="A43" s="386">
        <v>4036</v>
      </c>
      <c r="B43" s="387" t="s">
        <v>11</v>
      </c>
      <c r="C43" s="387" t="s">
        <v>44</v>
      </c>
      <c r="D43" s="387" t="s">
        <v>76</v>
      </c>
      <c r="E43" s="372" t="s">
        <v>53</v>
      </c>
      <c r="F43" s="387"/>
      <c r="G43" s="372" t="s">
        <v>640</v>
      </c>
      <c r="H43" s="371" t="s">
        <v>54</v>
      </c>
      <c r="I43" s="375"/>
      <c r="J43" s="372"/>
      <c r="K43" s="373"/>
      <c r="L43" s="388" t="s">
        <v>78</v>
      </c>
      <c r="M43" s="387" t="s">
        <v>77</v>
      </c>
      <c r="N43" s="387"/>
      <c r="O43" s="387" t="s">
        <v>77</v>
      </c>
      <c r="P43" s="389" t="s">
        <v>77</v>
      </c>
      <c r="Q43" s="388"/>
      <c r="R43" s="387"/>
      <c r="S43" s="387"/>
      <c r="T43" s="387"/>
      <c r="U43" s="390" t="s">
        <v>80</v>
      </c>
      <c r="V43" s="386"/>
      <c r="W43" s="372"/>
      <c r="X43" s="372"/>
      <c r="Y43" s="372"/>
      <c r="Z43" s="373"/>
      <c r="AA43" s="374"/>
      <c r="AB43" s="372"/>
      <c r="AC43" s="372"/>
      <c r="AD43" s="372"/>
      <c r="AE43" s="371"/>
      <c r="AF43" s="375"/>
      <c r="AG43" s="372"/>
      <c r="AH43" s="372"/>
      <c r="AI43" s="372"/>
      <c r="AJ43" s="373"/>
      <c r="AK43" s="374"/>
      <c r="AL43" s="372"/>
      <c r="AM43" s="372"/>
      <c r="AN43" s="372"/>
      <c r="AO43" s="371"/>
      <c r="AP43" s="375"/>
      <c r="AQ43" s="372"/>
      <c r="AR43" s="372"/>
      <c r="AS43" s="372"/>
      <c r="AT43" s="373"/>
      <c r="AU43" s="374"/>
      <c r="AV43" s="372"/>
      <c r="AW43" s="372"/>
      <c r="AX43" s="372"/>
      <c r="AY43" s="371"/>
      <c r="AZ43" s="375"/>
      <c r="BA43" s="372"/>
      <c r="BB43" s="372"/>
      <c r="BC43" s="372"/>
      <c r="BD43" s="373"/>
      <c r="BE43" s="374"/>
      <c r="BF43" s="372"/>
      <c r="BG43" s="372"/>
      <c r="BH43" s="372"/>
      <c r="BI43" s="371"/>
      <c r="BJ43" s="375"/>
      <c r="BK43" s="372"/>
      <c r="BL43" s="372"/>
      <c r="BM43" s="372"/>
      <c r="BN43" s="373"/>
      <c r="BO43" s="374"/>
      <c r="BP43" s="372"/>
      <c r="BQ43" s="372"/>
      <c r="BR43" s="372"/>
      <c r="BS43" s="371"/>
      <c r="BT43" s="375"/>
      <c r="BU43" s="372"/>
      <c r="BV43" s="372"/>
      <c r="BW43" s="372"/>
      <c r="BX43" s="373"/>
      <c r="BY43" s="374"/>
      <c r="BZ43" s="372"/>
      <c r="CA43" s="372"/>
      <c r="CB43" s="372"/>
      <c r="CC43" s="371"/>
      <c r="CD43" s="375"/>
      <c r="CE43" s="372"/>
      <c r="CF43" s="372"/>
      <c r="CG43" s="372"/>
      <c r="CH43" s="371"/>
      <c r="CI43" s="375"/>
      <c r="CJ43" s="372"/>
      <c r="CK43" s="372"/>
      <c r="CL43" s="372"/>
      <c r="CM43" s="373"/>
    </row>
    <row r="44" spans="1:91" ht="25.5" customHeight="1" thickBot="1">
      <c r="A44" s="411">
        <v>4037</v>
      </c>
      <c r="B44" s="412" t="s">
        <v>11</v>
      </c>
      <c r="C44" s="412" t="s">
        <v>44</v>
      </c>
      <c r="D44" s="412" t="s">
        <v>76</v>
      </c>
      <c r="E44" s="377" t="s">
        <v>53</v>
      </c>
      <c r="F44" s="412"/>
      <c r="G44" s="377" t="s">
        <v>642</v>
      </c>
      <c r="H44" s="376" t="s">
        <v>54</v>
      </c>
      <c r="I44" s="380"/>
      <c r="J44" s="377"/>
      <c r="K44" s="378"/>
      <c r="L44" s="413" t="s">
        <v>78</v>
      </c>
      <c r="M44" s="412" t="s">
        <v>77</v>
      </c>
      <c r="N44" s="412"/>
      <c r="O44" s="412" t="s">
        <v>77</v>
      </c>
      <c r="P44" s="414" t="s">
        <v>77</v>
      </c>
      <c r="Q44" s="413"/>
      <c r="R44" s="412"/>
      <c r="S44" s="412"/>
      <c r="T44" s="412"/>
      <c r="U44" s="415" t="s">
        <v>80</v>
      </c>
      <c r="V44" s="411"/>
      <c r="W44" s="377"/>
      <c r="X44" s="377"/>
      <c r="Y44" s="377"/>
      <c r="Z44" s="378"/>
      <c r="AA44" s="379"/>
      <c r="AB44" s="377"/>
      <c r="AC44" s="377"/>
      <c r="AD44" s="377"/>
      <c r="AE44" s="376"/>
      <c r="AF44" s="380"/>
      <c r="AG44" s="377"/>
      <c r="AH44" s="377"/>
      <c r="AI44" s="377"/>
      <c r="AJ44" s="378"/>
      <c r="AK44" s="379"/>
      <c r="AL44" s="377"/>
      <c r="AM44" s="377"/>
      <c r="AN44" s="377"/>
      <c r="AO44" s="376"/>
      <c r="AP44" s="380"/>
      <c r="AQ44" s="377"/>
      <c r="AR44" s="377"/>
      <c r="AS44" s="377"/>
      <c r="AT44" s="378"/>
      <c r="AU44" s="379"/>
      <c r="AV44" s="377"/>
      <c r="AW44" s="377"/>
      <c r="AX44" s="377"/>
      <c r="AY44" s="376"/>
      <c r="AZ44" s="380"/>
      <c r="BA44" s="377"/>
      <c r="BB44" s="377"/>
      <c r="BC44" s="377"/>
      <c r="BD44" s="378"/>
      <c r="BE44" s="379"/>
      <c r="BF44" s="377"/>
      <c r="BG44" s="377"/>
      <c r="BH44" s="377"/>
      <c r="BI44" s="376"/>
      <c r="BJ44" s="380"/>
      <c r="BK44" s="377"/>
      <c r="BL44" s="377"/>
      <c r="BM44" s="377"/>
      <c r="BN44" s="378"/>
      <c r="BO44" s="379"/>
      <c r="BP44" s="377"/>
      <c r="BQ44" s="377"/>
      <c r="BR44" s="377"/>
      <c r="BS44" s="376"/>
      <c r="BT44" s="380"/>
      <c r="BU44" s="377"/>
      <c r="BV44" s="377"/>
      <c r="BW44" s="377"/>
      <c r="BX44" s="378"/>
      <c r="BY44" s="379"/>
      <c r="BZ44" s="377"/>
      <c r="CA44" s="377"/>
      <c r="CB44" s="377"/>
      <c r="CC44" s="376"/>
      <c r="CD44" s="380"/>
      <c r="CE44" s="377"/>
      <c r="CF44" s="377"/>
      <c r="CG44" s="377"/>
      <c r="CH44" s="376"/>
      <c r="CI44" s="380"/>
      <c r="CJ44" s="377"/>
      <c r="CK44" s="377"/>
      <c r="CL44" s="377"/>
      <c r="CM44" s="378"/>
    </row>
    <row r="45" spans="1:91" ht="25.5" customHeight="1">
      <c r="A45" s="416">
        <v>4038</v>
      </c>
      <c r="B45" s="417" t="s">
        <v>11</v>
      </c>
      <c r="C45" s="417" t="s">
        <v>44</v>
      </c>
      <c r="D45" s="417" t="s">
        <v>76</v>
      </c>
      <c r="E45" s="381" t="s">
        <v>53</v>
      </c>
      <c r="F45" s="417"/>
      <c r="G45" s="381" t="s">
        <v>644</v>
      </c>
      <c r="H45" s="384" t="s">
        <v>54</v>
      </c>
      <c r="I45" s="385"/>
      <c r="J45" s="381"/>
      <c r="K45" s="382"/>
      <c r="L45" s="418" t="s">
        <v>78</v>
      </c>
      <c r="M45" s="417" t="s">
        <v>77</v>
      </c>
      <c r="N45" s="417"/>
      <c r="O45" s="417" t="s">
        <v>77</v>
      </c>
      <c r="P45" s="419" t="s">
        <v>77</v>
      </c>
      <c r="Q45" s="418"/>
      <c r="R45" s="417"/>
      <c r="S45" s="417"/>
      <c r="T45" s="417"/>
      <c r="U45" s="420" t="s">
        <v>80</v>
      </c>
      <c r="V45" s="416"/>
      <c r="W45" s="381"/>
      <c r="X45" s="381"/>
      <c r="Y45" s="381"/>
      <c r="Z45" s="382"/>
      <c r="AA45" s="383"/>
      <c r="AB45" s="381"/>
      <c r="AC45" s="381"/>
      <c r="AD45" s="381"/>
      <c r="AE45" s="384"/>
      <c r="AF45" s="385"/>
      <c r="AG45" s="381"/>
      <c r="AH45" s="381"/>
      <c r="AI45" s="381"/>
      <c r="AJ45" s="382"/>
      <c r="AK45" s="383"/>
      <c r="AL45" s="381"/>
      <c r="AM45" s="381"/>
      <c r="AN45" s="381"/>
      <c r="AO45" s="384"/>
      <c r="AP45" s="385"/>
      <c r="AQ45" s="381"/>
      <c r="AR45" s="381"/>
      <c r="AS45" s="381"/>
      <c r="AT45" s="382"/>
      <c r="AU45" s="383"/>
      <c r="AV45" s="381"/>
      <c r="AW45" s="381"/>
      <c r="AX45" s="381"/>
      <c r="AY45" s="384"/>
      <c r="AZ45" s="385"/>
      <c r="BA45" s="381"/>
      <c r="BB45" s="381"/>
      <c r="BC45" s="381"/>
      <c r="BD45" s="382"/>
      <c r="BE45" s="383"/>
      <c r="BF45" s="381"/>
      <c r="BG45" s="381"/>
      <c r="BH45" s="381"/>
      <c r="BI45" s="384"/>
      <c r="BJ45" s="385"/>
      <c r="BK45" s="381"/>
      <c r="BL45" s="381"/>
      <c r="BM45" s="381"/>
      <c r="BN45" s="382"/>
      <c r="BO45" s="383"/>
      <c r="BP45" s="381"/>
      <c r="BQ45" s="381"/>
      <c r="BR45" s="381"/>
      <c r="BS45" s="384"/>
      <c r="BT45" s="385"/>
      <c r="BU45" s="381"/>
      <c r="BV45" s="381"/>
      <c r="BW45" s="381"/>
      <c r="BX45" s="382"/>
      <c r="BY45" s="383"/>
      <c r="BZ45" s="381"/>
      <c r="CA45" s="381"/>
      <c r="CB45" s="381"/>
      <c r="CC45" s="384"/>
      <c r="CD45" s="385"/>
      <c r="CE45" s="381"/>
      <c r="CF45" s="381"/>
      <c r="CG45" s="381"/>
      <c r="CH45" s="384"/>
      <c r="CI45" s="385"/>
      <c r="CJ45" s="381"/>
      <c r="CK45" s="381"/>
      <c r="CL45" s="381"/>
      <c r="CM45" s="382"/>
    </row>
    <row r="46" spans="1:91" ht="25.5" customHeight="1">
      <c r="A46" s="386">
        <v>4039</v>
      </c>
      <c r="B46" s="387" t="s">
        <v>11</v>
      </c>
      <c r="C46" s="387" t="s">
        <v>44</v>
      </c>
      <c r="D46" s="387" t="s">
        <v>76</v>
      </c>
      <c r="E46" s="372" t="s">
        <v>53</v>
      </c>
      <c r="F46" s="387"/>
      <c r="G46" s="372" t="s">
        <v>646</v>
      </c>
      <c r="H46" s="371" t="s">
        <v>54</v>
      </c>
      <c r="I46" s="375"/>
      <c r="J46" s="372"/>
      <c r="K46" s="373"/>
      <c r="L46" s="388" t="s">
        <v>78</v>
      </c>
      <c r="M46" s="387" t="s">
        <v>77</v>
      </c>
      <c r="N46" s="387"/>
      <c r="O46" s="387" t="s">
        <v>77</v>
      </c>
      <c r="P46" s="389" t="s">
        <v>77</v>
      </c>
      <c r="Q46" s="388"/>
      <c r="R46" s="387"/>
      <c r="S46" s="387"/>
      <c r="T46" s="387"/>
      <c r="U46" s="390" t="s">
        <v>80</v>
      </c>
      <c r="V46" s="386"/>
      <c r="W46" s="372"/>
      <c r="X46" s="372"/>
      <c r="Y46" s="372"/>
      <c r="Z46" s="373"/>
      <c r="AA46" s="374"/>
      <c r="AB46" s="372"/>
      <c r="AC46" s="372"/>
      <c r="AD46" s="372"/>
      <c r="AE46" s="371"/>
      <c r="AF46" s="375"/>
      <c r="AG46" s="372"/>
      <c r="AH46" s="372"/>
      <c r="AI46" s="372"/>
      <c r="AJ46" s="373"/>
      <c r="AK46" s="374"/>
      <c r="AL46" s="372"/>
      <c r="AM46" s="372"/>
      <c r="AN46" s="372"/>
      <c r="AO46" s="371"/>
      <c r="AP46" s="375"/>
      <c r="AQ46" s="372"/>
      <c r="AR46" s="372"/>
      <c r="AS46" s="372"/>
      <c r="AT46" s="373"/>
      <c r="AU46" s="374"/>
      <c r="AV46" s="372"/>
      <c r="AW46" s="372"/>
      <c r="AX46" s="372"/>
      <c r="AY46" s="371"/>
      <c r="AZ46" s="375"/>
      <c r="BA46" s="372"/>
      <c r="BB46" s="372"/>
      <c r="BC46" s="372"/>
      <c r="BD46" s="373"/>
      <c r="BE46" s="374"/>
      <c r="BF46" s="372"/>
      <c r="BG46" s="372"/>
      <c r="BH46" s="372"/>
      <c r="BI46" s="371"/>
      <c r="BJ46" s="375"/>
      <c r="BK46" s="372"/>
      <c r="BL46" s="372"/>
      <c r="BM46" s="372"/>
      <c r="BN46" s="373"/>
      <c r="BO46" s="374"/>
      <c r="BP46" s="372"/>
      <c r="BQ46" s="372"/>
      <c r="BR46" s="372"/>
      <c r="BS46" s="371"/>
      <c r="BT46" s="375"/>
      <c r="BU46" s="372"/>
      <c r="BV46" s="372"/>
      <c r="BW46" s="372"/>
      <c r="BX46" s="373"/>
      <c r="BY46" s="374"/>
      <c r="BZ46" s="372"/>
      <c r="CA46" s="372"/>
      <c r="CB46" s="372"/>
      <c r="CC46" s="371"/>
      <c r="CD46" s="375"/>
      <c r="CE46" s="372"/>
      <c r="CF46" s="372"/>
      <c r="CG46" s="372"/>
      <c r="CH46" s="371"/>
      <c r="CI46" s="375"/>
      <c r="CJ46" s="372"/>
      <c r="CK46" s="372"/>
      <c r="CL46" s="372"/>
      <c r="CM46" s="373"/>
    </row>
    <row r="47" spans="1:91" ht="25.5" customHeight="1">
      <c r="A47" s="386">
        <v>4040</v>
      </c>
      <c r="B47" s="387" t="s">
        <v>11</v>
      </c>
      <c r="C47" s="387" t="s">
        <v>44</v>
      </c>
      <c r="D47" s="387" t="s">
        <v>76</v>
      </c>
      <c r="E47" s="372" t="s">
        <v>53</v>
      </c>
      <c r="F47" s="387"/>
      <c r="G47" s="372" t="s">
        <v>648</v>
      </c>
      <c r="H47" s="371" t="s">
        <v>54</v>
      </c>
      <c r="I47" s="375"/>
      <c r="J47" s="372"/>
      <c r="K47" s="373"/>
      <c r="L47" s="388" t="s">
        <v>78</v>
      </c>
      <c r="M47" s="387" t="s">
        <v>77</v>
      </c>
      <c r="N47" s="387"/>
      <c r="O47" s="387" t="s">
        <v>77</v>
      </c>
      <c r="P47" s="389" t="s">
        <v>77</v>
      </c>
      <c r="Q47" s="388"/>
      <c r="R47" s="387"/>
      <c r="S47" s="387"/>
      <c r="T47" s="387"/>
      <c r="U47" s="390" t="s">
        <v>80</v>
      </c>
      <c r="V47" s="386"/>
      <c r="W47" s="372"/>
      <c r="X47" s="372"/>
      <c r="Y47" s="372"/>
      <c r="Z47" s="373"/>
      <c r="AA47" s="374"/>
      <c r="AB47" s="372"/>
      <c r="AC47" s="372"/>
      <c r="AD47" s="372"/>
      <c r="AE47" s="371"/>
      <c r="AF47" s="375"/>
      <c r="AG47" s="372"/>
      <c r="AH47" s="372"/>
      <c r="AI47" s="372"/>
      <c r="AJ47" s="373"/>
      <c r="AK47" s="374"/>
      <c r="AL47" s="372"/>
      <c r="AM47" s="372"/>
      <c r="AN47" s="372"/>
      <c r="AO47" s="371"/>
      <c r="AP47" s="375"/>
      <c r="AQ47" s="372"/>
      <c r="AR47" s="372"/>
      <c r="AS47" s="372"/>
      <c r="AT47" s="373"/>
      <c r="AU47" s="374"/>
      <c r="AV47" s="372"/>
      <c r="AW47" s="372"/>
      <c r="AX47" s="372"/>
      <c r="AY47" s="371"/>
      <c r="AZ47" s="375"/>
      <c r="BA47" s="372"/>
      <c r="BB47" s="372"/>
      <c r="BC47" s="372"/>
      <c r="BD47" s="373"/>
      <c r="BE47" s="374"/>
      <c r="BF47" s="372"/>
      <c r="BG47" s="372"/>
      <c r="BH47" s="372"/>
      <c r="BI47" s="371"/>
      <c r="BJ47" s="375"/>
      <c r="BK47" s="372"/>
      <c r="BL47" s="372"/>
      <c r="BM47" s="372"/>
      <c r="BN47" s="373"/>
      <c r="BO47" s="374"/>
      <c r="BP47" s="372"/>
      <c r="BQ47" s="372"/>
      <c r="BR47" s="372"/>
      <c r="BS47" s="371"/>
      <c r="BT47" s="375"/>
      <c r="BU47" s="372"/>
      <c r="BV47" s="372"/>
      <c r="BW47" s="372"/>
      <c r="BX47" s="373"/>
      <c r="BY47" s="374"/>
      <c r="BZ47" s="372"/>
      <c r="CA47" s="372"/>
      <c r="CB47" s="372"/>
      <c r="CC47" s="371"/>
      <c r="CD47" s="375"/>
      <c r="CE47" s="372"/>
      <c r="CF47" s="372"/>
      <c r="CG47" s="372"/>
      <c r="CH47" s="371"/>
      <c r="CI47" s="375"/>
      <c r="CJ47" s="372"/>
      <c r="CK47" s="372"/>
      <c r="CL47" s="372"/>
      <c r="CM47" s="373"/>
    </row>
    <row r="48" spans="1:91" ht="25.5" customHeight="1">
      <c r="A48" s="386">
        <v>4041</v>
      </c>
      <c r="B48" s="387" t="s">
        <v>11</v>
      </c>
      <c r="C48" s="387" t="s">
        <v>44</v>
      </c>
      <c r="D48" s="387" t="s">
        <v>76</v>
      </c>
      <c r="E48" s="372" t="s">
        <v>53</v>
      </c>
      <c r="F48" s="387"/>
      <c r="G48" s="372" t="s">
        <v>650</v>
      </c>
      <c r="H48" s="371" t="s">
        <v>54</v>
      </c>
      <c r="I48" s="375"/>
      <c r="J48" s="372"/>
      <c r="K48" s="373"/>
      <c r="L48" s="388" t="s">
        <v>78</v>
      </c>
      <c r="M48" s="387" t="s">
        <v>77</v>
      </c>
      <c r="N48" s="387"/>
      <c r="O48" s="387" t="s">
        <v>77</v>
      </c>
      <c r="P48" s="389" t="s">
        <v>77</v>
      </c>
      <c r="Q48" s="388"/>
      <c r="R48" s="387"/>
      <c r="S48" s="387"/>
      <c r="T48" s="387"/>
      <c r="U48" s="390" t="s">
        <v>80</v>
      </c>
      <c r="V48" s="386"/>
      <c r="W48" s="372"/>
      <c r="X48" s="372"/>
      <c r="Y48" s="372"/>
      <c r="Z48" s="373"/>
      <c r="AA48" s="374"/>
      <c r="AB48" s="372"/>
      <c r="AC48" s="372"/>
      <c r="AD48" s="372"/>
      <c r="AE48" s="371"/>
      <c r="AF48" s="375"/>
      <c r="AG48" s="372"/>
      <c r="AH48" s="372"/>
      <c r="AI48" s="372"/>
      <c r="AJ48" s="373"/>
      <c r="AK48" s="374"/>
      <c r="AL48" s="372"/>
      <c r="AM48" s="372"/>
      <c r="AN48" s="372"/>
      <c r="AO48" s="371"/>
      <c r="AP48" s="375"/>
      <c r="AQ48" s="372"/>
      <c r="AR48" s="372"/>
      <c r="AS48" s="372"/>
      <c r="AT48" s="373"/>
      <c r="AU48" s="374"/>
      <c r="AV48" s="372"/>
      <c r="AW48" s="372"/>
      <c r="AX48" s="372"/>
      <c r="AY48" s="371"/>
      <c r="AZ48" s="375"/>
      <c r="BA48" s="372"/>
      <c r="BB48" s="372"/>
      <c r="BC48" s="372"/>
      <c r="BD48" s="373"/>
      <c r="BE48" s="374"/>
      <c r="BF48" s="372"/>
      <c r="BG48" s="372"/>
      <c r="BH48" s="372"/>
      <c r="BI48" s="371"/>
      <c r="BJ48" s="375"/>
      <c r="BK48" s="372"/>
      <c r="BL48" s="372"/>
      <c r="BM48" s="372"/>
      <c r="BN48" s="373"/>
      <c r="BO48" s="374"/>
      <c r="BP48" s="372"/>
      <c r="BQ48" s="372"/>
      <c r="BR48" s="372"/>
      <c r="BS48" s="371"/>
      <c r="BT48" s="375"/>
      <c r="BU48" s="372"/>
      <c r="BV48" s="372"/>
      <c r="BW48" s="372"/>
      <c r="BX48" s="373"/>
      <c r="BY48" s="374"/>
      <c r="BZ48" s="372"/>
      <c r="CA48" s="372"/>
      <c r="CB48" s="372"/>
      <c r="CC48" s="371"/>
      <c r="CD48" s="375"/>
      <c r="CE48" s="372"/>
      <c r="CF48" s="372"/>
      <c r="CG48" s="372"/>
      <c r="CH48" s="371"/>
      <c r="CI48" s="375"/>
      <c r="CJ48" s="372"/>
      <c r="CK48" s="372"/>
      <c r="CL48" s="372"/>
      <c r="CM48" s="373"/>
    </row>
    <row r="49" spans="1:91" ht="25.5" customHeight="1" thickBot="1">
      <c r="A49" s="391">
        <v>4042</v>
      </c>
      <c r="B49" s="392" t="s">
        <v>11</v>
      </c>
      <c r="C49" s="392" t="s">
        <v>44</v>
      </c>
      <c r="D49" s="392" t="s">
        <v>76</v>
      </c>
      <c r="E49" s="393" t="s">
        <v>53</v>
      </c>
      <c r="F49" s="392"/>
      <c r="G49" s="393" t="s">
        <v>652</v>
      </c>
      <c r="H49" s="394" t="s">
        <v>54</v>
      </c>
      <c r="I49" s="395"/>
      <c r="J49" s="393"/>
      <c r="K49" s="396"/>
      <c r="L49" s="397" t="s">
        <v>78</v>
      </c>
      <c r="M49" s="392" t="s">
        <v>77</v>
      </c>
      <c r="N49" s="392"/>
      <c r="O49" s="392" t="s">
        <v>77</v>
      </c>
      <c r="P49" s="398" t="s">
        <v>77</v>
      </c>
      <c r="Q49" s="397"/>
      <c r="R49" s="392"/>
      <c r="S49" s="392"/>
      <c r="T49" s="392"/>
      <c r="U49" s="399" t="s">
        <v>80</v>
      </c>
      <c r="V49" s="391"/>
      <c r="W49" s="393"/>
      <c r="X49" s="393"/>
      <c r="Y49" s="393"/>
      <c r="Z49" s="396"/>
      <c r="AA49" s="400"/>
      <c r="AB49" s="393"/>
      <c r="AC49" s="393"/>
      <c r="AD49" s="393"/>
      <c r="AE49" s="394"/>
      <c r="AF49" s="395"/>
      <c r="AG49" s="393"/>
      <c r="AH49" s="393"/>
      <c r="AI49" s="393"/>
      <c r="AJ49" s="396"/>
      <c r="AK49" s="400"/>
      <c r="AL49" s="393"/>
      <c r="AM49" s="393"/>
      <c r="AN49" s="393"/>
      <c r="AO49" s="394"/>
      <c r="AP49" s="395"/>
      <c r="AQ49" s="393"/>
      <c r="AR49" s="393"/>
      <c r="AS49" s="393"/>
      <c r="AT49" s="396"/>
      <c r="AU49" s="400"/>
      <c r="AV49" s="393"/>
      <c r="AW49" s="393"/>
      <c r="AX49" s="393"/>
      <c r="AY49" s="394"/>
      <c r="AZ49" s="395"/>
      <c r="BA49" s="393"/>
      <c r="BB49" s="393"/>
      <c r="BC49" s="393"/>
      <c r="BD49" s="396"/>
      <c r="BE49" s="400"/>
      <c r="BF49" s="393"/>
      <c r="BG49" s="393"/>
      <c r="BH49" s="393"/>
      <c r="BI49" s="394"/>
      <c r="BJ49" s="395"/>
      <c r="BK49" s="393"/>
      <c r="BL49" s="393"/>
      <c r="BM49" s="393"/>
      <c r="BN49" s="396"/>
      <c r="BO49" s="400"/>
      <c r="BP49" s="393"/>
      <c r="BQ49" s="393"/>
      <c r="BR49" s="393"/>
      <c r="BS49" s="394"/>
      <c r="BT49" s="395"/>
      <c r="BU49" s="393"/>
      <c r="BV49" s="393"/>
      <c r="BW49" s="393"/>
      <c r="BX49" s="396"/>
      <c r="BY49" s="400"/>
      <c r="BZ49" s="393"/>
      <c r="CA49" s="393"/>
      <c r="CB49" s="393"/>
      <c r="CC49" s="394"/>
      <c r="CD49" s="395"/>
      <c r="CE49" s="393"/>
      <c r="CF49" s="393"/>
      <c r="CG49" s="393"/>
      <c r="CH49" s="394"/>
      <c r="CI49" s="395"/>
      <c r="CJ49" s="393"/>
      <c r="CK49" s="393"/>
      <c r="CL49" s="393"/>
      <c r="CM49" s="396"/>
    </row>
    <row r="50" spans="1:91" ht="25.5" customHeight="1">
      <c r="A50" s="401">
        <v>4043</v>
      </c>
      <c r="B50" s="402" t="s">
        <v>11</v>
      </c>
      <c r="C50" s="402" t="s">
        <v>44</v>
      </c>
      <c r="D50" s="402" t="s">
        <v>76</v>
      </c>
      <c r="E50" s="403" t="s">
        <v>53</v>
      </c>
      <c r="F50" s="402"/>
      <c r="G50" s="403" t="s">
        <v>654</v>
      </c>
      <c r="H50" s="404" t="s">
        <v>54</v>
      </c>
      <c r="I50" s="405"/>
      <c r="J50" s="403"/>
      <c r="K50" s="406"/>
      <c r="L50" s="407" t="s">
        <v>78</v>
      </c>
      <c r="M50" s="402" t="s">
        <v>77</v>
      </c>
      <c r="N50" s="402"/>
      <c r="O50" s="402" t="s">
        <v>77</v>
      </c>
      <c r="P50" s="408" t="s">
        <v>77</v>
      </c>
      <c r="Q50" s="407"/>
      <c r="R50" s="402"/>
      <c r="S50" s="402"/>
      <c r="T50" s="402"/>
      <c r="U50" s="409" t="s">
        <v>80</v>
      </c>
      <c r="V50" s="401"/>
      <c r="W50" s="403"/>
      <c r="X50" s="403"/>
      <c r="Y50" s="403"/>
      <c r="Z50" s="406"/>
      <c r="AA50" s="410"/>
      <c r="AB50" s="403"/>
      <c r="AC50" s="403"/>
      <c r="AD50" s="403"/>
      <c r="AE50" s="404"/>
      <c r="AF50" s="405"/>
      <c r="AG50" s="403"/>
      <c r="AH50" s="403"/>
      <c r="AI50" s="403"/>
      <c r="AJ50" s="406"/>
      <c r="AK50" s="410"/>
      <c r="AL50" s="403"/>
      <c r="AM50" s="403"/>
      <c r="AN50" s="403"/>
      <c r="AO50" s="404"/>
      <c r="AP50" s="405"/>
      <c r="AQ50" s="403"/>
      <c r="AR50" s="403"/>
      <c r="AS50" s="403"/>
      <c r="AT50" s="406"/>
      <c r="AU50" s="410"/>
      <c r="AV50" s="403"/>
      <c r="AW50" s="403"/>
      <c r="AX50" s="403"/>
      <c r="AY50" s="404"/>
      <c r="AZ50" s="405"/>
      <c r="BA50" s="403"/>
      <c r="BB50" s="403"/>
      <c r="BC50" s="403"/>
      <c r="BD50" s="406"/>
      <c r="BE50" s="410"/>
      <c r="BF50" s="403"/>
      <c r="BG50" s="403"/>
      <c r="BH50" s="403"/>
      <c r="BI50" s="404"/>
      <c r="BJ50" s="405"/>
      <c r="BK50" s="403"/>
      <c r="BL50" s="403"/>
      <c r="BM50" s="403"/>
      <c r="BN50" s="406"/>
      <c r="BO50" s="410"/>
      <c r="BP50" s="403"/>
      <c r="BQ50" s="403"/>
      <c r="BR50" s="403"/>
      <c r="BS50" s="404"/>
      <c r="BT50" s="405"/>
      <c r="BU50" s="403"/>
      <c r="BV50" s="403"/>
      <c r="BW50" s="403"/>
      <c r="BX50" s="406"/>
      <c r="BY50" s="410"/>
      <c r="BZ50" s="403"/>
      <c r="CA50" s="403"/>
      <c r="CB50" s="403"/>
      <c r="CC50" s="404"/>
      <c r="CD50" s="405"/>
      <c r="CE50" s="403"/>
      <c r="CF50" s="403"/>
      <c r="CG50" s="403"/>
      <c r="CH50" s="404"/>
      <c r="CI50" s="405"/>
      <c r="CJ50" s="403"/>
      <c r="CK50" s="403"/>
      <c r="CL50" s="403"/>
      <c r="CM50" s="406"/>
    </row>
    <row r="51" spans="1:91" ht="25.5" customHeight="1">
      <c r="A51" s="386">
        <v>4044</v>
      </c>
      <c r="B51" s="387" t="s">
        <v>11</v>
      </c>
      <c r="C51" s="387" t="s">
        <v>44</v>
      </c>
      <c r="D51" s="387" t="s">
        <v>76</v>
      </c>
      <c r="E51" s="372" t="s">
        <v>53</v>
      </c>
      <c r="F51" s="387"/>
      <c r="G51" s="372" t="s">
        <v>656</v>
      </c>
      <c r="H51" s="371" t="s">
        <v>54</v>
      </c>
      <c r="I51" s="375"/>
      <c r="J51" s="372"/>
      <c r="K51" s="373"/>
      <c r="L51" s="388" t="s">
        <v>78</v>
      </c>
      <c r="M51" s="387" t="s">
        <v>77</v>
      </c>
      <c r="N51" s="387"/>
      <c r="O51" s="387" t="s">
        <v>77</v>
      </c>
      <c r="P51" s="389" t="s">
        <v>77</v>
      </c>
      <c r="Q51" s="388"/>
      <c r="R51" s="387"/>
      <c r="S51" s="387"/>
      <c r="T51" s="387"/>
      <c r="U51" s="390" t="s">
        <v>80</v>
      </c>
      <c r="V51" s="386"/>
      <c r="W51" s="372"/>
      <c r="X51" s="372"/>
      <c r="Y51" s="372"/>
      <c r="Z51" s="373"/>
      <c r="AA51" s="374"/>
      <c r="AB51" s="372"/>
      <c r="AC51" s="372"/>
      <c r="AD51" s="372"/>
      <c r="AE51" s="371"/>
      <c r="AF51" s="375"/>
      <c r="AG51" s="372"/>
      <c r="AH51" s="372"/>
      <c r="AI51" s="372"/>
      <c r="AJ51" s="373"/>
      <c r="AK51" s="374"/>
      <c r="AL51" s="372"/>
      <c r="AM51" s="372"/>
      <c r="AN51" s="372"/>
      <c r="AO51" s="371"/>
      <c r="AP51" s="375"/>
      <c r="AQ51" s="372"/>
      <c r="AR51" s="372"/>
      <c r="AS51" s="372"/>
      <c r="AT51" s="373"/>
      <c r="AU51" s="374"/>
      <c r="AV51" s="372"/>
      <c r="AW51" s="372"/>
      <c r="AX51" s="372"/>
      <c r="AY51" s="371"/>
      <c r="AZ51" s="375"/>
      <c r="BA51" s="372"/>
      <c r="BB51" s="372"/>
      <c r="BC51" s="372"/>
      <c r="BD51" s="373"/>
      <c r="BE51" s="374"/>
      <c r="BF51" s="372"/>
      <c r="BG51" s="372"/>
      <c r="BH51" s="372"/>
      <c r="BI51" s="371"/>
      <c r="BJ51" s="375"/>
      <c r="BK51" s="372"/>
      <c r="BL51" s="372"/>
      <c r="BM51" s="372"/>
      <c r="BN51" s="373"/>
      <c r="BO51" s="374"/>
      <c r="BP51" s="372"/>
      <c r="BQ51" s="372"/>
      <c r="BR51" s="372"/>
      <c r="BS51" s="371"/>
      <c r="BT51" s="375"/>
      <c r="BU51" s="372"/>
      <c r="BV51" s="372"/>
      <c r="BW51" s="372"/>
      <c r="BX51" s="373"/>
      <c r="BY51" s="374"/>
      <c r="BZ51" s="372"/>
      <c r="CA51" s="372"/>
      <c r="CB51" s="372"/>
      <c r="CC51" s="371"/>
      <c r="CD51" s="375"/>
      <c r="CE51" s="372"/>
      <c r="CF51" s="372"/>
      <c r="CG51" s="372"/>
      <c r="CH51" s="371"/>
      <c r="CI51" s="375"/>
      <c r="CJ51" s="372"/>
      <c r="CK51" s="372"/>
      <c r="CL51" s="372"/>
      <c r="CM51" s="373"/>
    </row>
    <row r="52" spans="1:91" ht="25.5" customHeight="1">
      <c r="A52" s="386">
        <v>4045</v>
      </c>
      <c r="B52" s="387" t="s">
        <v>11</v>
      </c>
      <c r="C52" s="387" t="s">
        <v>44</v>
      </c>
      <c r="D52" s="387" t="s">
        <v>76</v>
      </c>
      <c r="E52" s="372" t="s">
        <v>53</v>
      </c>
      <c r="F52" s="387"/>
      <c r="G52" s="372" t="s">
        <v>658</v>
      </c>
      <c r="H52" s="371" t="s">
        <v>54</v>
      </c>
      <c r="I52" s="375"/>
      <c r="J52" s="372"/>
      <c r="K52" s="373"/>
      <c r="L52" s="388" t="s">
        <v>78</v>
      </c>
      <c r="M52" s="387" t="s">
        <v>77</v>
      </c>
      <c r="N52" s="387"/>
      <c r="O52" s="387" t="s">
        <v>77</v>
      </c>
      <c r="P52" s="389" t="s">
        <v>77</v>
      </c>
      <c r="Q52" s="388"/>
      <c r="R52" s="387"/>
      <c r="S52" s="387"/>
      <c r="T52" s="387"/>
      <c r="U52" s="390" t="s">
        <v>80</v>
      </c>
      <c r="V52" s="386"/>
      <c r="W52" s="372"/>
      <c r="X52" s="372"/>
      <c r="Y52" s="372"/>
      <c r="Z52" s="373"/>
      <c r="AA52" s="374"/>
      <c r="AB52" s="372"/>
      <c r="AC52" s="372"/>
      <c r="AD52" s="372"/>
      <c r="AE52" s="371"/>
      <c r="AF52" s="375"/>
      <c r="AG52" s="372"/>
      <c r="AH52" s="372"/>
      <c r="AI52" s="372"/>
      <c r="AJ52" s="373"/>
      <c r="AK52" s="374"/>
      <c r="AL52" s="372"/>
      <c r="AM52" s="372"/>
      <c r="AN52" s="372"/>
      <c r="AO52" s="371"/>
      <c r="AP52" s="375"/>
      <c r="AQ52" s="372"/>
      <c r="AR52" s="372"/>
      <c r="AS52" s="372"/>
      <c r="AT52" s="373"/>
      <c r="AU52" s="374"/>
      <c r="AV52" s="372"/>
      <c r="AW52" s="372"/>
      <c r="AX52" s="372"/>
      <c r="AY52" s="371"/>
      <c r="AZ52" s="375"/>
      <c r="BA52" s="372"/>
      <c r="BB52" s="372"/>
      <c r="BC52" s="372"/>
      <c r="BD52" s="373"/>
      <c r="BE52" s="374"/>
      <c r="BF52" s="372"/>
      <c r="BG52" s="372"/>
      <c r="BH52" s="372"/>
      <c r="BI52" s="371"/>
      <c r="BJ52" s="375"/>
      <c r="BK52" s="372"/>
      <c r="BL52" s="372"/>
      <c r="BM52" s="372"/>
      <c r="BN52" s="373"/>
      <c r="BO52" s="374"/>
      <c r="BP52" s="372"/>
      <c r="BQ52" s="372"/>
      <c r="BR52" s="372"/>
      <c r="BS52" s="371"/>
      <c r="BT52" s="375"/>
      <c r="BU52" s="372"/>
      <c r="BV52" s="372"/>
      <c r="BW52" s="372"/>
      <c r="BX52" s="373"/>
      <c r="BY52" s="374"/>
      <c r="BZ52" s="372"/>
      <c r="CA52" s="372"/>
      <c r="CB52" s="372"/>
      <c r="CC52" s="371"/>
      <c r="CD52" s="375"/>
      <c r="CE52" s="372"/>
      <c r="CF52" s="372"/>
      <c r="CG52" s="372"/>
      <c r="CH52" s="371"/>
      <c r="CI52" s="375"/>
      <c r="CJ52" s="372"/>
      <c r="CK52" s="372"/>
      <c r="CL52" s="372"/>
      <c r="CM52" s="373"/>
    </row>
    <row r="53" spans="1:91" ht="25.5" customHeight="1">
      <c r="A53" s="386">
        <v>4046</v>
      </c>
      <c r="B53" s="387" t="s">
        <v>11</v>
      </c>
      <c r="C53" s="387" t="s">
        <v>44</v>
      </c>
      <c r="D53" s="387" t="s">
        <v>76</v>
      </c>
      <c r="E53" s="372" t="s">
        <v>53</v>
      </c>
      <c r="F53" s="387"/>
      <c r="G53" s="372" t="s">
        <v>660</v>
      </c>
      <c r="H53" s="371" t="s">
        <v>54</v>
      </c>
      <c r="I53" s="375"/>
      <c r="J53" s="372"/>
      <c r="K53" s="373"/>
      <c r="L53" s="388" t="s">
        <v>78</v>
      </c>
      <c r="M53" s="387" t="s">
        <v>77</v>
      </c>
      <c r="N53" s="387"/>
      <c r="O53" s="387" t="s">
        <v>77</v>
      </c>
      <c r="P53" s="389" t="s">
        <v>77</v>
      </c>
      <c r="Q53" s="388"/>
      <c r="R53" s="387"/>
      <c r="S53" s="387"/>
      <c r="T53" s="387"/>
      <c r="U53" s="390" t="s">
        <v>80</v>
      </c>
      <c r="V53" s="386"/>
      <c r="W53" s="372"/>
      <c r="X53" s="372"/>
      <c r="Y53" s="372"/>
      <c r="Z53" s="373"/>
      <c r="AA53" s="374"/>
      <c r="AB53" s="372"/>
      <c r="AC53" s="372"/>
      <c r="AD53" s="372"/>
      <c r="AE53" s="371"/>
      <c r="AF53" s="375"/>
      <c r="AG53" s="372"/>
      <c r="AH53" s="372"/>
      <c r="AI53" s="372"/>
      <c r="AJ53" s="373"/>
      <c r="AK53" s="374"/>
      <c r="AL53" s="372"/>
      <c r="AM53" s="372"/>
      <c r="AN53" s="372"/>
      <c r="AO53" s="371"/>
      <c r="AP53" s="375"/>
      <c r="AQ53" s="372"/>
      <c r="AR53" s="372"/>
      <c r="AS53" s="372"/>
      <c r="AT53" s="373"/>
      <c r="AU53" s="374"/>
      <c r="AV53" s="372"/>
      <c r="AW53" s="372"/>
      <c r="AX53" s="372"/>
      <c r="AY53" s="371"/>
      <c r="AZ53" s="375"/>
      <c r="BA53" s="372"/>
      <c r="BB53" s="372"/>
      <c r="BC53" s="372"/>
      <c r="BD53" s="373"/>
      <c r="BE53" s="374"/>
      <c r="BF53" s="372"/>
      <c r="BG53" s="372"/>
      <c r="BH53" s="372"/>
      <c r="BI53" s="371"/>
      <c r="BJ53" s="375"/>
      <c r="BK53" s="372"/>
      <c r="BL53" s="372"/>
      <c r="BM53" s="372"/>
      <c r="BN53" s="373"/>
      <c r="BO53" s="374"/>
      <c r="BP53" s="372"/>
      <c r="BQ53" s="372"/>
      <c r="BR53" s="372"/>
      <c r="BS53" s="371"/>
      <c r="BT53" s="375"/>
      <c r="BU53" s="372"/>
      <c r="BV53" s="372"/>
      <c r="BW53" s="372"/>
      <c r="BX53" s="373"/>
      <c r="BY53" s="374"/>
      <c r="BZ53" s="372"/>
      <c r="CA53" s="372"/>
      <c r="CB53" s="372"/>
      <c r="CC53" s="371"/>
      <c r="CD53" s="375"/>
      <c r="CE53" s="372"/>
      <c r="CF53" s="372"/>
      <c r="CG53" s="372"/>
      <c r="CH53" s="371"/>
      <c r="CI53" s="375"/>
      <c r="CJ53" s="372"/>
      <c r="CK53" s="372"/>
      <c r="CL53" s="372"/>
      <c r="CM53" s="373"/>
    </row>
    <row r="54" spans="1:91" ht="25.5" customHeight="1" thickBot="1">
      <c r="A54" s="411">
        <v>4047</v>
      </c>
      <c r="B54" s="412" t="s">
        <v>11</v>
      </c>
      <c r="C54" s="412" t="s">
        <v>44</v>
      </c>
      <c r="D54" s="412" t="s">
        <v>76</v>
      </c>
      <c r="E54" s="377" t="s">
        <v>53</v>
      </c>
      <c r="F54" s="412"/>
      <c r="G54" s="377" t="s">
        <v>662</v>
      </c>
      <c r="H54" s="376" t="s">
        <v>54</v>
      </c>
      <c r="I54" s="380"/>
      <c r="J54" s="377"/>
      <c r="K54" s="378"/>
      <c r="L54" s="413" t="s">
        <v>78</v>
      </c>
      <c r="M54" s="412" t="s">
        <v>77</v>
      </c>
      <c r="N54" s="412"/>
      <c r="O54" s="412" t="s">
        <v>77</v>
      </c>
      <c r="P54" s="414" t="s">
        <v>77</v>
      </c>
      <c r="Q54" s="413"/>
      <c r="R54" s="412"/>
      <c r="S54" s="412"/>
      <c r="T54" s="412"/>
      <c r="U54" s="415" t="s">
        <v>80</v>
      </c>
      <c r="V54" s="411"/>
      <c r="W54" s="377"/>
      <c r="X54" s="377"/>
      <c r="Y54" s="377"/>
      <c r="Z54" s="378"/>
      <c r="AA54" s="379"/>
      <c r="AB54" s="377"/>
      <c r="AC54" s="377"/>
      <c r="AD54" s="377"/>
      <c r="AE54" s="376"/>
      <c r="AF54" s="380"/>
      <c r="AG54" s="377"/>
      <c r="AH54" s="377"/>
      <c r="AI54" s="377"/>
      <c r="AJ54" s="378"/>
      <c r="AK54" s="379"/>
      <c r="AL54" s="377"/>
      <c r="AM54" s="377"/>
      <c r="AN54" s="377"/>
      <c r="AO54" s="376"/>
      <c r="AP54" s="380"/>
      <c r="AQ54" s="377"/>
      <c r="AR54" s="377"/>
      <c r="AS54" s="377"/>
      <c r="AT54" s="378"/>
      <c r="AU54" s="379"/>
      <c r="AV54" s="377"/>
      <c r="AW54" s="377"/>
      <c r="AX54" s="377"/>
      <c r="AY54" s="376"/>
      <c r="AZ54" s="380"/>
      <c r="BA54" s="377"/>
      <c r="BB54" s="377"/>
      <c r="BC54" s="377"/>
      <c r="BD54" s="378"/>
      <c r="BE54" s="379"/>
      <c r="BF54" s="377"/>
      <c r="BG54" s="377"/>
      <c r="BH54" s="377"/>
      <c r="BI54" s="376"/>
      <c r="BJ54" s="380"/>
      <c r="BK54" s="377"/>
      <c r="BL54" s="377"/>
      <c r="BM54" s="377"/>
      <c r="BN54" s="378"/>
      <c r="BO54" s="379"/>
      <c r="BP54" s="377"/>
      <c r="BQ54" s="377"/>
      <c r="BR54" s="377"/>
      <c r="BS54" s="376"/>
      <c r="BT54" s="380"/>
      <c r="BU54" s="377"/>
      <c r="BV54" s="377"/>
      <c r="BW54" s="377"/>
      <c r="BX54" s="378"/>
      <c r="BY54" s="379"/>
      <c r="BZ54" s="377"/>
      <c r="CA54" s="377"/>
      <c r="CB54" s="377"/>
      <c r="CC54" s="376"/>
      <c r="CD54" s="380"/>
      <c r="CE54" s="377"/>
      <c r="CF54" s="377"/>
      <c r="CG54" s="377"/>
      <c r="CH54" s="376"/>
      <c r="CI54" s="380"/>
      <c r="CJ54" s="377"/>
      <c r="CK54" s="377"/>
      <c r="CL54" s="377"/>
      <c r="CM54" s="378"/>
    </row>
    <row r="55" spans="1:91" ht="25.5" customHeight="1">
      <c r="A55" s="416">
        <v>4048</v>
      </c>
      <c r="B55" s="417" t="s">
        <v>11</v>
      </c>
      <c r="C55" s="417" t="s">
        <v>44</v>
      </c>
      <c r="D55" s="417" t="s">
        <v>76</v>
      </c>
      <c r="E55" s="381" t="s">
        <v>53</v>
      </c>
      <c r="F55" s="417"/>
      <c r="G55" s="381" t="s">
        <v>664</v>
      </c>
      <c r="H55" s="384" t="s">
        <v>54</v>
      </c>
      <c r="I55" s="385"/>
      <c r="J55" s="381"/>
      <c r="K55" s="382"/>
      <c r="L55" s="418" t="s">
        <v>78</v>
      </c>
      <c r="M55" s="417" t="s">
        <v>77</v>
      </c>
      <c r="N55" s="417"/>
      <c r="O55" s="417" t="s">
        <v>77</v>
      </c>
      <c r="P55" s="419" t="s">
        <v>77</v>
      </c>
      <c r="Q55" s="418"/>
      <c r="R55" s="417"/>
      <c r="S55" s="417"/>
      <c r="T55" s="417"/>
      <c r="U55" s="420" t="s">
        <v>80</v>
      </c>
      <c r="V55" s="416"/>
      <c r="W55" s="381"/>
      <c r="X55" s="381"/>
      <c r="Y55" s="381"/>
      <c r="Z55" s="382"/>
      <c r="AA55" s="383"/>
      <c r="AB55" s="381"/>
      <c r="AC55" s="381"/>
      <c r="AD55" s="381"/>
      <c r="AE55" s="384"/>
      <c r="AF55" s="385"/>
      <c r="AG55" s="381"/>
      <c r="AH55" s="381"/>
      <c r="AI55" s="381"/>
      <c r="AJ55" s="382"/>
      <c r="AK55" s="383"/>
      <c r="AL55" s="381"/>
      <c r="AM55" s="381"/>
      <c r="AN55" s="381"/>
      <c r="AO55" s="384"/>
      <c r="AP55" s="385"/>
      <c r="AQ55" s="381"/>
      <c r="AR55" s="381"/>
      <c r="AS55" s="381"/>
      <c r="AT55" s="382"/>
      <c r="AU55" s="383"/>
      <c r="AV55" s="381"/>
      <c r="AW55" s="381"/>
      <c r="AX55" s="381"/>
      <c r="AY55" s="384"/>
      <c r="AZ55" s="385"/>
      <c r="BA55" s="381"/>
      <c r="BB55" s="381"/>
      <c r="BC55" s="381"/>
      <c r="BD55" s="382"/>
      <c r="BE55" s="383"/>
      <c r="BF55" s="381"/>
      <c r="BG55" s="381"/>
      <c r="BH55" s="381"/>
      <c r="BI55" s="384"/>
      <c r="BJ55" s="385"/>
      <c r="BK55" s="381"/>
      <c r="BL55" s="381"/>
      <c r="BM55" s="381"/>
      <c r="BN55" s="382"/>
      <c r="BO55" s="383"/>
      <c r="BP55" s="381"/>
      <c r="BQ55" s="381"/>
      <c r="BR55" s="381"/>
      <c r="BS55" s="384"/>
      <c r="BT55" s="385"/>
      <c r="BU55" s="381"/>
      <c r="BV55" s="381"/>
      <c r="BW55" s="381"/>
      <c r="BX55" s="382"/>
      <c r="BY55" s="383"/>
      <c r="BZ55" s="381"/>
      <c r="CA55" s="381"/>
      <c r="CB55" s="381"/>
      <c r="CC55" s="384"/>
      <c r="CD55" s="385"/>
      <c r="CE55" s="381"/>
      <c r="CF55" s="381"/>
      <c r="CG55" s="381"/>
      <c r="CH55" s="384"/>
      <c r="CI55" s="385"/>
      <c r="CJ55" s="381"/>
      <c r="CK55" s="381"/>
      <c r="CL55" s="381"/>
      <c r="CM55" s="382"/>
    </row>
    <row r="56" spans="1:91" ht="25.5" customHeight="1">
      <c r="A56" s="386">
        <v>4049</v>
      </c>
      <c r="B56" s="387" t="s">
        <v>11</v>
      </c>
      <c r="C56" s="387" t="s">
        <v>44</v>
      </c>
      <c r="D56" s="387" t="s">
        <v>76</v>
      </c>
      <c r="E56" s="372" t="s">
        <v>53</v>
      </c>
      <c r="F56" s="387"/>
      <c r="G56" s="372" t="s">
        <v>666</v>
      </c>
      <c r="H56" s="371" t="s">
        <v>54</v>
      </c>
      <c r="I56" s="375"/>
      <c r="J56" s="372"/>
      <c r="K56" s="373"/>
      <c r="L56" s="388" t="s">
        <v>78</v>
      </c>
      <c r="M56" s="387" t="s">
        <v>77</v>
      </c>
      <c r="N56" s="387"/>
      <c r="O56" s="387" t="s">
        <v>77</v>
      </c>
      <c r="P56" s="389" t="s">
        <v>77</v>
      </c>
      <c r="Q56" s="388"/>
      <c r="R56" s="387"/>
      <c r="S56" s="387"/>
      <c r="T56" s="387"/>
      <c r="U56" s="390" t="s">
        <v>80</v>
      </c>
      <c r="V56" s="386"/>
      <c r="W56" s="372"/>
      <c r="X56" s="372"/>
      <c r="Y56" s="372"/>
      <c r="Z56" s="373"/>
      <c r="AA56" s="374"/>
      <c r="AB56" s="372"/>
      <c r="AC56" s="372"/>
      <c r="AD56" s="372"/>
      <c r="AE56" s="371"/>
      <c r="AF56" s="375"/>
      <c r="AG56" s="372"/>
      <c r="AH56" s="372"/>
      <c r="AI56" s="372"/>
      <c r="AJ56" s="373"/>
      <c r="AK56" s="374"/>
      <c r="AL56" s="372"/>
      <c r="AM56" s="372"/>
      <c r="AN56" s="372"/>
      <c r="AO56" s="371"/>
      <c r="AP56" s="375"/>
      <c r="AQ56" s="372"/>
      <c r="AR56" s="372"/>
      <c r="AS56" s="372"/>
      <c r="AT56" s="373"/>
      <c r="AU56" s="374"/>
      <c r="AV56" s="372"/>
      <c r="AW56" s="372"/>
      <c r="AX56" s="372"/>
      <c r="AY56" s="371"/>
      <c r="AZ56" s="375"/>
      <c r="BA56" s="372"/>
      <c r="BB56" s="372"/>
      <c r="BC56" s="372"/>
      <c r="BD56" s="373"/>
      <c r="BE56" s="374"/>
      <c r="BF56" s="372"/>
      <c r="BG56" s="372"/>
      <c r="BH56" s="372"/>
      <c r="BI56" s="371"/>
      <c r="BJ56" s="375"/>
      <c r="BK56" s="372"/>
      <c r="BL56" s="372"/>
      <c r="BM56" s="372"/>
      <c r="BN56" s="373"/>
      <c r="BO56" s="374"/>
      <c r="BP56" s="372"/>
      <c r="BQ56" s="372"/>
      <c r="BR56" s="372"/>
      <c r="BS56" s="371"/>
      <c r="BT56" s="375"/>
      <c r="BU56" s="372"/>
      <c r="BV56" s="372"/>
      <c r="BW56" s="372"/>
      <c r="BX56" s="373"/>
      <c r="BY56" s="374"/>
      <c r="BZ56" s="372"/>
      <c r="CA56" s="372"/>
      <c r="CB56" s="372"/>
      <c r="CC56" s="371"/>
      <c r="CD56" s="375"/>
      <c r="CE56" s="372"/>
      <c r="CF56" s="372"/>
      <c r="CG56" s="372"/>
      <c r="CH56" s="371"/>
      <c r="CI56" s="375"/>
      <c r="CJ56" s="372"/>
      <c r="CK56" s="372"/>
      <c r="CL56" s="372"/>
      <c r="CM56" s="373"/>
    </row>
    <row r="57" spans="1:91" ht="25.5" customHeight="1">
      <c r="A57" s="386">
        <v>4050</v>
      </c>
      <c r="B57" s="387" t="s">
        <v>11</v>
      </c>
      <c r="C57" s="387" t="s">
        <v>44</v>
      </c>
      <c r="D57" s="387" t="s">
        <v>76</v>
      </c>
      <c r="E57" s="372" t="s">
        <v>53</v>
      </c>
      <c r="F57" s="387"/>
      <c r="G57" s="372" t="s">
        <v>668</v>
      </c>
      <c r="H57" s="371" t="s">
        <v>54</v>
      </c>
      <c r="I57" s="375"/>
      <c r="J57" s="372"/>
      <c r="K57" s="373"/>
      <c r="L57" s="388" t="s">
        <v>78</v>
      </c>
      <c r="M57" s="387" t="s">
        <v>77</v>
      </c>
      <c r="N57" s="387"/>
      <c r="O57" s="387" t="s">
        <v>77</v>
      </c>
      <c r="P57" s="389" t="s">
        <v>77</v>
      </c>
      <c r="Q57" s="388"/>
      <c r="R57" s="387"/>
      <c r="S57" s="387"/>
      <c r="T57" s="387"/>
      <c r="U57" s="390" t="s">
        <v>80</v>
      </c>
      <c r="V57" s="386"/>
      <c r="W57" s="372"/>
      <c r="X57" s="372"/>
      <c r="Y57" s="372"/>
      <c r="Z57" s="373"/>
      <c r="AA57" s="374"/>
      <c r="AB57" s="372"/>
      <c r="AC57" s="372"/>
      <c r="AD57" s="372"/>
      <c r="AE57" s="371"/>
      <c r="AF57" s="375"/>
      <c r="AG57" s="372"/>
      <c r="AH57" s="372"/>
      <c r="AI57" s="372"/>
      <c r="AJ57" s="373"/>
      <c r="AK57" s="374"/>
      <c r="AL57" s="372"/>
      <c r="AM57" s="372"/>
      <c r="AN57" s="372"/>
      <c r="AO57" s="371"/>
      <c r="AP57" s="375"/>
      <c r="AQ57" s="372"/>
      <c r="AR57" s="372"/>
      <c r="AS57" s="372"/>
      <c r="AT57" s="373"/>
      <c r="AU57" s="374"/>
      <c r="AV57" s="372"/>
      <c r="AW57" s="372"/>
      <c r="AX57" s="372"/>
      <c r="AY57" s="371"/>
      <c r="AZ57" s="375"/>
      <c r="BA57" s="372"/>
      <c r="BB57" s="372"/>
      <c r="BC57" s="372"/>
      <c r="BD57" s="373"/>
      <c r="BE57" s="374"/>
      <c r="BF57" s="372"/>
      <c r="BG57" s="372"/>
      <c r="BH57" s="372"/>
      <c r="BI57" s="371"/>
      <c r="BJ57" s="375"/>
      <c r="BK57" s="372"/>
      <c r="BL57" s="372"/>
      <c r="BM57" s="372"/>
      <c r="BN57" s="373"/>
      <c r="BO57" s="374"/>
      <c r="BP57" s="372"/>
      <c r="BQ57" s="372"/>
      <c r="BR57" s="372"/>
      <c r="BS57" s="371"/>
      <c r="BT57" s="375"/>
      <c r="BU57" s="372"/>
      <c r="BV57" s="372"/>
      <c r="BW57" s="372"/>
      <c r="BX57" s="373"/>
      <c r="BY57" s="374"/>
      <c r="BZ57" s="372"/>
      <c r="CA57" s="372"/>
      <c r="CB57" s="372"/>
      <c r="CC57" s="371"/>
      <c r="CD57" s="375"/>
      <c r="CE57" s="372"/>
      <c r="CF57" s="372"/>
      <c r="CG57" s="372"/>
      <c r="CH57" s="371"/>
      <c r="CI57" s="375"/>
      <c r="CJ57" s="372"/>
      <c r="CK57" s="372"/>
      <c r="CL57" s="372"/>
      <c r="CM57" s="373"/>
    </row>
    <row r="58" spans="1:91" ht="25.5" customHeight="1">
      <c r="A58" s="386">
        <v>4051</v>
      </c>
      <c r="B58" s="387" t="s">
        <v>11</v>
      </c>
      <c r="C58" s="387" t="s">
        <v>44</v>
      </c>
      <c r="D58" s="387" t="s">
        <v>76</v>
      </c>
      <c r="E58" s="372" t="s">
        <v>53</v>
      </c>
      <c r="F58" s="387"/>
      <c r="G58" s="372" t="s">
        <v>670</v>
      </c>
      <c r="H58" s="371" t="s">
        <v>54</v>
      </c>
      <c r="I58" s="375"/>
      <c r="J58" s="372"/>
      <c r="K58" s="373"/>
      <c r="L58" s="388" t="s">
        <v>78</v>
      </c>
      <c r="M58" s="387" t="s">
        <v>77</v>
      </c>
      <c r="N58" s="387"/>
      <c r="O58" s="387" t="s">
        <v>77</v>
      </c>
      <c r="P58" s="389" t="s">
        <v>77</v>
      </c>
      <c r="Q58" s="388"/>
      <c r="R58" s="387"/>
      <c r="S58" s="387"/>
      <c r="T58" s="387"/>
      <c r="U58" s="390" t="s">
        <v>80</v>
      </c>
      <c r="V58" s="386"/>
      <c r="W58" s="372"/>
      <c r="X58" s="372"/>
      <c r="Y58" s="372"/>
      <c r="Z58" s="373"/>
      <c r="AA58" s="374"/>
      <c r="AB58" s="372"/>
      <c r="AC58" s="372"/>
      <c r="AD58" s="372"/>
      <c r="AE58" s="371"/>
      <c r="AF58" s="375"/>
      <c r="AG58" s="372"/>
      <c r="AH58" s="372"/>
      <c r="AI58" s="372"/>
      <c r="AJ58" s="373"/>
      <c r="AK58" s="374"/>
      <c r="AL58" s="372"/>
      <c r="AM58" s="372"/>
      <c r="AN58" s="372"/>
      <c r="AO58" s="371"/>
      <c r="AP58" s="375"/>
      <c r="AQ58" s="372"/>
      <c r="AR58" s="372"/>
      <c r="AS58" s="372"/>
      <c r="AT58" s="373"/>
      <c r="AU58" s="374"/>
      <c r="AV58" s="372"/>
      <c r="AW58" s="372"/>
      <c r="AX58" s="372"/>
      <c r="AY58" s="371"/>
      <c r="AZ58" s="375"/>
      <c r="BA58" s="372"/>
      <c r="BB58" s="372"/>
      <c r="BC58" s="372"/>
      <c r="BD58" s="373"/>
      <c r="BE58" s="374"/>
      <c r="BF58" s="372"/>
      <c r="BG58" s="372"/>
      <c r="BH58" s="372"/>
      <c r="BI58" s="371"/>
      <c r="BJ58" s="375"/>
      <c r="BK58" s="372"/>
      <c r="BL58" s="372"/>
      <c r="BM58" s="372"/>
      <c r="BN58" s="373"/>
      <c r="BO58" s="374"/>
      <c r="BP58" s="372"/>
      <c r="BQ58" s="372"/>
      <c r="BR58" s="372"/>
      <c r="BS58" s="371"/>
      <c r="BT58" s="375"/>
      <c r="BU58" s="372"/>
      <c r="BV58" s="372"/>
      <c r="BW58" s="372"/>
      <c r="BX58" s="373"/>
      <c r="BY58" s="374"/>
      <c r="BZ58" s="372"/>
      <c r="CA58" s="372"/>
      <c r="CB58" s="372"/>
      <c r="CC58" s="371"/>
      <c r="CD58" s="375"/>
      <c r="CE58" s="372"/>
      <c r="CF58" s="372"/>
      <c r="CG58" s="372"/>
      <c r="CH58" s="371"/>
      <c r="CI58" s="375"/>
      <c r="CJ58" s="372"/>
      <c r="CK58" s="372"/>
      <c r="CL58" s="372"/>
      <c r="CM58" s="373"/>
    </row>
    <row r="59" spans="1:91" ht="25.5" customHeight="1" thickBot="1">
      <c r="A59" s="411">
        <v>4052</v>
      </c>
      <c r="B59" s="412" t="s">
        <v>11</v>
      </c>
      <c r="C59" s="412" t="s">
        <v>44</v>
      </c>
      <c r="D59" s="412" t="s">
        <v>76</v>
      </c>
      <c r="E59" s="377" t="s">
        <v>53</v>
      </c>
      <c r="F59" s="412"/>
      <c r="G59" s="377" t="s">
        <v>672</v>
      </c>
      <c r="H59" s="376" t="s">
        <v>54</v>
      </c>
      <c r="I59" s="380"/>
      <c r="J59" s="377"/>
      <c r="K59" s="378"/>
      <c r="L59" s="413" t="s">
        <v>78</v>
      </c>
      <c r="M59" s="412" t="s">
        <v>77</v>
      </c>
      <c r="N59" s="412"/>
      <c r="O59" s="412" t="s">
        <v>77</v>
      </c>
      <c r="P59" s="414" t="s">
        <v>77</v>
      </c>
      <c r="Q59" s="413"/>
      <c r="R59" s="412"/>
      <c r="S59" s="412"/>
      <c r="T59" s="412"/>
      <c r="U59" s="415" t="s">
        <v>80</v>
      </c>
      <c r="V59" s="411"/>
      <c r="W59" s="377"/>
      <c r="X59" s="377"/>
      <c r="Y59" s="377"/>
      <c r="Z59" s="378"/>
      <c r="AA59" s="379"/>
      <c r="AB59" s="377"/>
      <c r="AC59" s="377"/>
      <c r="AD59" s="377"/>
      <c r="AE59" s="376"/>
      <c r="AF59" s="380"/>
      <c r="AG59" s="377"/>
      <c r="AH59" s="377"/>
      <c r="AI59" s="377"/>
      <c r="AJ59" s="378"/>
      <c r="AK59" s="379"/>
      <c r="AL59" s="377"/>
      <c r="AM59" s="377"/>
      <c r="AN59" s="377"/>
      <c r="AO59" s="376"/>
      <c r="AP59" s="380"/>
      <c r="AQ59" s="377"/>
      <c r="AR59" s="377"/>
      <c r="AS59" s="377"/>
      <c r="AT59" s="378"/>
      <c r="AU59" s="379"/>
      <c r="AV59" s="377"/>
      <c r="AW59" s="377"/>
      <c r="AX59" s="377"/>
      <c r="AY59" s="376"/>
      <c r="AZ59" s="380"/>
      <c r="BA59" s="377"/>
      <c r="BB59" s="377"/>
      <c r="BC59" s="377"/>
      <c r="BD59" s="378"/>
      <c r="BE59" s="379"/>
      <c r="BF59" s="377"/>
      <c r="BG59" s="377"/>
      <c r="BH59" s="377"/>
      <c r="BI59" s="376"/>
      <c r="BJ59" s="380"/>
      <c r="BK59" s="377"/>
      <c r="BL59" s="377"/>
      <c r="BM59" s="377"/>
      <c r="BN59" s="378"/>
      <c r="BO59" s="379"/>
      <c r="BP59" s="377"/>
      <c r="BQ59" s="377"/>
      <c r="BR59" s="377"/>
      <c r="BS59" s="376"/>
      <c r="BT59" s="380"/>
      <c r="BU59" s="377"/>
      <c r="BV59" s="377"/>
      <c r="BW59" s="377"/>
      <c r="BX59" s="378"/>
      <c r="BY59" s="379"/>
      <c r="BZ59" s="377"/>
      <c r="CA59" s="377"/>
      <c r="CB59" s="377"/>
      <c r="CC59" s="376"/>
      <c r="CD59" s="380"/>
      <c r="CE59" s="377"/>
      <c r="CF59" s="377"/>
      <c r="CG59" s="377"/>
      <c r="CH59" s="376"/>
      <c r="CI59" s="380"/>
      <c r="CJ59" s="377"/>
      <c r="CK59" s="377"/>
      <c r="CL59" s="377"/>
      <c r="CM59" s="378"/>
    </row>
    <row r="60" spans="1:91" ht="15" customHeight="1" thickBot="1">
      <c r="A60" s="48"/>
      <c r="B60" s="179"/>
      <c r="C60" s="180"/>
      <c r="D60" s="181"/>
      <c r="E60" s="17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50"/>
      <c r="CH60" s="50"/>
      <c r="CI60" s="50"/>
      <c r="CJ60" s="50"/>
      <c r="CK60" s="50"/>
      <c r="CL60" s="50"/>
      <c r="CM60" s="51"/>
    </row>
    <row r="61" spans="1:91" ht="25.5" customHeight="1" thickBot="1">
      <c r="A61" s="275" t="s">
        <v>31</v>
      </c>
      <c r="B61" s="276"/>
      <c r="C61" s="277"/>
      <c r="D61" s="192"/>
      <c r="E61" s="278" t="s">
        <v>32</v>
      </c>
      <c r="F61" s="276"/>
      <c r="G61" s="277"/>
      <c r="H61" s="193" t="s">
        <v>8</v>
      </c>
      <c r="I61" s="192" t="s">
        <v>9</v>
      </c>
      <c r="J61" s="192" t="s">
        <v>33</v>
      </c>
      <c r="K61" s="192" t="s">
        <v>10</v>
      </c>
      <c r="L61" s="291"/>
      <c r="M61" s="292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  <c r="AA61" s="292"/>
      <c r="AB61" s="292"/>
      <c r="AC61" s="292"/>
      <c r="AD61" s="292"/>
      <c r="AE61" s="292"/>
      <c r="AF61" s="292"/>
      <c r="AG61" s="292"/>
      <c r="AH61" s="292"/>
      <c r="AI61" s="292"/>
      <c r="AJ61" s="292"/>
      <c r="AK61" s="292"/>
      <c r="AL61" s="292"/>
      <c r="AM61" s="292"/>
      <c r="AN61" s="292"/>
      <c r="AO61" s="292"/>
      <c r="AP61" s="292"/>
      <c r="AQ61" s="292"/>
      <c r="AR61" s="292"/>
      <c r="AS61" s="292"/>
      <c r="AT61" s="292"/>
      <c r="AU61" s="292"/>
      <c r="AV61" s="292"/>
      <c r="AW61" s="292"/>
      <c r="AX61" s="292"/>
      <c r="AY61" s="292"/>
      <c r="AZ61" s="292"/>
      <c r="BA61" s="292"/>
      <c r="BB61" s="292"/>
      <c r="BC61" s="292"/>
      <c r="BD61" s="292"/>
      <c r="BE61" s="293"/>
      <c r="BF61" s="300"/>
      <c r="BG61" s="300"/>
      <c r="BH61" s="300"/>
      <c r="BI61" s="300"/>
      <c r="BJ61" s="300"/>
      <c r="BK61" s="300"/>
      <c r="BL61" s="300"/>
      <c r="BM61" s="300"/>
      <c r="BN61" s="300"/>
      <c r="BO61" s="300"/>
      <c r="BP61" s="300"/>
      <c r="BQ61" s="300"/>
      <c r="BR61" s="300"/>
      <c r="BS61" s="300"/>
      <c r="BT61" s="300"/>
      <c r="BU61" s="301"/>
      <c r="BV61" s="291"/>
      <c r="BW61" s="247"/>
      <c r="BX61" s="247"/>
      <c r="BY61" s="247"/>
      <c r="BZ61" s="247"/>
      <c r="CA61" s="247"/>
      <c r="CB61" s="247"/>
      <c r="CC61" s="247"/>
      <c r="CD61" s="247"/>
      <c r="CE61" s="247"/>
      <c r="CF61" s="247"/>
      <c r="CG61" s="247"/>
      <c r="CH61" s="247"/>
      <c r="CI61" s="247"/>
      <c r="CJ61" s="247"/>
      <c r="CK61" s="247"/>
      <c r="CL61" s="247"/>
      <c r="CM61" s="248"/>
    </row>
    <row r="62" spans="1:91" ht="25.5" customHeight="1">
      <c r="A62" s="288"/>
      <c r="B62" s="289"/>
      <c r="C62" s="289"/>
      <c r="D62" s="52"/>
      <c r="E62" s="290"/>
      <c r="F62" s="290"/>
      <c r="G62" s="290"/>
      <c r="H62" s="53"/>
      <c r="I62" s="53"/>
      <c r="J62" s="53"/>
      <c r="K62" s="54"/>
      <c r="L62" s="294"/>
      <c r="M62" s="295"/>
      <c r="N62" s="295"/>
      <c r="O62" s="295"/>
      <c r="P62" s="295"/>
      <c r="Q62" s="295"/>
      <c r="R62" s="295"/>
      <c r="S62" s="295"/>
      <c r="T62" s="295"/>
      <c r="U62" s="295"/>
      <c r="V62" s="295"/>
      <c r="W62" s="295"/>
      <c r="X62" s="295"/>
      <c r="Y62" s="295"/>
      <c r="Z62" s="295"/>
      <c r="AA62" s="295"/>
      <c r="AB62" s="295"/>
      <c r="AC62" s="295"/>
      <c r="AD62" s="295"/>
      <c r="AE62" s="295"/>
      <c r="AF62" s="295"/>
      <c r="AG62" s="295"/>
      <c r="AH62" s="295"/>
      <c r="AI62" s="295"/>
      <c r="AJ62" s="295"/>
      <c r="AK62" s="295"/>
      <c r="AL62" s="295"/>
      <c r="AM62" s="295"/>
      <c r="AN62" s="295"/>
      <c r="AO62" s="295"/>
      <c r="AP62" s="295"/>
      <c r="AQ62" s="295"/>
      <c r="AR62" s="295"/>
      <c r="AS62" s="295"/>
      <c r="AT62" s="295"/>
      <c r="AU62" s="295"/>
      <c r="AV62" s="295"/>
      <c r="AW62" s="295"/>
      <c r="AX62" s="295"/>
      <c r="AY62" s="295"/>
      <c r="AZ62" s="295"/>
      <c r="BA62" s="295"/>
      <c r="BB62" s="295"/>
      <c r="BC62" s="295"/>
      <c r="BD62" s="295"/>
      <c r="BE62" s="296"/>
      <c r="BF62" s="302"/>
      <c r="BG62" s="302"/>
      <c r="BH62" s="302"/>
      <c r="BI62" s="302"/>
      <c r="BJ62" s="302"/>
      <c r="BK62" s="302"/>
      <c r="BL62" s="302"/>
      <c r="BM62" s="302"/>
      <c r="BN62" s="302"/>
      <c r="BO62" s="302"/>
      <c r="BP62" s="302"/>
      <c r="BQ62" s="302"/>
      <c r="BR62" s="302"/>
      <c r="BS62" s="302"/>
      <c r="BT62" s="302"/>
      <c r="BU62" s="303"/>
      <c r="BV62" s="306"/>
      <c r="BW62" s="249"/>
      <c r="BX62" s="249"/>
      <c r="BY62" s="249"/>
      <c r="BZ62" s="249"/>
      <c r="CA62" s="249"/>
      <c r="CB62" s="249"/>
      <c r="CC62" s="249"/>
      <c r="CD62" s="249"/>
      <c r="CE62" s="249"/>
      <c r="CF62" s="249"/>
      <c r="CG62" s="249"/>
      <c r="CH62" s="249"/>
      <c r="CI62" s="249"/>
      <c r="CJ62" s="249"/>
      <c r="CK62" s="249"/>
      <c r="CL62" s="249"/>
      <c r="CM62" s="250"/>
    </row>
    <row r="63" spans="1:91" ht="25.5" customHeight="1" thickBot="1">
      <c r="A63" s="288"/>
      <c r="B63" s="289"/>
      <c r="C63" s="289"/>
      <c r="D63" s="52"/>
      <c r="E63" s="290"/>
      <c r="F63" s="290"/>
      <c r="G63" s="290"/>
      <c r="H63" s="53"/>
      <c r="I63" s="53"/>
      <c r="J63" s="53"/>
      <c r="K63" s="54"/>
      <c r="L63" s="294"/>
      <c r="M63" s="295"/>
      <c r="N63" s="295"/>
      <c r="O63" s="295"/>
      <c r="P63" s="295"/>
      <c r="Q63" s="295"/>
      <c r="R63" s="295"/>
      <c r="S63" s="295"/>
      <c r="T63" s="295"/>
      <c r="U63" s="295"/>
      <c r="V63" s="295"/>
      <c r="W63" s="295"/>
      <c r="X63" s="295"/>
      <c r="Y63" s="295"/>
      <c r="Z63" s="295"/>
      <c r="AA63" s="295"/>
      <c r="AB63" s="295"/>
      <c r="AC63" s="295"/>
      <c r="AD63" s="295"/>
      <c r="AE63" s="295"/>
      <c r="AF63" s="295"/>
      <c r="AG63" s="295"/>
      <c r="AH63" s="295"/>
      <c r="AI63" s="295"/>
      <c r="AJ63" s="295"/>
      <c r="AK63" s="295"/>
      <c r="AL63" s="295"/>
      <c r="AM63" s="295"/>
      <c r="AN63" s="295"/>
      <c r="AO63" s="295"/>
      <c r="AP63" s="295"/>
      <c r="AQ63" s="295"/>
      <c r="AR63" s="295"/>
      <c r="AS63" s="295"/>
      <c r="AT63" s="295"/>
      <c r="AU63" s="295"/>
      <c r="AV63" s="295"/>
      <c r="AW63" s="295"/>
      <c r="AX63" s="295"/>
      <c r="AY63" s="295"/>
      <c r="AZ63" s="295"/>
      <c r="BA63" s="295"/>
      <c r="BB63" s="295"/>
      <c r="BC63" s="295"/>
      <c r="BD63" s="295"/>
      <c r="BE63" s="296"/>
      <c r="BF63" s="304"/>
      <c r="BG63" s="304"/>
      <c r="BH63" s="304"/>
      <c r="BI63" s="304"/>
      <c r="BJ63" s="304"/>
      <c r="BK63" s="304"/>
      <c r="BL63" s="304"/>
      <c r="BM63" s="304"/>
      <c r="BN63" s="304"/>
      <c r="BO63" s="304"/>
      <c r="BP63" s="304"/>
      <c r="BQ63" s="304"/>
      <c r="BR63" s="304"/>
      <c r="BS63" s="304"/>
      <c r="BT63" s="304"/>
      <c r="BU63" s="305"/>
      <c r="BV63" s="263"/>
      <c r="BW63" s="251"/>
      <c r="BX63" s="251"/>
      <c r="BY63" s="251"/>
      <c r="BZ63" s="251"/>
      <c r="CA63" s="251"/>
      <c r="CB63" s="251"/>
      <c r="CC63" s="251"/>
      <c r="CD63" s="251"/>
      <c r="CE63" s="251"/>
      <c r="CF63" s="251"/>
      <c r="CG63" s="251"/>
      <c r="CH63" s="251"/>
      <c r="CI63" s="251"/>
      <c r="CJ63" s="251"/>
      <c r="CK63" s="251"/>
      <c r="CL63" s="251"/>
      <c r="CM63" s="252"/>
    </row>
    <row r="64" spans="1:91" ht="27" customHeight="1">
      <c r="A64" s="288"/>
      <c r="B64" s="289"/>
      <c r="C64" s="289"/>
      <c r="D64" s="52"/>
      <c r="E64" s="290"/>
      <c r="F64" s="290"/>
      <c r="G64" s="290"/>
      <c r="H64" s="53"/>
      <c r="I64" s="53"/>
      <c r="J64" s="53"/>
      <c r="K64" s="54"/>
      <c r="L64" s="294"/>
      <c r="M64" s="295"/>
      <c r="N64" s="295"/>
      <c r="O64" s="295"/>
      <c r="P64" s="295"/>
      <c r="Q64" s="295"/>
      <c r="R64" s="295"/>
      <c r="S64" s="295"/>
      <c r="T64" s="295"/>
      <c r="U64" s="295"/>
      <c r="V64" s="295"/>
      <c r="W64" s="295"/>
      <c r="X64" s="295"/>
      <c r="Y64" s="295"/>
      <c r="Z64" s="295"/>
      <c r="AA64" s="295"/>
      <c r="AB64" s="295"/>
      <c r="AC64" s="295"/>
      <c r="AD64" s="295"/>
      <c r="AE64" s="295"/>
      <c r="AF64" s="295"/>
      <c r="AG64" s="295"/>
      <c r="AH64" s="295"/>
      <c r="AI64" s="295"/>
      <c r="AJ64" s="295"/>
      <c r="AK64" s="295"/>
      <c r="AL64" s="295"/>
      <c r="AM64" s="295"/>
      <c r="AN64" s="295"/>
      <c r="AO64" s="295"/>
      <c r="AP64" s="295"/>
      <c r="AQ64" s="295"/>
      <c r="AR64" s="295"/>
      <c r="AS64" s="295"/>
      <c r="AT64" s="295"/>
      <c r="AU64" s="295"/>
      <c r="AV64" s="295"/>
      <c r="AW64" s="295"/>
      <c r="AX64" s="295"/>
      <c r="AY64" s="295"/>
      <c r="AZ64" s="295"/>
      <c r="BA64" s="295"/>
      <c r="BB64" s="295"/>
      <c r="BC64" s="295"/>
      <c r="BD64" s="295"/>
      <c r="BE64" s="296"/>
      <c r="BF64" s="247" t="s">
        <v>89</v>
      </c>
      <c r="BG64" s="247"/>
      <c r="BH64" s="247"/>
      <c r="BI64" s="247"/>
      <c r="BJ64" s="247"/>
      <c r="BK64" s="247"/>
      <c r="BL64" s="247"/>
      <c r="BM64" s="247"/>
      <c r="BN64" s="247"/>
      <c r="BO64" s="247"/>
      <c r="BP64" s="247"/>
      <c r="BQ64" s="247"/>
      <c r="BR64" s="247"/>
      <c r="BS64" s="247"/>
      <c r="BT64" s="247"/>
      <c r="BU64" s="248"/>
      <c r="BV64" s="279" t="s">
        <v>90</v>
      </c>
      <c r="BW64" s="280"/>
      <c r="BX64" s="280"/>
      <c r="BY64" s="280"/>
      <c r="BZ64" s="280"/>
      <c r="CA64" s="280"/>
      <c r="CB64" s="280"/>
      <c r="CC64" s="280"/>
      <c r="CD64" s="280"/>
      <c r="CE64" s="280"/>
      <c r="CF64" s="280"/>
      <c r="CG64" s="280"/>
      <c r="CH64" s="280"/>
      <c r="CI64" s="280"/>
      <c r="CJ64" s="280"/>
      <c r="CK64" s="280"/>
      <c r="CL64" s="280"/>
      <c r="CM64" s="281"/>
    </row>
    <row r="65" spans="1:91" ht="25.5" customHeight="1">
      <c r="A65" s="288"/>
      <c r="B65" s="289"/>
      <c r="C65" s="289"/>
      <c r="D65" s="52"/>
      <c r="E65" s="290"/>
      <c r="F65" s="290"/>
      <c r="G65" s="290"/>
      <c r="H65" s="53"/>
      <c r="I65" s="53"/>
      <c r="J65" s="53"/>
      <c r="K65" s="54"/>
      <c r="L65" s="294"/>
      <c r="M65" s="295"/>
      <c r="N65" s="295"/>
      <c r="O65" s="295"/>
      <c r="P65" s="295"/>
      <c r="Q65" s="295"/>
      <c r="R65" s="295"/>
      <c r="S65" s="295"/>
      <c r="T65" s="295"/>
      <c r="U65" s="295"/>
      <c r="V65" s="295"/>
      <c r="W65" s="295"/>
      <c r="X65" s="295"/>
      <c r="Y65" s="295"/>
      <c r="Z65" s="295"/>
      <c r="AA65" s="295"/>
      <c r="AB65" s="295"/>
      <c r="AC65" s="295"/>
      <c r="AD65" s="295"/>
      <c r="AE65" s="295"/>
      <c r="AF65" s="295"/>
      <c r="AG65" s="295"/>
      <c r="AH65" s="295"/>
      <c r="AI65" s="295"/>
      <c r="AJ65" s="295"/>
      <c r="AK65" s="295"/>
      <c r="AL65" s="295"/>
      <c r="AM65" s="295"/>
      <c r="AN65" s="295"/>
      <c r="AO65" s="295"/>
      <c r="AP65" s="295"/>
      <c r="AQ65" s="295"/>
      <c r="AR65" s="295"/>
      <c r="AS65" s="295"/>
      <c r="AT65" s="295"/>
      <c r="AU65" s="295"/>
      <c r="AV65" s="295"/>
      <c r="AW65" s="295"/>
      <c r="AX65" s="295"/>
      <c r="AY65" s="295"/>
      <c r="AZ65" s="295"/>
      <c r="BA65" s="295"/>
      <c r="BB65" s="295"/>
      <c r="BC65" s="295"/>
      <c r="BD65" s="295"/>
      <c r="BE65" s="296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50"/>
      <c r="BV65" s="282"/>
      <c r="BW65" s="283"/>
      <c r="BX65" s="283"/>
      <c r="BY65" s="283"/>
      <c r="BZ65" s="283"/>
      <c r="CA65" s="283"/>
      <c r="CB65" s="283"/>
      <c r="CC65" s="283"/>
      <c r="CD65" s="283"/>
      <c r="CE65" s="283"/>
      <c r="CF65" s="283"/>
      <c r="CG65" s="283"/>
      <c r="CH65" s="283"/>
      <c r="CI65" s="283"/>
      <c r="CJ65" s="283"/>
      <c r="CK65" s="283"/>
      <c r="CL65" s="283"/>
      <c r="CM65" s="284"/>
    </row>
    <row r="66" spans="1:91" ht="25.5" customHeight="1" thickBot="1">
      <c r="A66" s="288"/>
      <c r="B66" s="289"/>
      <c r="C66" s="289"/>
      <c r="D66" s="52"/>
      <c r="E66" s="290"/>
      <c r="F66" s="290"/>
      <c r="G66" s="290"/>
      <c r="H66" s="53"/>
      <c r="I66" s="53"/>
      <c r="J66" s="53"/>
      <c r="K66" s="54"/>
      <c r="L66" s="294"/>
      <c r="M66" s="295"/>
      <c r="N66" s="295"/>
      <c r="O66" s="295"/>
      <c r="P66" s="295"/>
      <c r="Q66" s="295"/>
      <c r="R66" s="295"/>
      <c r="S66" s="295"/>
      <c r="T66" s="295"/>
      <c r="U66" s="295"/>
      <c r="V66" s="295"/>
      <c r="W66" s="295"/>
      <c r="X66" s="295"/>
      <c r="Y66" s="295"/>
      <c r="Z66" s="295"/>
      <c r="AA66" s="295"/>
      <c r="AB66" s="295"/>
      <c r="AC66" s="295"/>
      <c r="AD66" s="295"/>
      <c r="AE66" s="295"/>
      <c r="AF66" s="295"/>
      <c r="AG66" s="295"/>
      <c r="AH66" s="295"/>
      <c r="AI66" s="295"/>
      <c r="AJ66" s="295"/>
      <c r="AK66" s="295"/>
      <c r="AL66" s="295"/>
      <c r="AM66" s="295"/>
      <c r="AN66" s="295"/>
      <c r="AO66" s="295"/>
      <c r="AP66" s="295"/>
      <c r="AQ66" s="295"/>
      <c r="AR66" s="295"/>
      <c r="AS66" s="295"/>
      <c r="AT66" s="295"/>
      <c r="AU66" s="295"/>
      <c r="AV66" s="295"/>
      <c r="AW66" s="295"/>
      <c r="AX66" s="295"/>
      <c r="AY66" s="295"/>
      <c r="AZ66" s="295"/>
      <c r="BA66" s="295"/>
      <c r="BB66" s="295"/>
      <c r="BC66" s="295"/>
      <c r="BD66" s="295"/>
      <c r="BE66" s="296"/>
      <c r="BF66" s="251"/>
      <c r="BG66" s="251"/>
      <c r="BH66" s="251"/>
      <c r="BI66" s="251"/>
      <c r="BJ66" s="251"/>
      <c r="BK66" s="251"/>
      <c r="BL66" s="251"/>
      <c r="BM66" s="251"/>
      <c r="BN66" s="251"/>
      <c r="BO66" s="251"/>
      <c r="BP66" s="251"/>
      <c r="BQ66" s="251"/>
      <c r="BR66" s="251"/>
      <c r="BS66" s="251"/>
      <c r="BT66" s="251"/>
      <c r="BU66" s="252"/>
      <c r="BV66" s="285"/>
      <c r="BW66" s="286"/>
      <c r="BX66" s="286"/>
      <c r="BY66" s="286"/>
      <c r="BZ66" s="286"/>
      <c r="CA66" s="286"/>
      <c r="CB66" s="286"/>
      <c r="CC66" s="286"/>
      <c r="CD66" s="286"/>
      <c r="CE66" s="286"/>
      <c r="CF66" s="286"/>
      <c r="CG66" s="286"/>
      <c r="CH66" s="286"/>
      <c r="CI66" s="286"/>
      <c r="CJ66" s="286"/>
      <c r="CK66" s="286"/>
      <c r="CL66" s="286"/>
      <c r="CM66" s="287"/>
    </row>
    <row r="67" spans="1:91" ht="25.5" customHeight="1">
      <c r="A67" s="255" t="e">
        <f>IF(#REF!&lt;&gt;"",#REF!,"")</f>
        <v>#REF!</v>
      </c>
      <c r="B67" s="256"/>
      <c r="C67" s="256"/>
      <c r="D67" s="185"/>
      <c r="E67" s="257" t="e">
        <f>IF(#REF!&lt;&gt;"",#REF!,"")</f>
        <v>#REF!</v>
      </c>
      <c r="F67" s="257"/>
      <c r="G67" s="257"/>
      <c r="H67" s="186" t="e">
        <f>IF(#REF!&lt;&gt;"",#REF!,"")</f>
        <v>#REF!</v>
      </c>
      <c r="I67" s="186" t="e">
        <f>IF(#REF!&lt;&gt;"",#REF!,"")</f>
        <v>#REF!</v>
      </c>
      <c r="J67" s="186" t="e">
        <f>IF(#REF!&lt;&gt;"",#REF!,"")</f>
        <v>#REF!</v>
      </c>
      <c r="K67" s="187" t="e">
        <f>IF(#REF!&lt;&gt;"",#REF!,"")</f>
        <v>#REF!</v>
      </c>
      <c r="L67" s="294"/>
      <c r="M67" s="295"/>
      <c r="N67" s="295"/>
      <c r="O67" s="295"/>
      <c r="P67" s="295"/>
      <c r="Q67" s="295"/>
      <c r="R67" s="295"/>
      <c r="S67" s="295"/>
      <c r="T67" s="295"/>
      <c r="U67" s="295"/>
      <c r="V67" s="295"/>
      <c r="W67" s="295"/>
      <c r="X67" s="295"/>
      <c r="Y67" s="295"/>
      <c r="Z67" s="295"/>
      <c r="AA67" s="295"/>
      <c r="AB67" s="295"/>
      <c r="AC67" s="295"/>
      <c r="AD67" s="295"/>
      <c r="AE67" s="295"/>
      <c r="AF67" s="295"/>
      <c r="AG67" s="295"/>
      <c r="AH67" s="295"/>
      <c r="AI67" s="295"/>
      <c r="AJ67" s="295"/>
      <c r="AK67" s="295"/>
      <c r="AL67" s="295"/>
      <c r="AM67" s="295"/>
      <c r="AN67" s="295"/>
      <c r="AO67" s="295"/>
      <c r="AP67" s="295"/>
      <c r="AQ67" s="295"/>
      <c r="AR67" s="295"/>
      <c r="AS67" s="295"/>
      <c r="AT67" s="295"/>
      <c r="AU67" s="295"/>
      <c r="AV67" s="295"/>
      <c r="AW67" s="295"/>
      <c r="AX67" s="295"/>
      <c r="AY67" s="295"/>
      <c r="AZ67" s="295"/>
      <c r="BA67" s="295"/>
      <c r="BB67" s="295"/>
      <c r="BC67" s="295"/>
      <c r="BD67" s="295"/>
      <c r="BE67" s="296"/>
      <c r="BF67" s="272" t="s">
        <v>34</v>
      </c>
      <c r="BG67" s="272"/>
      <c r="BH67" s="272"/>
      <c r="BI67" s="272"/>
      <c r="BJ67" s="272"/>
      <c r="BK67" s="272"/>
      <c r="BL67" s="272"/>
      <c r="BM67" s="272"/>
      <c r="BN67" s="272"/>
      <c r="BO67" s="272"/>
      <c r="BP67" s="272"/>
      <c r="BQ67" s="272"/>
      <c r="BR67" s="272"/>
      <c r="BS67" s="272"/>
      <c r="BT67" s="272"/>
      <c r="BU67" s="254"/>
      <c r="BV67" s="273" t="s">
        <v>35</v>
      </c>
      <c r="BW67" s="272"/>
      <c r="BX67" s="274"/>
      <c r="BY67" s="253" t="s">
        <v>36</v>
      </c>
      <c r="BZ67" s="272"/>
      <c r="CA67" s="272"/>
      <c r="CB67" s="272"/>
      <c r="CC67" s="272"/>
      <c r="CD67" s="272"/>
      <c r="CE67" s="272"/>
      <c r="CF67" s="272"/>
      <c r="CG67" s="272"/>
      <c r="CH67" s="272"/>
      <c r="CI67" s="272"/>
      <c r="CJ67" s="272"/>
      <c r="CK67" s="274"/>
      <c r="CL67" s="253" t="s">
        <v>37</v>
      </c>
      <c r="CM67" s="254"/>
    </row>
    <row r="68" spans="1:91" ht="25.5" customHeight="1">
      <c r="A68" s="255" t="e">
        <f>IF(#REF!&lt;&gt;"",#REF!,"")</f>
        <v>#REF!</v>
      </c>
      <c r="B68" s="256"/>
      <c r="C68" s="256"/>
      <c r="D68" s="185"/>
      <c r="E68" s="257" t="e">
        <f>IF(#REF!&lt;&gt;"",#REF!,"")</f>
        <v>#REF!</v>
      </c>
      <c r="F68" s="257"/>
      <c r="G68" s="257"/>
      <c r="H68" s="186" t="e">
        <f>IF(#REF!&lt;&gt;"",#REF!,"")</f>
        <v>#REF!</v>
      </c>
      <c r="I68" s="186" t="e">
        <f>IF(#REF!&lt;&gt;"",#REF!,"")</f>
        <v>#REF!</v>
      </c>
      <c r="J68" s="186" t="e">
        <f>IF(#REF!&lt;&gt;"",#REF!,"")</f>
        <v>#REF!</v>
      </c>
      <c r="K68" s="187" t="e">
        <f>IF(#REF!&lt;&gt;"",#REF!,"")</f>
        <v>#REF!</v>
      </c>
      <c r="L68" s="294"/>
      <c r="M68" s="295"/>
      <c r="N68" s="295"/>
      <c r="O68" s="295"/>
      <c r="P68" s="295"/>
      <c r="Q68" s="295"/>
      <c r="R68" s="295"/>
      <c r="S68" s="295"/>
      <c r="T68" s="295"/>
      <c r="U68" s="295"/>
      <c r="V68" s="295"/>
      <c r="W68" s="295"/>
      <c r="X68" s="295"/>
      <c r="Y68" s="295"/>
      <c r="Z68" s="295"/>
      <c r="AA68" s="295"/>
      <c r="AB68" s="295"/>
      <c r="AC68" s="295"/>
      <c r="AD68" s="295"/>
      <c r="AE68" s="295"/>
      <c r="AF68" s="295"/>
      <c r="AG68" s="295"/>
      <c r="AH68" s="295"/>
      <c r="AI68" s="295"/>
      <c r="AJ68" s="295"/>
      <c r="AK68" s="295"/>
      <c r="AL68" s="295"/>
      <c r="AM68" s="295"/>
      <c r="AN68" s="295"/>
      <c r="AO68" s="295"/>
      <c r="AP68" s="295"/>
      <c r="AQ68" s="295"/>
      <c r="AR68" s="295"/>
      <c r="AS68" s="295"/>
      <c r="AT68" s="295"/>
      <c r="AU68" s="295"/>
      <c r="AV68" s="295"/>
      <c r="AW68" s="295"/>
      <c r="AX68" s="295"/>
      <c r="AY68" s="295"/>
      <c r="AZ68" s="295"/>
      <c r="BA68" s="295"/>
      <c r="BB68" s="295"/>
      <c r="BC68" s="295"/>
      <c r="BD68" s="295"/>
      <c r="BE68" s="296"/>
      <c r="BF68" s="258" t="s">
        <v>5</v>
      </c>
      <c r="BG68" s="259"/>
      <c r="BH68" s="259"/>
      <c r="BI68" s="259"/>
      <c r="BJ68" s="259"/>
      <c r="BK68" s="259"/>
      <c r="BL68" s="259"/>
      <c r="BM68" s="259"/>
      <c r="BN68" s="259"/>
      <c r="BO68" s="259"/>
      <c r="BP68" s="259"/>
      <c r="BQ68" s="259"/>
      <c r="BR68" s="259"/>
      <c r="BS68" s="259"/>
      <c r="BT68" s="259"/>
      <c r="BU68" s="260"/>
      <c r="BV68" s="261" t="s">
        <v>12</v>
      </c>
      <c r="BW68" s="259"/>
      <c r="BX68" s="262"/>
      <c r="BY68" s="265" t="s">
        <v>1695</v>
      </c>
      <c r="BZ68" s="266"/>
      <c r="CA68" s="266"/>
      <c r="CB68" s="266"/>
      <c r="CC68" s="266"/>
      <c r="CD68" s="266"/>
      <c r="CE68" s="266"/>
      <c r="CF68" s="266"/>
      <c r="CG68" s="266"/>
      <c r="CH68" s="266"/>
      <c r="CI68" s="266"/>
      <c r="CJ68" s="266"/>
      <c r="CK68" s="267"/>
      <c r="CL68" s="227" t="s">
        <v>11</v>
      </c>
      <c r="CM68" s="260"/>
    </row>
    <row r="69" spans="1:91" ht="25.5" customHeight="1" thickBot="1">
      <c r="A69" s="255" t="e">
        <f>IF(#REF!&lt;&gt;"",#REF!,"")</f>
        <v>#REF!</v>
      </c>
      <c r="B69" s="256"/>
      <c r="C69" s="256"/>
      <c r="D69" s="185"/>
      <c r="E69" s="257" t="e">
        <f>IF(#REF!&lt;&gt;"",#REF!,"")</f>
        <v>#REF!</v>
      </c>
      <c r="F69" s="257"/>
      <c r="G69" s="257"/>
      <c r="H69" s="186" t="e">
        <f>IF(#REF!&lt;&gt;"",#REF!,"")</f>
        <v>#REF!</v>
      </c>
      <c r="I69" s="186" t="e">
        <f>IF(#REF!&lt;&gt;"",#REF!,"")</f>
        <v>#REF!</v>
      </c>
      <c r="J69" s="186" t="e">
        <f>IF(#REF!&lt;&gt;"",#REF!,"")</f>
        <v>#REF!</v>
      </c>
      <c r="K69" s="187" t="e">
        <f>IF(#REF!&lt;&gt;"",#REF!,"")</f>
        <v>#REF!</v>
      </c>
      <c r="L69" s="297"/>
      <c r="M69" s="298"/>
      <c r="N69" s="298"/>
      <c r="O69" s="298"/>
      <c r="P69" s="298"/>
      <c r="Q69" s="298"/>
      <c r="R69" s="298"/>
      <c r="S69" s="298"/>
      <c r="T69" s="298"/>
      <c r="U69" s="298"/>
      <c r="V69" s="298"/>
      <c r="W69" s="298"/>
      <c r="X69" s="298"/>
      <c r="Y69" s="298"/>
      <c r="Z69" s="298"/>
      <c r="AA69" s="298"/>
      <c r="AB69" s="298"/>
      <c r="AC69" s="298"/>
      <c r="AD69" s="298"/>
      <c r="AE69" s="298"/>
      <c r="AF69" s="298"/>
      <c r="AG69" s="298"/>
      <c r="AH69" s="298"/>
      <c r="AI69" s="298"/>
      <c r="AJ69" s="298"/>
      <c r="AK69" s="298"/>
      <c r="AL69" s="298"/>
      <c r="AM69" s="298"/>
      <c r="AN69" s="298"/>
      <c r="AO69" s="298"/>
      <c r="AP69" s="298"/>
      <c r="AQ69" s="298"/>
      <c r="AR69" s="298"/>
      <c r="AS69" s="298"/>
      <c r="AT69" s="298"/>
      <c r="AU69" s="298"/>
      <c r="AV69" s="298"/>
      <c r="AW69" s="298"/>
      <c r="AX69" s="298"/>
      <c r="AY69" s="298"/>
      <c r="AZ69" s="298"/>
      <c r="BA69" s="298"/>
      <c r="BB69" s="298"/>
      <c r="BC69" s="298"/>
      <c r="BD69" s="298"/>
      <c r="BE69" s="299"/>
      <c r="BF69" s="251"/>
      <c r="BG69" s="251"/>
      <c r="BH69" s="251"/>
      <c r="BI69" s="251"/>
      <c r="BJ69" s="251"/>
      <c r="BK69" s="251"/>
      <c r="BL69" s="251"/>
      <c r="BM69" s="251"/>
      <c r="BN69" s="251"/>
      <c r="BO69" s="251"/>
      <c r="BP69" s="251"/>
      <c r="BQ69" s="251"/>
      <c r="BR69" s="251"/>
      <c r="BS69" s="251"/>
      <c r="BT69" s="251"/>
      <c r="BU69" s="252"/>
      <c r="BV69" s="263"/>
      <c r="BW69" s="251"/>
      <c r="BX69" s="264"/>
      <c r="BY69" s="268"/>
      <c r="BZ69" s="269"/>
      <c r="CA69" s="269"/>
      <c r="CB69" s="269"/>
      <c r="CC69" s="269"/>
      <c r="CD69" s="269"/>
      <c r="CE69" s="269"/>
      <c r="CF69" s="269"/>
      <c r="CG69" s="269"/>
      <c r="CH69" s="269"/>
      <c r="CI69" s="269"/>
      <c r="CJ69" s="269"/>
      <c r="CK69" s="270"/>
      <c r="CL69" s="271"/>
      <c r="CM69" s="252"/>
    </row>
    <row r="70" spans="1:91" ht="12" customHeight="1">
      <c r="A70" s="55"/>
      <c r="B70" s="56"/>
      <c r="C70" s="56"/>
      <c r="D70" s="56"/>
      <c r="E70" s="57"/>
      <c r="F70" s="58"/>
      <c r="G70" s="58"/>
      <c r="H70" s="58"/>
      <c r="I70" s="59"/>
      <c r="BL70" s="17"/>
      <c r="BM70" s="17"/>
      <c r="BN70" s="17"/>
      <c r="BO70" s="17"/>
      <c r="BP70" s="17"/>
      <c r="BQ70" s="17"/>
      <c r="BR70" s="17"/>
      <c r="BS70" s="17"/>
      <c r="BT70" s="61"/>
      <c r="CD70" s="57"/>
      <c r="CE70" s="57"/>
      <c r="CF70" s="57"/>
      <c r="CG70" s="57"/>
      <c r="CH70" s="57"/>
      <c r="CI70" s="57"/>
      <c r="CJ70" s="57"/>
      <c r="CK70" s="57"/>
      <c r="CL70" s="57"/>
      <c r="CM70" s="57"/>
    </row>
  </sheetData>
  <mergeCells count="45"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BV64:CM66"/>
    <mergeCell ref="A65:C65"/>
    <mergeCell ref="E65:G65"/>
    <mergeCell ref="A66:C66"/>
    <mergeCell ref="E66:G66"/>
    <mergeCell ref="A67:C67"/>
    <mergeCell ref="E67:G67"/>
    <mergeCell ref="BF67:BU67"/>
    <mergeCell ref="BV67:BX67"/>
    <mergeCell ref="BY67:CK67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BF64:BU66"/>
    <mergeCell ref="G7:G9"/>
    <mergeCell ref="H7:H9"/>
    <mergeCell ref="I7:K7"/>
    <mergeCell ref="J8:K8"/>
    <mergeCell ref="A61:C61"/>
    <mergeCell ref="E61:G61"/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29" orientation="landscape" r:id="rId1"/>
  <headerFooter alignWithMargins="0">
    <oddFooter xml:space="preserve">&amp;L&amp;Z&amp;F&amp;C&amp;D&amp;RConcise DesignShutdown Key 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DQ70"/>
  <sheetViews>
    <sheetView showGridLines="0" view="pageBreakPreview" topLeftCell="C1" zoomScale="50" zoomScaleNormal="50" zoomScaleSheetLayoutView="50" zoomScalePageLayoutView="50" workbookViewId="0">
      <selection activeCell="I1" sqref="I1:K9"/>
    </sheetView>
  </sheetViews>
  <sheetFormatPr defaultColWidth="12.7109375" defaultRowHeight="12" customHeight="1"/>
  <cols>
    <col min="1" max="1" width="8.7109375" style="21" hidden="1" customWidth="1"/>
    <col min="2" max="2" width="7.42578125" style="21" hidden="1" customWidth="1"/>
    <col min="3" max="3" width="19" style="21" customWidth="1"/>
    <col min="4" max="4" width="25.42578125" style="21" hidden="1" customWidth="1"/>
    <col min="5" max="5" width="95.85546875" style="27" bestFit="1" customWidth="1"/>
    <col min="6" max="6" width="18.42578125" style="196" hidden="1" customWidth="1"/>
    <col min="7" max="7" width="31.5703125" style="196" bestFit="1" customWidth="1"/>
    <col min="8" max="8" width="33" style="196" bestFit="1" customWidth="1"/>
    <col min="9" max="10" width="8.42578125" style="41" customWidth="1"/>
    <col min="11" max="11" width="10.85546875" style="41" bestFit="1" customWidth="1"/>
    <col min="12" max="12" width="6.140625" style="60" hidden="1" customWidth="1"/>
    <col min="13" max="14" width="6.140625" style="27" customWidth="1"/>
    <col min="15" max="16" width="6.140625" style="27" hidden="1" customWidth="1"/>
    <col min="17" max="21" width="6.140625" style="27" customWidth="1"/>
    <col min="22" max="22" width="6.140625" style="60" customWidth="1"/>
    <col min="23" max="31" width="6.140625" style="27" customWidth="1"/>
    <col min="32" max="32" width="6.140625" style="60" customWidth="1"/>
    <col min="33" max="41" width="6.140625" style="27" customWidth="1"/>
    <col min="42" max="42" width="6.140625" style="60" customWidth="1"/>
    <col min="43" max="51" width="6.140625" style="27" customWidth="1"/>
    <col min="52" max="52" width="6.140625" style="60" customWidth="1"/>
    <col min="53" max="61" width="6.140625" style="27" customWidth="1"/>
    <col min="62" max="62" width="6.140625" style="60" customWidth="1"/>
    <col min="63" max="71" width="6.140625" style="27" customWidth="1"/>
    <col min="72" max="72" width="6.140625" style="60" customWidth="1"/>
    <col min="73" max="80" width="6.140625" style="27" customWidth="1"/>
    <col min="81" max="81" width="6.140625" style="62" customWidth="1"/>
    <col min="82" max="91" width="6.140625" style="27" customWidth="1"/>
    <col min="92" max="16384" width="12.7109375" style="27"/>
  </cols>
  <sheetData>
    <row r="1" spans="1:121" s="194" customFormat="1" ht="20.25" customHeight="1">
      <c r="A1" s="15"/>
      <c r="B1" s="16"/>
      <c r="C1" s="16"/>
      <c r="D1" s="16"/>
      <c r="E1" s="17"/>
      <c r="F1" s="195"/>
      <c r="G1" s="195"/>
      <c r="H1" s="195"/>
      <c r="I1" s="18"/>
      <c r="J1" s="19" t="s">
        <v>13</v>
      </c>
      <c r="K1" s="20"/>
      <c r="L1" s="407">
        <v>1</v>
      </c>
      <c r="M1" s="402">
        <v>2</v>
      </c>
      <c r="N1" s="402">
        <v>3</v>
      </c>
      <c r="O1" s="402">
        <v>4</v>
      </c>
      <c r="P1" s="408">
        <v>6</v>
      </c>
      <c r="Q1" s="407">
        <v>7</v>
      </c>
      <c r="R1" s="402">
        <v>238</v>
      </c>
      <c r="S1" s="402">
        <v>889</v>
      </c>
      <c r="T1" s="402">
        <v>887</v>
      </c>
      <c r="U1" s="409">
        <v>888</v>
      </c>
      <c r="V1" s="401">
        <v>231</v>
      </c>
      <c r="W1" s="403">
        <v>7777</v>
      </c>
      <c r="X1" s="403"/>
      <c r="Y1" s="403"/>
      <c r="Z1" s="406"/>
      <c r="AA1" s="410"/>
      <c r="AB1" s="403"/>
      <c r="AC1" s="403"/>
      <c r="AD1" s="403"/>
      <c r="AE1" s="404"/>
      <c r="AF1" s="405"/>
      <c r="AG1" s="403"/>
      <c r="AH1" s="403"/>
      <c r="AI1" s="403"/>
      <c r="AJ1" s="406"/>
      <c r="AK1" s="410"/>
      <c r="AL1" s="403"/>
      <c r="AM1" s="403"/>
      <c r="AN1" s="403"/>
      <c r="AO1" s="404"/>
      <c r="AP1" s="405"/>
      <c r="AQ1" s="403"/>
      <c r="AR1" s="403"/>
      <c r="AS1" s="403"/>
      <c r="AT1" s="406"/>
      <c r="AU1" s="410"/>
      <c r="AV1" s="403"/>
      <c r="AW1" s="403"/>
      <c r="AX1" s="403"/>
      <c r="AY1" s="404"/>
      <c r="AZ1" s="405"/>
      <c r="BA1" s="403"/>
      <c r="BB1" s="403"/>
      <c r="BC1" s="403"/>
      <c r="BD1" s="406"/>
      <c r="BE1" s="410"/>
      <c r="BF1" s="403"/>
      <c r="BG1" s="403"/>
      <c r="BH1" s="403"/>
      <c r="BI1" s="404"/>
      <c r="BJ1" s="405"/>
      <c r="BK1" s="403"/>
      <c r="BL1" s="403"/>
      <c r="BM1" s="403"/>
      <c r="BN1" s="406"/>
      <c r="BO1" s="410"/>
      <c r="BP1" s="403"/>
      <c r="BQ1" s="403"/>
      <c r="BR1" s="403"/>
      <c r="BS1" s="404"/>
      <c r="BT1" s="405"/>
      <c r="BU1" s="403"/>
      <c r="BV1" s="403"/>
      <c r="BW1" s="403"/>
      <c r="BX1" s="406"/>
      <c r="BY1" s="410"/>
      <c r="BZ1" s="403"/>
      <c r="CA1" s="403"/>
      <c r="CB1" s="403"/>
      <c r="CC1" s="404"/>
      <c r="CD1" s="405"/>
      <c r="CE1" s="403"/>
      <c r="CF1" s="403"/>
      <c r="CG1" s="403"/>
      <c r="CH1" s="404"/>
      <c r="CI1" s="405"/>
      <c r="CJ1" s="403"/>
      <c r="CK1" s="403"/>
      <c r="CL1" s="403"/>
      <c r="CM1" s="406"/>
      <c r="CN1" s="21"/>
      <c r="CO1" s="21"/>
      <c r="CP1" s="21"/>
      <c r="CQ1" s="21"/>
      <c r="CR1" s="21"/>
      <c r="CS1" s="21"/>
      <c r="CT1" s="21"/>
      <c r="CU1" s="21"/>
      <c r="CV1" s="21"/>
      <c r="CW1" s="21"/>
      <c r="CX1" s="21"/>
      <c r="CY1" s="21"/>
      <c r="CZ1" s="21"/>
      <c r="DA1" s="21"/>
      <c r="DB1" s="21"/>
      <c r="DC1" s="21"/>
      <c r="DD1" s="21"/>
      <c r="DE1" s="21"/>
      <c r="DF1" s="21"/>
      <c r="DG1" s="21"/>
      <c r="DH1" s="21"/>
      <c r="DI1" s="21"/>
      <c r="DJ1" s="21"/>
      <c r="DK1" s="21"/>
      <c r="DL1" s="21"/>
      <c r="DM1" s="21"/>
      <c r="DN1" s="21"/>
      <c r="DO1" s="21"/>
      <c r="DP1" s="21"/>
      <c r="DQ1" s="21"/>
    </row>
    <row r="2" spans="1:121" s="194" customFormat="1" ht="24" customHeight="1" thickBot="1">
      <c r="A2" s="22"/>
      <c r="B2" s="21"/>
      <c r="C2" s="21"/>
      <c r="D2" s="21"/>
      <c r="F2" s="196"/>
      <c r="G2" s="196"/>
      <c r="H2" s="196"/>
      <c r="I2" s="23"/>
      <c r="J2" s="24" t="s">
        <v>14</v>
      </c>
      <c r="K2" s="25"/>
      <c r="L2" s="388" t="s">
        <v>11</v>
      </c>
      <c r="M2" s="387" t="s">
        <v>11</v>
      </c>
      <c r="N2" s="387" t="s">
        <v>11</v>
      </c>
      <c r="O2" s="387" t="s">
        <v>11</v>
      </c>
      <c r="P2" s="389" t="s">
        <v>11</v>
      </c>
      <c r="Q2" s="388" t="s">
        <v>77</v>
      </c>
      <c r="R2" s="387" t="s">
        <v>11</v>
      </c>
      <c r="S2" s="387" t="s">
        <v>11</v>
      </c>
      <c r="T2" s="387" t="s">
        <v>11</v>
      </c>
      <c r="U2" s="390" t="s">
        <v>11</v>
      </c>
      <c r="V2" s="386" t="s">
        <v>11</v>
      </c>
      <c r="W2" s="372" t="s">
        <v>11</v>
      </c>
      <c r="X2" s="372"/>
      <c r="Y2" s="372"/>
      <c r="Z2" s="373"/>
      <c r="AA2" s="374"/>
      <c r="AB2" s="372"/>
      <c r="AC2" s="372"/>
      <c r="AD2" s="372"/>
      <c r="AE2" s="371"/>
      <c r="AF2" s="375"/>
      <c r="AG2" s="372"/>
      <c r="AH2" s="372"/>
      <c r="AI2" s="372"/>
      <c r="AJ2" s="373"/>
      <c r="AK2" s="374"/>
      <c r="AL2" s="372"/>
      <c r="AM2" s="372"/>
      <c r="AN2" s="372"/>
      <c r="AO2" s="371"/>
      <c r="AP2" s="375"/>
      <c r="AQ2" s="372"/>
      <c r="AR2" s="372"/>
      <c r="AS2" s="372"/>
      <c r="AT2" s="373"/>
      <c r="AU2" s="374"/>
      <c r="AV2" s="372"/>
      <c r="AW2" s="372"/>
      <c r="AX2" s="372"/>
      <c r="AY2" s="371"/>
      <c r="AZ2" s="375"/>
      <c r="BA2" s="372"/>
      <c r="BB2" s="372"/>
      <c r="BC2" s="372"/>
      <c r="BD2" s="373"/>
      <c r="BE2" s="374"/>
      <c r="BF2" s="372"/>
      <c r="BG2" s="372"/>
      <c r="BH2" s="372"/>
      <c r="BI2" s="371"/>
      <c r="BJ2" s="375"/>
      <c r="BK2" s="372"/>
      <c r="BL2" s="372"/>
      <c r="BM2" s="372"/>
      <c r="BN2" s="373"/>
      <c r="BO2" s="374"/>
      <c r="BP2" s="372"/>
      <c r="BQ2" s="372"/>
      <c r="BR2" s="372"/>
      <c r="BS2" s="371"/>
      <c r="BT2" s="375"/>
      <c r="BU2" s="372"/>
      <c r="BV2" s="372"/>
      <c r="BW2" s="372"/>
      <c r="BX2" s="373"/>
      <c r="BY2" s="374"/>
      <c r="BZ2" s="372"/>
      <c r="CA2" s="372"/>
      <c r="CB2" s="372"/>
      <c r="CC2" s="371"/>
      <c r="CD2" s="375"/>
      <c r="CE2" s="372"/>
      <c r="CF2" s="372"/>
      <c r="CG2" s="372"/>
      <c r="CH2" s="371"/>
      <c r="CI2" s="375"/>
      <c r="CJ2" s="372"/>
      <c r="CK2" s="372"/>
      <c r="CL2" s="372"/>
      <c r="CM2" s="373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  <c r="DO2" s="26"/>
      <c r="DP2" s="26"/>
      <c r="DQ2" s="21"/>
    </row>
    <row r="3" spans="1:121" ht="111" customHeight="1">
      <c r="A3" s="22"/>
      <c r="I3" s="307" t="s">
        <v>15</v>
      </c>
      <c r="J3" s="308"/>
      <c r="K3" s="309"/>
      <c r="L3" s="421" t="s">
        <v>76</v>
      </c>
      <c r="M3" s="422" t="s">
        <v>76</v>
      </c>
      <c r="N3" s="422" t="s">
        <v>76</v>
      </c>
      <c r="O3" s="422" t="s">
        <v>76</v>
      </c>
      <c r="P3" s="423" t="s">
        <v>76</v>
      </c>
      <c r="Q3" s="421"/>
      <c r="R3" s="422" t="s">
        <v>16</v>
      </c>
      <c r="S3" s="422" t="s">
        <v>44</v>
      </c>
      <c r="T3" s="422" t="s">
        <v>44</v>
      </c>
      <c r="U3" s="424" t="s">
        <v>44</v>
      </c>
      <c r="V3" s="425" t="s">
        <v>44</v>
      </c>
      <c r="W3" s="372" t="s">
        <v>93</v>
      </c>
      <c r="X3" s="372"/>
      <c r="Y3" s="372"/>
      <c r="Z3" s="373"/>
      <c r="AA3" s="374"/>
      <c r="AB3" s="372"/>
      <c r="AC3" s="372"/>
      <c r="AD3" s="372"/>
      <c r="AE3" s="371"/>
      <c r="AF3" s="375"/>
      <c r="AG3" s="372"/>
      <c r="AH3" s="372"/>
      <c r="AI3" s="372"/>
      <c r="AJ3" s="373"/>
      <c r="AK3" s="374"/>
      <c r="AL3" s="372"/>
      <c r="AM3" s="372"/>
      <c r="AN3" s="372"/>
      <c r="AO3" s="371"/>
      <c r="AP3" s="375"/>
      <c r="AQ3" s="372"/>
      <c r="AR3" s="372"/>
      <c r="AS3" s="372"/>
      <c r="AT3" s="373"/>
      <c r="AU3" s="374"/>
      <c r="AV3" s="372"/>
      <c r="AW3" s="372"/>
      <c r="AX3" s="372"/>
      <c r="AY3" s="371"/>
      <c r="AZ3" s="375"/>
      <c r="BA3" s="372"/>
      <c r="BB3" s="372"/>
      <c r="BC3" s="372"/>
      <c r="BD3" s="373"/>
      <c r="BE3" s="374"/>
      <c r="BF3" s="372"/>
      <c r="BG3" s="372"/>
      <c r="BH3" s="372"/>
      <c r="BI3" s="371"/>
      <c r="BJ3" s="375"/>
      <c r="BK3" s="372"/>
      <c r="BL3" s="372"/>
      <c r="BM3" s="372"/>
      <c r="BN3" s="373"/>
      <c r="BO3" s="374"/>
      <c r="BP3" s="372"/>
      <c r="BQ3" s="372"/>
      <c r="BR3" s="372"/>
      <c r="BS3" s="371"/>
      <c r="BT3" s="375"/>
      <c r="BU3" s="372"/>
      <c r="BV3" s="372"/>
      <c r="BW3" s="372"/>
      <c r="BX3" s="373"/>
      <c r="BY3" s="374"/>
      <c r="BZ3" s="372"/>
      <c r="CA3" s="372"/>
      <c r="CB3" s="372"/>
      <c r="CC3" s="371"/>
      <c r="CD3" s="375"/>
      <c r="CE3" s="372"/>
      <c r="CF3" s="372"/>
      <c r="CG3" s="372"/>
      <c r="CH3" s="371"/>
      <c r="CI3" s="375"/>
      <c r="CJ3" s="372"/>
      <c r="CK3" s="372"/>
      <c r="CL3" s="372"/>
      <c r="CM3" s="373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</row>
    <row r="4" spans="1:121" s="29" customFormat="1" ht="156.75" customHeight="1">
      <c r="A4" s="22"/>
      <c r="B4" s="21"/>
      <c r="C4" s="21"/>
      <c r="D4" s="21"/>
      <c r="F4" s="21"/>
      <c r="G4" s="21"/>
      <c r="H4" s="30"/>
      <c r="I4" s="310" t="s">
        <v>17</v>
      </c>
      <c r="J4" s="311"/>
      <c r="K4" s="312"/>
      <c r="L4" s="421" t="s">
        <v>76</v>
      </c>
      <c r="M4" s="422" t="s">
        <v>76</v>
      </c>
      <c r="N4" s="422" t="s">
        <v>76</v>
      </c>
      <c r="O4" s="422" t="s">
        <v>76</v>
      </c>
      <c r="P4" s="423" t="s">
        <v>76</v>
      </c>
      <c r="Q4" s="421" t="s">
        <v>77</v>
      </c>
      <c r="R4" s="422" t="s">
        <v>76</v>
      </c>
      <c r="S4" s="422" t="s">
        <v>76</v>
      </c>
      <c r="T4" s="422" t="s">
        <v>76</v>
      </c>
      <c r="U4" s="424" t="s">
        <v>76</v>
      </c>
      <c r="V4" s="425" t="s">
        <v>76</v>
      </c>
      <c r="W4" s="372" t="s">
        <v>93</v>
      </c>
      <c r="X4" s="372"/>
      <c r="Y4" s="372"/>
      <c r="Z4" s="373"/>
      <c r="AA4" s="374"/>
      <c r="AB4" s="372"/>
      <c r="AC4" s="372"/>
      <c r="AD4" s="372"/>
      <c r="AE4" s="371"/>
      <c r="AF4" s="375"/>
      <c r="AG4" s="372"/>
      <c r="AH4" s="372"/>
      <c r="AI4" s="372"/>
      <c r="AJ4" s="373"/>
      <c r="AK4" s="374"/>
      <c r="AL4" s="372"/>
      <c r="AM4" s="372"/>
      <c r="AN4" s="372"/>
      <c r="AO4" s="371"/>
      <c r="AP4" s="375"/>
      <c r="AQ4" s="372"/>
      <c r="AR4" s="372"/>
      <c r="AS4" s="372"/>
      <c r="AT4" s="373"/>
      <c r="AU4" s="374"/>
      <c r="AV4" s="372"/>
      <c r="AW4" s="372"/>
      <c r="AX4" s="372"/>
      <c r="AY4" s="371"/>
      <c r="AZ4" s="375"/>
      <c r="BA4" s="372"/>
      <c r="BB4" s="372"/>
      <c r="BC4" s="372"/>
      <c r="BD4" s="373"/>
      <c r="BE4" s="374"/>
      <c r="BF4" s="372"/>
      <c r="BG4" s="372"/>
      <c r="BH4" s="372"/>
      <c r="BI4" s="371"/>
      <c r="BJ4" s="375"/>
      <c r="BK4" s="372"/>
      <c r="BL4" s="372"/>
      <c r="BM4" s="372"/>
      <c r="BN4" s="373"/>
      <c r="BO4" s="374"/>
      <c r="BP4" s="372"/>
      <c r="BQ4" s="372"/>
      <c r="BR4" s="372"/>
      <c r="BS4" s="371"/>
      <c r="BT4" s="375"/>
      <c r="BU4" s="372"/>
      <c r="BV4" s="372"/>
      <c r="BW4" s="372"/>
      <c r="BX4" s="373"/>
      <c r="BY4" s="374"/>
      <c r="BZ4" s="372"/>
      <c r="CA4" s="372"/>
      <c r="CB4" s="372"/>
      <c r="CC4" s="371"/>
      <c r="CD4" s="375"/>
      <c r="CE4" s="372"/>
      <c r="CF4" s="372"/>
      <c r="CG4" s="372"/>
      <c r="CH4" s="371"/>
      <c r="CI4" s="375"/>
      <c r="CJ4" s="372"/>
      <c r="CK4" s="372"/>
      <c r="CL4" s="372"/>
      <c r="CM4" s="373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6"/>
      <c r="DF4" s="28"/>
      <c r="DG4" s="26"/>
      <c r="DH4" s="28"/>
      <c r="DI4" s="26"/>
      <c r="DJ4" s="28"/>
      <c r="DK4" s="26"/>
      <c r="DL4" s="28"/>
      <c r="DM4" s="26"/>
      <c r="DN4" s="28"/>
      <c r="DO4" s="26"/>
      <c r="DP4" s="28"/>
      <c r="DQ4" s="28"/>
    </row>
    <row r="5" spans="1:121" s="21" customFormat="1" ht="408" customHeight="1">
      <c r="A5" s="22"/>
      <c r="H5" s="30" t="s">
        <v>18</v>
      </c>
      <c r="I5" s="203" t="s">
        <v>7</v>
      </c>
      <c r="J5" s="204"/>
      <c r="K5" s="313"/>
      <c r="L5" s="426" t="s">
        <v>69</v>
      </c>
      <c r="M5" s="427" t="s">
        <v>72</v>
      </c>
      <c r="N5" s="427" t="s">
        <v>71</v>
      </c>
      <c r="O5" s="427" t="s">
        <v>83</v>
      </c>
      <c r="P5" s="428" t="s">
        <v>82</v>
      </c>
      <c r="Q5" s="426"/>
      <c r="R5" s="427" t="s">
        <v>56</v>
      </c>
      <c r="S5" s="427" t="s">
        <v>59</v>
      </c>
      <c r="T5" s="427" t="s">
        <v>57</v>
      </c>
      <c r="U5" s="429" t="s">
        <v>58</v>
      </c>
      <c r="V5" s="430" t="s">
        <v>55</v>
      </c>
      <c r="W5" s="372" t="s">
        <v>93</v>
      </c>
      <c r="X5" s="372"/>
      <c r="Y5" s="372"/>
      <c r="Z5" s="373"/>
      <c r="AA5" s="374"/>
      <c r="AB5" s="372"/>
      <c r="AC5" s="372"/>
      <c r="AD5" s="372"/>
      <c r="AE5" s="371"/>
      <c r="AF5" s="375"/>
      <c r="AG5" s="372"/>
      <c r="AH5" s="372"/>
      <c r="AI5" s="372"/>
      <c r="AJ5" s="373"/>
      <c r="AK5" s="374"/>
      <c r="AL5" s="372"/>
      <c r="AM5" s="372"/>
      <c r="AN5" s="372"/>
      <c r="AO5" s="371"/>
      <c r="AP5" s="375"/>
      <c r="AQ5" s="372"/>
      <c r="AR5" s="372"/>
      <c r="AS5" s="372"/>
      <c r="AT5" s="373"/>
      <c r="AU5" s="374"/>
      <c r="AV5" s="372"/>
      <c r="AW5" s="372"/>
      <c r="AX5" s="372"/>
      <c r="AY5" s="371"/>
      <c r="AZ5" s="375"/>
      <c r="BA5" s="372"/>
      <c r="BB5" s="372"/>
      <c r="BC5" s="372"/>
      <c r="BD5" s="373"/>
      <c r="BE5" s="374"/>
      <c r="BF5" s="372"/>
      <c r="BG5" s="372"/>
      <c r="BH5" s="372"/>
      <c r="BI5" s="371"/>
      <c r="BJ5" s="375"/>
      <c r="BK5" s="372"/>
      <c r="BL5" s="372"/>
      <c r="BM5" s="372"/>
      <c r="BN5" s="373"/>
      <c r="BO5" s="374"/>
      <c r="BP5" s="372"/>
      <c r="BQ5" s="372"/>
      <c r="BR5" s="372"/>
      <c r="BS5" s="371"/>
      <c r="BT5" s="375"/>
      <c r="BU5" s="372"/>
      <c r="BV5" s="372"/>
      <c r="BW5" s="372"/>
      <c r="BX5" s="373"/>
      <c r="BY5" s="374"/>
      <c r="BZ5" s="372"/>
      <c r="CA5" s="372"/>
      <c r="CB5" s="372"/>
      <c r="CC5" s="371"/>
      <c r="CD5" s="375"/>
      <c r="CE5" s="372"/>
      <c r="CF5" s="372"/>
      <c r="CG5" s="372"/>
      <c r="CH5" s="371"/>
      <c r="CI5" s="375"/>
      <c r="CJ5" s="372"/>
      <c r="CK5" s="372"/>
      <c r="CL5" s="372"/>
      <c r="CM5" s="373"/>
      <c r="CN5" s="31"/>
      <c r="CO5" s="32"/>
      <c r="CP5" s="31"/>
      <c r="CQ5" s="32"/>
      <c r="CR5" s="31"/>
      <c r="CS5" s="32"/>
      <c r="CT5" s="31"/>
      <c r="CU5" s="32"/>
      <c r="CV5" s="31"/>
      <c r="CW5" s="33"/>
      <c r="CX5" s="31"/>
      <c r="CY5" s="33"/>
      <c r="CZ5" s="31"/>
      <c r="DA5" s="31"/>
      <c r="DB5" s="31"/>
      <c r="DC5" s="32"/>
      <c r="DD5" s="31"/>
      <c r="DE5" s="31"/>
      <c r="DF5" s="31"/>
      <c r="DG5" s="31"/>
      <c r="DH5" s="31"/>
      <c r="DI5" s="31"/>
      <c r="DJ5" s="31"/>
      <c r="DK5" s="32"/>
      <c r="DL5" s="31"/>
      <c r="DM5" s="33"/>
      <c r="DN5" s="31"/>
      <c r="DO5" s="31"/>
      <c r="DP5" s="31"/>
      <c r="DQ5" s="33"/>
    </row>
    <row r="6" spans="1:121" s="21" customFormat="1" ht="140.25" customHeight="1" thickBot="1">
      <c r="A6" s="22"/>
      <c r="D6" s="197"/>
      <c r="E6" s="197" t="s">
        <v>19</v>
      </c>
      <c r="I6" s="232" t="s">
        <v>20</v>
      </c>
      <c r="J6" s="233"/>
      <c r="K6" s="314"/>
      <c r="L6" s="431" t="s">
        <v>66</v>
      </c>
      <c r="M6" s="432" t="s">
        <v>64</v>
      </c>
      <c r="N6" s="432" t="s">
        <v>65</v>
      </c>
      <c r="O6" s="432" t="s">
        <v>67</v>
      </c>
      <c r="P6" s="433" t="s">
        <v>68</v>
      </c>
      <c r="Q6" s="431"/>
      <c r="R6" s="432" t="s">
        <v>21</v>
      </c>
      <c r="S6" s="432" t="s">
        <v>63</v>
      </c>
      <c r="T6" s="432" t="s">
        <v>61</v>
      </c>
      <c r="U6" s="434" t="s">
        <v>62</v>
      </c>
      <c r="V6" s="435" t="s">
        <v>60</v>
      </c>
      <c r="W6" s="393" t="s">
        <v>92</v>
      </c>
      <c r="X6" s="393"/>
      <c r="Y6" s="393"/>
      <c r="Z6" s="396"/>
      <c r="AA6" s="400"/>
      <c r="AB6" s="393"/>
      <c r="AC6" s="393"/>
      <c r="AD6" s="393"/>
      <c r="AE6" s="394"/>
      <c r="AF6" s="395"/>
      <c r="AG6" s="393"/>
      <c r="AH6" s="393"/>
      <c r="AI6" s="393"/>
      <c r="AJ6" s="396"/>
      <c r="AK6" s="400"/>
      <c r="AL6" s="393"/>
      <c r="AM6" s="393"/>
      <c r="AN6" s="393"/>
      <c r="AO6" s="394"/>
      <c r="AP6" s="395"/>
      <c r="AQ6" s="393"/>
      <c r="AR6" s="393"/>
      <c r="AS6" s="393"/>
      <c r="AT6" s="396"/>
      <c r="AU6" s="400"/>
      <c r="AV6" s="393"/>
      <c r="AW6" s="393"/>
      <c r="AX6" s="393"/>
      <c r="AY6" s="394"/>
      <c r="AZ6" s="395"/>
      <c r="BA6" s="393"/>
      <c r="BB6" s="393"/>
      <c r="BC6" s="393"/>
      <c r="BD6" s="396"/>
      <c r="BE6" s="400"/>
      <c r="BF6" s="393"/>
      <c r="BG6" s="393"/>
      <c r="BH6" s="393"/>
      <c r="BI6" s="394"/>
      <c r="BJ6" s="395"/>
      <c r="BK6" s="393"/>
      <c r="BL6" s="393"/>
      <c r="BM6" s="393"/>
      <c r="BN6" s="396"/>
      <c r="BO6" s="400"/>
      <c r="BP6" s="393"/>
      <c r="BQ6" s="393"/>
      <c r="BR6" s="393"/>
      <c r="BS6" s="394"/>
      <c r="BT6" s="395"/>
      <c r="BU6" s="393"/>
      <c r="BV6" s="393"/>
      <c r="BW6" s="393"/>
      <c r="BX6" s="396"/>
      <c r="BY6" s="400"/>
      <c r="BZ6" s="393"/>
      <c r="CA6" s="393"/>
      <c r="CB6" s="393"/>
      <c r="CC6" s="394"/>
      <c r="CD6" s="395"/>
      <c r="CE6" s="393"/>
      <c r="CF6" s="393"/>
      <c r="CG6" s="393"/>
      <c r="CH6" s="394"/>
      <c r="CI6" s="395"/>
      <c r="CJ6" s="393"/>
      <c r="CK6" s="393"/>
      <c r="CL6" s="393"/>
      <c r="CM6" s="396"/>
      <c r="CN6" s="28"/>
      <c r="CO6" s="28"/>
      <c r="CP6" s="28"/>
      <c r="CQ6" s="34"/>
      <c r="CR6" s="33"/>
      <c r="CS6" s="33"/>
      <c r="CT6" s="34"/>
      <c r="CU6" s="35"/>
      <c r="CV6" s="36"/>
      <c r="CW6" s="37"/>
      <c r="CX6" s="37"/>
      <c r="CY6" s="37"/>
      <c r="CZ6" s="38"/>
      <c r="DA6" s="39"/>
      <c r="DB6" s="39"/>
      <c r="DC6" s="39"/>
      <c r="DD6" s="28"/>
      <c r="DE6" s="39"/>
      <c r="DF6" s="40"/>
      <c r="DG6" s="39"/>
      <c r="DH6" s="40"/>
      <c r="DI6" s="39"/>
      <c r="DJ6" s="40"/>
      <c r="DK6" s="39"/>
      <c r="DL6" s="40"/>
      <c r="DM6" s="39"/>
      <c r="DN6" s="40"/>
      <c r="DO6" s="39"/>
      <c r="DP6" s="40"/>
      <c r="DQ6" s="40"/>
    </row>
    <row r="7" spans="1:121" s="41" customFormat="1" ht="25.5" customHeight="1">
      <c r="A7" s="221" t="s">
        <v>22</v>
      </c>
      <c r="B7" s="212" t="s">
        <v>23</v>
      </c>
      <c r="C7" s="212" t="s">
        <v>24</v>
      </c>
      <c r="D7" s="212" t="s">
        <v>25</v>
      </c>
      <c r="E7" s="212" t="s">
        <v>7</v>
      </c>
      <c r="F7" s="212" t="s">
        <v>26</v>
      </c>
      <c r="G7" s="212" t="s">
        <v>20</v>
      </c>
      <c r="H7" s="225" t="s">
        <v>27</v>
      </c>
      <c r="I7" s="318" t="s">
        <v>28</v>
      </c>
      <c r="J7" s="212"/>
      <c r="K7" s="319"/>
      <c r="L7" s="407"/>
      <c r="M7" s="402"/>
      <c r="N7" s="402"/>
      <c r="O7" s="402"/>
      <c r="P7" s="408"/>
      <c r="Q7" s="407"/>
      <c r="R7" s="402"/>
      <c r="S7" s="402"/>
      <c r="T7" s="402"/>
      <c r="U7" s="409"/>
      <c r="V7" s="401"/>
      <c r="W7" s="403" t="s">
        <v>93</v>
      </c>
      <c r="X7" s="403"/>
      <c r="Y7" s="403"/>
      <c r="Z7" s="406"/>
      <c r="AA7" s="410"/>
      <c r="AB7" s="403"/>
      <c r="AC7" s="403"/>
      <c r="AD7" s="403"/>
      <c r="AE7" s="404"/>
      <c r="AF7" s="405"/>
      <c r="AG7" s="403"/>
      <c r="AH7" s="403"/>
      <c r="AI7" s="403"/>
      <c r="AJ7" s="406"/>
      <c r="AK7" s="410"/>
      <c r="AL7" s="403"/>
      <c r="AM7" s="403"/>
      <c r="AN7" s="403"/>
      <c r="AO7" s="404"/>
      <c r="AP7" s="405"/>
      <c r="AQ7" s="403"/>
      <c r="AR7" s="403"/>
      <c r="AS7" s="403"/>
      <c r="AT7" s="406"/>
      <c r="AU7" s="410"/>
      <c r="AV7" s="403"/>
      <c r="AW7" s="403"/>
      <c r="AX7" s="403"/>
      <c r="AY7" s="404"/>
      <c r="AZ7" s="405"/>
      <c r="BA7" s="403"/>
      <c r="BB7" s="403"/>
      <c r="BC7" s="403"/>
      <c r="BD7" s="406"/>
      <c r="BE7" s="410"/>
      <c r="BF7" s="403"/>
      <c r="BG7" s="403"/>
      <c r="BH7" s="403"/>
      <c r="BI7" s="404"/>
      <c r="BJ7" s="405"/>
      <c r="BK7" s="403"/>
      <c r="BL7" s="403"/>
      <c r="BM7" s="403"/>
      <c r="BN7" s="406"/>
      <c r="BO7" s="410"/>
      <c r="BP7" s="403"/>
      <c r="BQ7" s="403"/>
      <c r="BR7" s="403"/>
      <c r="BS7" s="404"/>
      <c r="BT7" s="405"/>
      <c r="BU7" s="403"/>
      <c r="BV7" s="403"/>
      <c r="BW7" s="403"/>
      <c r="BX7" s="406"/>
      <c r="BY7" s="410"/>
      <c r="BZ7" s="403"/>
      <c r="CA7" s="403"/>
      <c r="CB7" s="403"/>
      <c r="CC7" s="404"/>
      <c r="CD7" s="405"/>
      <c r="CE7" s="403"/>
      <c r="CF7" s="403"/>
      <c r="CG7" s="403"/>
      <c r="CH7" s="404"/>
      <c r="CI7" s="405"/>
      <c r="CJ7" s="403"/>
      <c r="CK7" s="403"/>
      <c r="CL7" s="403"/>
      <c r="CM7" s="406"/>
    </row>
    <row r="8" spans="1:121" s="41" customFormat="1" ht="25.5" customHeight="1">
      <c r="A8" s="222"/>
      <c r="B8" s="213"/>
      <c r="C8" s="213"/>
      <c r="D8" s="213"/>
      <c r="E8" s="213"/>
      <c r="F8" s="213"/>
      <c r="G8" s="213"/>
      <c r="H8" s="226"/>
      <c r="I8" s="42"/>
      <c r="J8" s="214" t="s">
        <v>29</v>
      </c>
      <c r="K8" s="320"/>
      <c r="L8" s="388"/>
      <c r="M8" s="387"/>
      <c r="N8" s="387"/>
      <c r="O8" s="387"/>
      <c r="P8" s="389"/>
      <c r="Q8" s="388"/>
      <c r="R8" s="387"/>
      <c r="S8" s="387"/>
      <c r="T8" s="387"/>
      <c r="U8" s="390"/>
      <c r="V8" s="386"/>
      <c r="W8" s="372" t="s">
        <v>93</v>
      </c>
      <c r="X8" s="372"/>
      <c r="Y8" s="372"/>
      <c r="Z8" s="373"/>
      <c r="AA8" s="374"/>
      <c r="AB8" s="372"/>
      <c r="AC8" s="372"/>
      <c r="AD8" s="372"/>
      <c r="AE8" s="371"/>
      <c r="AF8" s="375"/>
      <c r="AG8" s="372"/>
      <c r="AH8" s="372"/>
      <c r="AI8" s="372"/>
      <c r="AJ8" s="373"/>
      <c r="AK8" s="374"/>
      <c r="AL8" s="372"/>
      <c r="AM8" s="372"/>
      <c r="AN8" s="372"/>
      <c r="AO8" s="371"/>
      <c r="AP8" s="375"/>
      <c r="AQ8" s="372"/>
      <c r="AR8" s="372"/>
      <c r="AS8" s="372"/>
      <c r="AT8" s="373"/>
      <c r="AU8" s="374"/>
      <c r="AV8" s="372"/>
      <c r="AW8" s="372"/>
      <c r="AX8" s="372"/>
      <c r="AY8" s="371"/>
      <c r="AZ8" s="375"/>
      <c r="BA8" s="372"/>
      <c r="BB8" s="372"/>
      <c r="BC8" s="372"/>
      <c r="BD8" s="373"/>
      <c r="BE8" s="374"/>
      <c r="BF8" s="372"/>
      <c r="BG8" s="372"/>
      <c r="BH8" s="372"/>
      <c r="BI8" s="371"/>
      <c r="BJ8" s="375"/>
      <c r="BK8" s="372"/>
      <c r="BL8" s="372"/>
      <c r="BM8" s="372"/>
      <c r="BN8" s="373"/>
      <c r="BO8" s="374"/>
      <c r="BP8" s="372"/>
      <c r="BQ8" s="372"/>
      <c r="BR8" s="372"/>
      <c r="BS8" s="371"/>
      <c r="BT8" s="375"/>
      <c r="BU8" s="372"/>
      <c r="BV8" s="372"/>
      <c r="BW8" s="372"/>
      <c r="BX8" s="373"/>
      <c r="BY8" s="374"/>
      <c r="BZ8" s="372"/>
      <c r="CA8" s="372"/>
      <c r="CB8" s="372"/>
      <c r="CC8" s="371"/>
      <c r="CD8" s="375"/>
      <c r="CE8" s="372"/>
      <c r="CF8" s="372"/>
      <c r="CG8" s="372"/>
      <c r="CH8" s="371"/>
      <c r="CI8" s="375"/>
      <c r="CJ8" s="372"/>
      <c r="CK8" s="372"/>
      <c r="CL8" s="372"/>
      <c r="CM8" s="373"/>
    </row>
    <row r="9" spans="1:121" s="41" customFormat="1" ht="25.5" customHeight="1" thickBot="1">
      <c r="A9" s="315"/>
      <c r="B9" s="316"/>
      <c r="C9" s="316"/>
      <c r="D9" s="316"/>
      <c r="E9" s="316"/>
      <c r="F9" s="316"/>
      <c r="G9" s="316"/>
      <c r="H9" s="317"/>
      <c r="I9" s="43"/>
      <c r="J9" s="191"/>
      <c r="K9" s="44" t="s">
        <v>30</v>
      </c>
      <c r="L9" s="413"/>
      <c r="M9" s="412"/>
      <c r="N9" s="412"/>
      <c r="O9" s="412"/>
      <c r="P9" s="414"/>
      <c r="Q9" s="413"/>
      <c r="R9" s="412"/>
      <c r="S9" s="412"/>
      <c r="T9" s="412"/>
      <c r="U9" s="415"/>
      <c r="V9" s="411"/>
      <c r="W9" s="377" t="s">
        <v>93</v>
      </c>
      <c r="X9" s="377"/>
      <c r="Y9" s="377"/>
      <c r="Z9" s="378"/>
      <c r="AA9" s="379"/>
      <c r="AB9" s="377"/>
      <c r="AC9" s="377"/>
      <c r="AD9" s="377"/>
      <c r="AE9" s="376"/>
      <c r="AF9" s="380"/>
      <c r="AG9" s="377"/>
      <c r="AH9" s="377"/>
      <c r="AI9" s="377"/>
      <c r="AJ9" s="378"/>
      <c r="AK9" s="379"/>
      <c r="AL9" s="377"/>
      <c r="AM9" s="377"/>
      <c r="AN9" s="377"/>
      <c r="AO9" s="376"/>
      <c r="AP9" s="380"/>
      <c r="AQ9" s="377"/>
      <c r="AR9" s="377"/>
      <c r="AS9" s="377"/>
      <c r="AT9" s="378"/>
      <c r="AU9" s="379"/>
      <c r="AV9" s="377"/>
      <c r="AW9" s="377"/>
      <c r="AX9" s="377"/>
      <c r="AY9" s="376"/>
      <c r="AZ9" s="380"/>
      <c r="BA9" s="377"/>
      <c r="BB9" s="377"/>
      <c r="BC9" s="377"/>
      <c r="BD9" s="378"/>
      <c r="BE9" s="379"/>
      <c r="BF9" s="377"/>
      <c r="BG9" s="377"/>
      <c r="BH9" s="377"/>
      <c r="BI9" s="376"/>
      <c r="BJ9" s="380"/>
      <c r="BK9" s="377"/>
      <c r="BL9" s="377"/>
      <c r="BM9" s="377"/>
      <c r="BN9" s="378"/>
      <c r="BO9" s="379"/>
      <c r="BP9" s="377"/>
      <c r="BQ9" s="377"/>
      <c r="BR9" s="377"/>
      <c r="BS9" s="376"/>
      <c r="BT9" s="380"/>
      <c r="BU9" s="377"/>
      <c r="BV9" s="377"/>
      <c r="BW9" s="377"/>
      <c r="BX9" s="378"/>
      <c r="BY9" s="379"/>
      <c r="BZ9" s="377"/>
      <c r="CA9" s="377"/>
      <c r="CB9" s="377"/>
      <c r="CC9" s="376"/>
      <c r="CD9" s="380"/>
      <c r="CE9" s="377"/>
      <c r="CF9" s="377"/>
      <c r="CG9" s="377"/>
      <c r="CH9" s="376"/>
      <c r="CI9" s="380"/>
      <c r="CJ9" s="377"/>
      <c r="CK9" s="377"/>
      <c r="CL9" s="377"/>
      <c r="CM9" s="378"/>
    </row>
    <row r="10" spans="1:121" ht="25.5" hidden="1" customHeight="1">
      <c r="A10" s="100">
        <v>4053</v>
      </c>
      <c r="B10" s="101" t="s">
        <v>11</v>
      </c>
      <c r="C10" s="101" t="s">
        <v>44</v>
      </c>
      <c r="D10" s="101" t="s">
        <v>76</v>
      </c>
      <c r="E10" s="102" t="s">
        <v>53</v>
      </c>
      <c r="F10" s="101"/>
      <c r="G10" s="102" t="s">
        <v>674</v>
      </c>
      <c r="H10" s="177" t="s">
        <v>54</v>
      </c>
      <c r="I10" s="104"/>
      <c r="J10" s="102"/>
      <c r="K10" s="103"/>
      <c r="L10" s="347" t="s">
        <v>78</v>
      </c>
      <c r="M10" s="342" t="s">
        <v>77</v>
      </c>
      <c r="N10" s="342"/>
      <c r="O10" s="342" t="s">
        <v>77</v>
      </c>
      <c r="P10" s="348" t="s">
        <v>77</v>
      </c>
      <c r="Q10" s="347"/>
      <c r="R10" s="342"/>
      <c r="S10" s="342"/>
      <c r="T10" s="342"/>
      <c r="U10" s="349" t="s">
        <v>80</v>
      </c>
      <c r="V10" s="341"/>
      <c r="W10" s="343"/>
      <c r="X10" s="343"/>
      <c r="Y10" s="343"/>
      <c r="Z10" s="346"/>
      <c r="AA10" s="350"/>
      <c r="AB10" s="343"/>
      <c r="AC10" s="343"/>
      <c r="AD10" s="343"/>
      <c r="AE10" s="344"/>
      <c r="AF10" s="345"/>
      <c r="AG10" s="343"/>
      <c r="AH10" s="343"/>
      <c r="AI10" s="343"/>
      <c r="AJ10" s="346"/>
      <c r="AK10" s="350"/>
      <c r="AL10" s="343"/>
      <c r="AM10" s="343"/>
      <c r="AN10" s="343"/>
      <c r="AO10" s="344"/>
      <c r="AP10" s="345"/>
      <c r="AQ10" s="343"/>
      <c r="AR10" s="343"/>
      <c r="AS10" s="343"/>
      <c r="AT10" s="346"/>
      <c r="AU10" s="350"/>
      <c r="AV10" s="343"/>
      <c r="AW10" s="343"/>
      <c r="AX10" s="343"/>
      <c r="AY10" s="344"/>
      <c r="AZ10" s="345"/>
      <c r="BA10" s="343"/>
      <c r="BB10" s="343"/>
      <c r="BC10" s="343"/>
      <c r="BD10" s="346"/>
      <c r="BE10" s="350"/>
      <c r="BF10" s="343"/>
      <c r="BG10" s="343"/>
      <c r="BH10" s="343"/>
      <c r="BI10" s="344"/>
      <c r="BJ10" s="345"/>
      <c r="BK10" s="343"/>
      <c r="BL10" s="343"/>
      <c r="BM10" s="343"/>
      <c r="BN10" s="346"/>
      <c r="BO10" s="350"/>
      <c r="BP10" s="343"/>
      <c r="BQ10" s="343"/>
      <c r="BR10" s="343"/>
      <c r="BS10" s="344"/>
      <c r="BT10" s="345"/>
      <c r="BU10" s="343"/>
      <c r="BV10" s="343"/>
      <c r="BW10" s="343"/>
      <c r="BX10" s="346"/>
      <c r="BY10" s="350"/>
      <c r="BZ10" s="343"/>
      <c r="CA10" s="343"/>
      <c r="CB10" s="343"/>
      <c r="CC10" s="344"/>
      <c r="CD10" s="345"/>
      <c r="CE10" s="343"/>
      <c r="CF10" s="343"/>
      <c r="CG10" s="343"/>
      <c r="CH10" s="344"/>
      <c r="CI10" s="345"/>
      <c r="CJ10" s="343"/>
      <c r="CK10" s="343"/>
      <c r="CL10" s="343"/>
      <c r="CM10" s="346"/>
      <c r="CN10" s="45"/>
      <c r="CO10" s="45"/>
      <c r="CP10" s="45"/>
      <c r="CQ10" s="45"/>
      <c r="CR10" s="45"/>
      <c r="CS10" s="45"/>
      <c r="CT10" s="45"/>
      <c r="CU10" s="45"/>
      <c r="CV10" s="45"/>
      <c r="CW10" s="45"/>
      <c r="CX10" s="45"/>
      <c r="CY10" s="45"/>
      <c r="CZ10" s="45"/>
      <c r="DA10" s="45"/>
      <c r="DB10" s="45"/>
      <c r="DC10" s="45"/>
      <c r="DD10" s="45"/>
      <c r="DE10" s="45"/>
      <c r="DF10" s="45"/>
      <c r="DG10" s="45"/>
      <c r="DH10" s="45"/>
      <c r="DI10" s="45"/>
      <c r="DJ10" s="45"/>
      <c r="DK10" s="45"/>
      <c r="DL10" s="45"/>
      <c r="DM10" s="45"/>
      <c r="DN10" s="45"/>
    </row>
    <row r="11" spans="1:121" ht="25.5" customHeight="1">
      <c r="A11" s="321">
        <v>4054</v>
      </c>
      <c r="B11" s="322" t="s">
        <v>11</v>
      </c>
      <c r="C11" s="322" t="s">
        <v>44</v>
      </c>
      <c r="D11" s="322" t="s">
        <v>76</v>
      </c>
      <c r="E11" s="323" t="s">
        <v>53</v>
      </c>
      <c r="F11" s="322"/>
      <c r="G11" s="323" t="s">
        <v>676</v>
      </c>
      <c r="H11" s="324" t="s">
        <v>54</v>
      </c>
      <c r="I11" s="325"/>
      <c r="J11" s="323"/>
      <c r="K11" s="326"/>
      <c r="L11" s="327" t="s">
        <v>78</v>
      </c>
      <c r="M11" s="322" t="s">
        <v>77</v>
      </c>
      <c r="N11" s="322"/>
      <c r="O11" s="322" t="s">
        <v>77</v>
      </c>
      <c r="P11" s="328" t="s">
        <v>77</v>
      </c>
      <c r="Q11" s="327"/>
      <c r="R11" s="322"/>
      <c r="S11" s="322"/>
      <c r="T11" s="322"/>
      <c r="U11" s="329" t="s">
        <v>80</v>
      </c>
      <c r="V11" s="321"/>
      <c r="W11" s="323"/>
      <c r="X11" s="323"/>
      <c r="Y11" s="323"/>
      <c r="Z11" s="326"/>
      <c r="AA11" s="330"/>
      <c r="AB11" s="323"/>
      <c r="AC11" s="323"/>
      <c r="AD11" s="323"/>
      <c r="AE11" s="324"/>
      <c r="AF11" s="325"/>
      <c r="AG11" s="323"/>
      <c r="AH11" s="323"/>
      <c r="AI11" s="323"/>
      <c r="AJ11" s="326"/>
      <c r="AK11" s="330"/>
      <c r="AL11" s="323"/>
      <c r="AM11" s="323"/>
      <c r="AN11" s="323"/>
      <c r="AO11" s="324"/>
      <c r="AP11" s="325"/>
      <c r="AQ11" s="323"/>
      <c r="AR11" s="323"/>
      <c r="AS11" s="323"/>
      <c r="AT11" s="326"/>
      <c r="AU11" s="330"/>
      <c r="AV11" s="323"/>
      <c r="AW11" s="323"/>
      <c r="AX11" s="323"/>
      <c r="AY11" s="324"/>
      <c r="AZ11" s="325"/>
      <c r="BA11" s="323"/>
      <c r="BB11" s="323"/>
      <c r="BC11" s="323"/>
      <c r="BD11" s="326"/>
      <c r="BE11" s="330"/>
      <c r="BF11" s="323"/>
      <c r="BG11" s="323"/>
      <c r="BH11" s="323"/>
      <c r="BI11" s="324"/>
      <c r="BJ11" s="325"/>
      <c r="BK11" s="323"/>
      <c r="BL11" s="323"/>
      <c r="BM11" s="323"/>
      <c r="BN11" s="326"/>
      <c r="BO11" s="330"/>
      <c r="BP11" s="323"/>
      <c r="BQ11" s="323"/>
      <c r="BR11" s="323"/>
      <c r="BS11" s="324"/>
      <c r="BT11" s="325"/>
      <c r="BU11" s="323"/>
      <c r="BV11" s="323"/>
      <c r="BW11" s="323"/>
      <c r="BX11" s="326"/>
      <c r="BY11" s="330"/>
      <c r="BZ11" s="323"/>
      <c r="CA11" s="323"/>
      <c r="CB11" s="323"/>
      <c r="CC11" s="324"/>
      <c r="CD11" s="325"/>
      <c r="CE11" s="323"/>
      <c r="CF11" s="323"/>
      <c r="CG11" s="323"/>
      <c r="CH11" s="324"/>
      <c r="CI11" s="325"/>
      <c r="CJ11" s="323"/>
      <c r="CK11" s="323"/>
      <c r="CL11" s="323"/>
      <c r="CM11" s="326"/>
      <c r="CN11" s="46"/>
      <c r="CO11" s="45"/>
      <c r="CP11" s="45"/>
      <c r="CQ11" s="45"/>
      <c r="CR11" s="46"/>
      <c r="CS11" s="45"/>
      <c r="CT11" s="45"/>
      <c r="CU11" s="45"/>
      <c r="CV11" s="45"/>
      <c r="CW11" s="45"/>
      <c r="CX11" s="46"/>
      <c r="CY11" s="45"/>
      <c r="CZ11" s="45"/>
      <c r="DA11" s="46"/>
      <c r="DB11" s="47"/>
      <c r="DC11" s="46"/>
      <c r="DD11" s="46"/>
      <c r="DE11" s="45"/>
      <c r="DF11" s="46"/>
      <c r="DG11" s="46"/>
      <c r="DH11" s="45"/>
      <c r="DI11" s="45"/>
      <c r="DJ11" s="45"/>
      <c r="DK11" s="45"/>
      <c r="DL11" s="45"/>
      <c r="DM11" s="45"/>
      <c r="DN11" s="45"/>
    </row>
    <row r="12" spans="1:121" ht="25.5" customHeight="1">
      <c r="A12" s="321">
        <v>4055</v>
      </c>
      <c r="B12" s="322" t="s">
        <v>11</v>
      </c>
      <c r="C12" s="322" t="s">
        <v>44</v>
      </c>
      <c r="D12" s="322" t="s">
        <v>76</v>
      </c>
      <c r="E12" s="323" t="s">
        <v>53</v>
      </c>
      <c r="F12" s="322"/>
      <c r="G12" s="323" t="s">
        <v>678</v>
      </c>
      <c r="H12" s="324" t="s">
        <v>54</v>
      </c>
      <c r="I12" s="325"/>
      <c r="J12" s="323"/>
      <c r="K12" s="326"/>
      <c r="L12" s="327" t="s">
        <v>78</v>
      </c>
      <c r="M12" s="322" t="s">
        <v>77</v>
      </c>
      <c r="N12" s="322"/>
      <c r="O12" s="322" t="s">
        <v>77</v>
      </c>
      <c r="P12" s="328" t="s">
        <v>77</v>
      </c>
      <c r="Q12" s="327"/>
      <c r="R12" s="322"/>
      <c r="S12" s="322"/>
      <c r="T12" s="322"/>
      <c r="U12" s="329" t="s">
        <v>80</v>
      </c>
      <c r="V12" s="321"/>
      <c r="W12" s="323"/>
      <c r="X12" s="323"/>
      <c r="Y12" s="323"/>
      <c r="Z12" s="326"/>
      <c r="AA12" s="330"/>
      <c r="AB12" s="323"/>
      <c r="AC12" s="323"/>
      <c r="AD12" s="323"/>
      <c r="AE12" s="324"/>
      <c r="AF12" s="325"/>
      <c r="AG12" s="323"/>
      <c r="AH12" s="323"/>
      <c r="AI12" s="323"/>
      <c r="AJ12" s="326"/>
      <c r="AK12" s="330"/>
      <c r="AL12" s="323"/>
      <c r="AM12" s="323"/>
      <c r="AN12" s="323"/>
      <c r="AO12" s="324"/>
      <c r="AP12" s="325"/>
      <c r="AQ12" s="323"/>
      <c r="AR12" s="323"/>
      <c r="AS12" s="323"/>
      <c r="AT12" s="326"/>
      <c r="AU12" s="330"/>
      <c r="AV12" s="323"/>
      <c r="AW12" s="323"/>
      <c r="AX12" s="323"/>
      <c r="AY12" s="324"/>
      <c r="AZ12" s="325"/>
      <c r="BA12" s="323"/>
      <c r="BB12" s="323"/>
      <c r="BC12" s="323"/>
      <c r="BD12" s="326"/>
      <c r="BE12" s="330"/>
      <c r="BF12" s="323"/>
      <c r="BG12" s="323"/>
      <c r="BH12" s="323"/>
      <c r="BI12" s="324"/>
      <c r="BJ12" s="325"/>
      <c r="BK12" s="323"/>
      <c r="BL12" s="323"/>
      <c r="BM12" s="323"/>
      <c r="BN12" s="326"/>
      <c r="BO12" s="330"/>
      <c r="BP12" s="323"/>
      <c r="BQ12" s="323"/>
      <c r="BR12" s="323"/>
      <c r="BS12" s="324"/>
      <c r="BT12" s="325"/>
      <c r="BU12" s="323"/>
      <c r="BV12" s="323"/>
      <c r="BW12" s="323"/>
      <c r="BX12" s="326"/>
      <c r="BY12" s="330"/>
      <c r="BZ12" s="323"/>
      <c r="CA12" s="323"/>
      <c r="CB12" s="323"/>
      <c r="CC12" s="324"/>
      <c r="CD12" s="325"/>
      <c r="CE12" s="323"/>
      <c r="CF12" s="323"/>
      <c r="CG12" s="323"/>
      <c r="CH12" s="324"/>
      <c r="CI12" s="325"/>
      <c r="CJ12" s="323"/>
      <c r="CK12" s="323"/>
      <c r="CL12" s="323"/>
      <c r="CM12" s="326"/>
      <c r="CN12" s="45"/>
      <c r="CO12" s="45"/>
      <c r="CP12" s="45"/>
      <c r="CQ12" s="45"/>
      <c r="CR12" s="45"/>
      <c r="CS12" s="45"/>
      <c r="CT12" s="45"/>
      <c r="CU12" s="45"/>
      <c r="CV12" s="45"/>
      <c r="CW12" s="45"/>
      <c r="CX12" s="46"/>
      <c r="CY12" s="45"/>
      <c r="CZ12" s="45"/>
      <c r="DA12" s="46"/>
      <c r="DB12" s="45"/>
      <c r="DC12" s="46"/>
      <c r="DD12" s="46"/>
      <c r="DE12" s="45"/>
      <c r="DF12" s="46"/>
      <c r="DG12" s="46"/>
      <c r="DH12" s="45"/>
      <c r="DI12" s="45"/>
      <c r="DJ12" s="45"/>
      <c r="DK12" s="45"/>
      <c r="DL12" s="45"/>
      <c r="DM12" s="45"/>
      <c r="DN12" s="45"/>
    </row>
    <row r="13" spans="1:121" ht="25.5" hidden="1" customHeight="1">
      <c r="A13" s="321">
        <v>4056</v>
      </c>
      <c r="B13" s="322" t="s">
        <v>11</v>
      </c>
      <c r="C13" s="322" t="s">
        <v>44</v>
      </c>
      <c r="D13" s="322" t="s">
        <v>76</v>
      </c>
      <c r="E13" s="323" t="s">
        <v>53</v>
      </c>
      <c r="F13" s="322"/>
      <c r="G13" s="323" t="s">
        <v>680</v>
      </c>
      <c r="H13" s="324" t="s">
        <v>54</v>
      </c>
      <c r="I13" s="325"/>
      <c r="J13" s="323"/>
      <c r="K13" s="326"/>
      <c r="L13" s="327" t="s">
        <v>78</v>
      </c>
      <c r="M13" s="322" t="s">
        <v>77</v>
      </c>
      <c r="N13" s="322"/>
      <c r="O13" s="322" t="s">
        <v>77</v>
      </c>
      <c r="P13" s="328" t="s">
        <v>77</v>
      </c>
      <c r="Q13" s="327"/>
      <c r="R13" s="322"/>
      <c r="S13" s="322"/>
      <c r="T13" s="322"/>
      <c r="U13" s="329" t="s">
        <v>80</v>
      </c>
      <c r="V13" s="321"/>
      <c r="W13" s="323"/>
      <c r="X13" s="323"/>
      <c r="Y13" s="323"/>
      <c r="Z13" s="326"/>
      <c r="AA13" s="330"/>
      <c r="AB13" s="323"/>
      <c r="AC13" s="323"/>
      <c r="AD13" s="323"/>
      <c r="AE13" s="324"/>
      <c r="AF13" s="325"/>
      <c r="AG13" s="323"/>
      <c r="AH13" s="323"/>
      <c r="AI13" s="323"/>
      <c r="AJ13" s="326"/>
      <c r="AK13" s="330"/>
      <c r="AL13" s="323"/>
      <c r="AM13" s="323"/>
      <c r="AN13" s="323"/>
      <c r="AO13" s="324"/>
      <c r="AP13" s="325"/>
      <c r="AQ13" s="323"/>
      <c r="AR13" s="323"/>
      <c r="AS13" s="323"/>
      <c r="AT13" s="326"/>
      <c r="AU13" s="330"/>
      <c r="AV13" s="323"/>
      <c r="AW13" s="323"/>
      <c r="AX13" s="323"/>
      <c r="AY13" s="324"/>
      <c r="AZ13" s="325"/>
      <c r="BA13" s="323"/>
      <c r="BB13" s="323"/>
      <c r="BC13" s="323"/>
      <c r="BD13" s="326"/>
      <c r="BE13" s="330"/>
      <c r="BF13" s="323"/>
      <c r="BG13" s="323"/>
      <c r="BH13" s="323"/>
      <c r="BI13" s="324"/>
      <c r="BJ13" s="325"/>
      <c r="BK13" s="323"/>
      <c r="BL13" s="323"/>
      <c r="BM13" s="323"/>
      <c r="BN13" s="326"/>
      <c r="BO13" s="330"/>
      <c r="BP13" s="323"/>
      <c r="BQ13" s="323"/>
      <c r="BR13" s="323"/>
      <c r="BS13" s="324"/>
      <c r="BT13" s="325"/>
      <c r="BU13" s="323"/>
      <c r="BV13" s="323"/>
      <c r="BW13" s="323"/>
      <c r="BX13" s="326"/>
      <c r="BY13" s="330"/>
      <c r="BZ13" s="323"/>
      <c r="CA13" s="323"/>
      <c r="CB13" s="323"/>
      <c r="CC13" s="324"/>
      <c r="CD13" s="325"/>
      <c r="CE13" s="323"/>
      <c r="CF13" s="323"/>
      <c r="CG13" s="323"/>
      <c r="CH13" s="324"/>
      <c r="CI13" s="325"/>
      <c r="CJ13" s="323"/>
      <c r="CK13" s="323"/>
      <c r="CL13" s="323"/>
      <c r="CM13" s="326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  <c r="DA13" s="45"/>
      <c r="DB13" s="45"/>
      <c r="DC13" s="45"/>
      <c r="DD13" s="45"/>
      <c r="DE13" s="45"/>
      <c r="DF13" s="45"/>
      <c r="DG13" s="46"/>
      <c r="DH13" s="45"/>
      <c r="DI13" s="45"/>
      <c r="DJ13" s="45"/>
      <c r="DK13" s="45"/>
      <c r="DL13" s="45"/>
      <c r="DM13" s="45"/>
      <c r="DN13" s="45"/>
    </row>
    <row r="14" spans="1:121" ht="25.5" hidden="1" customHeight="1" thickBot="1">
      <c r="A14" s="331">
        <v>4057</v>
      </c>
      <c r="B14" s="332" t="s">
        <v>11</v>
      </c>
      <c r="C14" s="332" t="s">
        <v>44</v>
      </c>
      <c r="D14" s="332" t="s">
        <v>76</v>
      </c>
      <c r="E14" s="333" t="s">
        <v>53</v>
      </c>
      <c r="F14" s="332"/>
      <c r="G14" s="333" t="s">
        <v>682</v>
      </c>
      <c r="H14" s="334" t="s">
        <v>54</v>
      </c>
      <c r="I14" s="335"/>
      <c r="J14" s="333"/>
      <c r="K14" s="336"/>
      <c r="L14" s="337" t="s">
        <v>78</v>
      </c>
      <c r="M14" s="332" t="s">
        <v>77</v>
      </c>
      <c r="N14" s="332"/>
      <c r="O14" s="332" t="s">
        <v>77</v>
      </c>
      <c r="P14" s="338" t="s">
        <v>77</v>
      </c>
      <c r="Q14" s="337"/>
      <c r="R14" s="332"/>
      <c r="S14" s="332"/>
      <c r="T14" s="332"/>
      <c r="U14" s="339" t="s">
        <v>80</v>
      </c>
      <c r="V14" s="331"/>
      <c r="W14" s="333"/>
      <c r="X14" s="333"/>
      <c r="Y14" s="333"/>
      <c r="Z14" s="336"/>
      <c r="AA14" s="340"/>
      <c r="AB14" s="333"/>
      <c r="AC14" s="333"/>
      <c r="AD14" s="333"/>
      <c r="AE14" s="334"/>
      <c r="AF14" s="335"/>
      <c r="AG14" s="333"/>
      <c r="AH14" s="333"/>
      <c r="AI14" s="333"/>
      <c r="AJ14" s="336"/>
      <c r="AK14" s="340"/>
      <c r="AL14" s="333"/>
      <c r="AM14" s="333"/>
      <c r="AN14" s="333"/>
      <c r="AO14" s="334"/>
      <c r="AP14" s="335"/>
      <c r="AQ14" s="333"/>
      <c r="AR14" s="333"/>
      <c r="AS14" s="333"/>
      <c r="AT14" s="336"/>
      <c r="AU14" s="340"/>
      <c r="AV14" s="333"/>
      <c r="AW14" s="333"/>
      <c r="AX14" s="333"/>
      <c r="AY14" s="334"/>
      <c r="AZ14" s="335"/>
      <c r="BA14" s="333"/>
      <c r="BB14" s="333"/>
      <c r="BC14" s="333"/>
      <c r="BD14" s="336"/>
      <c r="BE14" s="340"/>
      <c r="BF14" s="333"/>
      <c r="BG14" s="333"/>
      <c r="BH14" s="333"/>
      <c r="BI14" s="334"/>
      <c r="BJ14" s="335"/>
      <c r="BK14" s="333"/>
      <c r="BL14" s="333"/>
      <c r="BM14" s="333"/>
      <c r="BN14" s="336"/>
      <c r="BO14" s="340"/>
      <c r="BP14" s="333"/>
      <c r="BQ14" s="333"/>
      <c r="BR14" s="333"/>
      <c r="BS14" s="334"/>
      <c r="BT14" s="335"/>
      <c r="BU14" s="333"/>
      <c r="BV14" s="333"/>
      <c r="BW14" s="333"/>
      <c r="BX14" s="336"/>
      <c r="BY14" s="340"/>
      <c r="BZ14" s="333"/>
      <c r="CA14" s="333"/>
      <c r="CB14" s="333"/>
      <c r="CC14" s="334"/>
      <c r="CD14" s="335"/>
      <c r="CE14" s="333"/>
      <c r="CF14" s="333"/>
      <c r="CG14" s="333"/>
      <c r="CH14" s="334"/>
      <c r="CI14" s="335"/>
      <c r="CJ14" s="333"/>
      <c r="CK14" s="333"/>
      <c r="CL14" s="333"/>
      <c r="CM14" s="336"/>
      <c r="CN14" s="45"/>
      <c r="CO14" s="45"/>
      <c r="CP14" s="45"/>
      <c r="CQ14" s="45"/>
      <c r="CR14" s="45"/>
      <c r="CS14" s="45"/>
      <c r="CT14" s="45"/>
      <c r="CU14" s="45"/>
      <c r="CV14" s="45"/>
      <c r="CW14" s="45"/>
      <c r="CX14" s="45"/>
      <c r="CY14" s="45"/>
      <c r="CZ14" s="45"/>
      <c r="DA14" s="45"/>
      <c r="DB14" s="45"/>
      <c r="DC14" s="45"/>
      <c r="DD14" s="45"/>
      <c r="DE14" s="45"/>
      <c r="DF14" s="45"/>
      <c r="DG14" s="46"/>
      <c r="DH14" s="45"/>
      <c r="DI14" s="45"/>
      <c r="DJ14" s="45"/>
      <c r="DK14" s="45"/>
      <c r="DL14" s="45"/>
      <c r="DM14" s="45"/>
      <c r="DN14" s="45"/>
    </row>
    <row r="15" spans="1:121" ht="25.5" customHeight="1">
      <c r="A15" s="341">
        <v>4058</v>
      </c>
      <c r="B15" s="342" t="s">
        <v>11</v>
      </c>
      <c r="C15" s="342" t="s">
        <v>44</v>
      </c>
      <c r="D15" s="342" t="s">
        <v>76</v>
      </c>
      <c r="E15" s="343" t="s">
        <v>53</v>
      </c>
      <c r="F15" s="342"/>
      <c r="G15" s="343" t="s">
        <v>684</v>
      </c>
      <c r="H15" s="344" t="s">
        <v>54</v>
      </c>
      <c r="I15" s="345"/>
      <c r="J15" s="343"/>
      <c r="K15" s="346"/>
      <c r="L15" s="347" t="s">
        <v>78</v>
      </c>
      <c r="M15" s="342" t="s">
        <v>77</v>
      </c>
      <c r="N15" s="342"/>
      <c r="O15" s="342" t="s">
        <v>77</v>
      </c>
      <c r="P15" s="348" t="s">
        <v>77</v>
      </c>
      <c r="Q15" s="347"/>
      <c r="R15" s="342"/>
      <c r="S15" s="342"/>
      <c r="T15" s="342"/>
      <c r="U15" s="349" t="s">
        <v>80</v>
      </c>
      <c r="V15" s="341"/>
      <c r="W15" s="343"/>
      <c r="X15" s="343"/>
      <c r="Y15" s="343"/>
      <c r="Z15" s="346"/>
      <c r="AA15" s="350"/>
      <c r="AB15" s="343"/>
      <c r="AC15" s="343"/>
      <c r="AD15" s="343"/>
      <c r="AE15" s="344"/>
      <c r="AF15" s="345"/>
      <c r="AG15" s="343"/>
      <c r="AH15" s="343"/>
      <c r="AI15" s="343"/>
      <c r="AJ15" s="346"/>
      <c r="AK15" s="350"/>
      <c r="AL15" s="343"/>
      <c r="AM15" s="343"/>
      <c r="AN15" s="343"/>
      <c r="AO15" s="344"/>
      <c r="AP15" s="345"/>
      <c r="AQ15" s="343"/>
      <c r="AR15" s="343"/>
      <c r="AS15" s="343"/>
      <c r="AT15" s="346"/>
      <c r="AU15" s="350"/>
      <c r="AV15" s="343"/>
      <c r="AW15" s="343"/>
      <c r="AX15" s="343"/>
      <c r="AY15" s="344"/>
      <c r="AZ15" s="345"/>
      <c r="BA15" s="343"/>
      <c r="BB15" s="343"/>
      <c r="BC15" s="343"/>
      <c r="BD15" s="346"/>
      <c r="BE15" s="350"/>
      <c r="BF15" s="343"/>
      <c r="BG15" s="343"/>
      <c r="BH15" s="343"/>
      <c r="BI15" s="344"/>
      <c r="BJ15" s="345"/>
      <c r="BK15" s="343"/>
      <c r="BL15" s="343"/>
      <c r="BM15" s="343"/>
      <c r="BN15" s="346"/>
      <c r="BO15" s="350"/>
      <c r="BP15" s="343"/>
      <c r="BQ15" s="343"/>
      <c r="BR15" s="343"/>
      <c r="BS15" s="344"/>
      <c r="BT15" s="345"/>
      <c r="BU15" s="343"/>
      <c r="BV15" s="343"/>
      <c r="BW15" s="343"/>
      <c r="BX15" s="346"/>
      <c r="BY15" s="350"/>
      <c r="BZ15" s="343"/>
      <c r="CA15" s="343"/>
      <c r="CB15" s="343"/>
      <c r="CC15" s="344"/>
      <c r="CD15" s="345"/>
      <c r="CE15" s="343"/>
      <c r="CF15" s="343"/>
      <c r="CG15" s="343"/>
      <c r="CH15" s="344"/>
      <c r="CI15" s="345"/>
      <c r="CJ15" s="343"/>
      <c r="CK15" s="343"/>
      <c r="CL15" s="343"/>
      <c r="CM15" s="346"/>
      <c r="CN15" s="45"/>
      <c r="CO15" s="45"/>
      <c r="CP15" s="46"/>
      <c r="CQ15" s="45"/>
      <c r="CR15" s="45"/>
      <c r="CS15" s="45"/>
      <c r="CT15" s="45"/>
      <c r="CU15" s="45"/>
      <c r="CV15" s="45"/>
      <c r="CW15" s="45"/>
      <c r="CX15" s="46"/>
      <c r="CY15" s="45"/>
      <c r="CZ15" s="45"/>
      <c r="DA15" s="46"/>
      <c r="DB15" s="45"/>
      <c r="DC15" s="46"/>
      <c r="DD15" s="46"/>
      <c r="DE15" s="45"/>
      <c r="DF15" s="46"/>
      <c r="DG15" s="46"/>
      <c r="DH15" s="45"/>
      <c r="DI15" s="46"/>
      <c r="DJ15" s="46"/>
      <c r="DK15" s="45"/>
      <c r="DL15" s="46"/>
      <c r="DM15" s="45"/>
      <c r="DN15" s="45"/>
    </row>
    <row r="16" spans="1:121" ht="25.5" customHeight="1">
      <c r="A16" s="321">
        <v>4059</v>
      </c>
      <c r="B16" s="322" t="s">
        <v>11</v>
      </c>
      <c r="C16" s="322" t="s">
        <v>44</v>
      </c>
      <c r="D16" s="322" t="s">
        <v>76</v>
      </c>
      <c r="E16" s="323" t="s">
        <v>53</v>
      </c>
      <c r="F16" s="322"/>
      <c r="G16" s="323" t="s">
        <v>686</v>
      </c>
      <c r="H16" s="324" t="s">
        <v>54</v>
      </c>
      <c r="I16" s="325"/>
      <c r="J16" s="323"/>
      <c r="K16" s="326"/>
      <c r="L16" s="327" t="s">
        <v>78</v>
      </c>
      <c r="M16" s="322" t="s">
        <v>77</v>
      </c>
      <c r="N16" s="322"/>
      <c r="O16" s="322" t="s">
        <v>77</v>
      </c>
      <c r="P16" s="328" t="s">
        <v>77</v>
      </c>
      <c r="Q16" s="327"/>
      <c r="R16" s="322"/>
      <c r="S16" s="322"/>
      <c r="T16" s="322"/>
      <c r="U16" s="329" t="s">
        <v>80</v>
      </c>
      <c r="V16" s="321"/>
      <c r="W16" s="323"/>
      <c r="X16" s="323"/>
      <c r="Y16" s="323"/>
      <c r="Z16" s="326"/>
      <c r="AA16" s="330"/>
      <c r="AB16" s="323"/>
      <c r="AC16" s="323"/>
      <c r="AD16" s="323"/>
      <c r="AE16" s="324"/>
      <c r="AF16" s="325"/>
      <c r="AG16" s="323"/>
      <c r="AH16" s="323"/>
      <c r="AI16" s="323"/>
      <c r="AJ16" s="326"/>
      <c r="AK16" s="330"/>
      <c r="AL16" s="323"/>
      <c r="AM16" s="323"/>
      <c r="AN16" s="323"/>
      <c r="AO16" s="324"/>
      <c r="AP16" s="325"/>
      <c r="AQ16" s="323"/>
      <c r="AR16" s="323"/>
      <c r="AS16" s="323"/>
      <c r="AT16" s="326"/>
      <c r="AU16" s="330"/>
      <c r="AV16" s="323"/>
      <c r="AW16" s="323"/>
      <c r="AX16" s="323"/>
      <c r="AY16" s="324"/>
      <c r="AZ16" s="325"/>
      <c r="BA16" s="323"/>
      <c r="BB16" s="323"/>
      <c r="BC16" s="323"/>
      <c r="BD16" s="326"/>
      <c r="BE16" s="330"/>
      <c r="BF16" s="323"/>
      <c r="BG16" s="323"/>
      <c r="BH16" s="323"/>
      <c r="BI16" s="324"/>
      <c r="BJ16" s="325"/>
      <c r="BK16" s="323"/>
      <c r="BL16" s="323"/>
      <c r="BM16" s="323"/>
      <c r="BN16" s="326"/>
      <c r="BO16" s="330"/>
      <c r="BP16" s="323"/>
      <c r="BQ16" s="323"/>
      <c r="BR16" s="323"/>
      <c r="BS16" s="324"/>
      <c r="BT16" s="325"/>
      <c r="BU16" s="323"/>
      <c r="BV16" s="323"/>
      <c r="BW16" s="323"/>
      <c r="BX16" s="326"/>
      <c r="BY16" s="330"/>
      <c r="BZ16" s="323"/>
      <c r="CA16" s="323"/>
      <c r="CB16" s="323"/>
      <c r="CC16" s="324"/>
      <c r="CD16" s="325"/>
      <c r="CE16" s="323"/>
      <c r="CF16" s="323"/>
      <c r="CG16" s="323"/>
      <c r="CH16" s="324"/>
      <c r="CI16" s="325"/>
      <c r="CJ16" s="323"/>
      <c r="CK16" s="323"/>
      <c r="CL16" s="323"/>
      <c r="CM16" s="326"/>
      <c r="CN16" s="45"/>
      <c r="CO16" s="45"/>
      <c r="CP16" s="45"/>
      <c r="CQ16" s="45"/>
      <c r="CR16" s="45"/>
      <c r="CS16" s="45"/>
      <c r="CT16" s="45"/>
      <c r="CU16" s="45"/>
      <c r="CV16" s="45"/>
      <c r="CW16" s="45"/>
      <c r="CX16" s="45"/>
      <c r="CY16" s="45"/>
      <c r="CZ16" s="45"/>
      <c r="DA16" s="45"/>
      <c r="DB16" s="45"/>
      <c r="DC16" s="45"/>
      <c r="DD16" s="45"/>
      <c r="DE16" s="45"/>
      <c r="DF16" s="45"/>
      <c r="DG16" s="45"/>
      <c r="DH16" s="45"/>
      <c r="DI16" s="45"/>
      <c r="DJ16" s="45"/>
      <c r="DK16" s="45"/>
      <c r="DL16" s="45"/>
      <c r="DM16" s="45"/>
      <c r="DN16" s="45"/>
    </row>
    <row r="17" spans="1:118" ht="25.5" customHeight="1">
      <c r="A17" s="321">
        <v>4060</v>
      </c>
      <c r="B17" s="322" t="s">
        <v>11</v>
      </c>
      <c r="C17" s="322" t="s">
        <v>44</v>
      </c>
      <c r="D17" s="322" t="s">
        <v>76</v>
      </c>
      <c r="E17" s="323" t="s">
        <v>53</v>
      </c>
      <c r="F17" s="322"/>
      <c r="G17" s="323" t="s">
        <v>688</v>
      </c>
      <c r="H17" s="324" t="s">
        <v>54</v>
      </c>
      <c r="I17" s="325"/>
      <c r="J17" s="323"/>
      <c r="K17" s="326"/>
      <c r="L17" s="327" t="s">
        <v>78</v>
      </c>
      <c r="M17" s="322" t="s">
        <v>77</v>
      </c>
      <c r="N17" s="322"/>
      <c r="O17" s="322" t="s">
        <v>77</v>
      </c>
      <c r="P17" s="328" t="s">
        <v>77</v>
      </c>
      <c r="Q17" s="327"/>
      <c r="R17" s="322"/>
      <c r="S17" s="322"/>
      <c r="T17" s="322"/>
      <c r="U17" s="329" t="s">
        <v>80</v>
      </c>
      <c r="V17" s="321"/>
      <c r="W17" s="323"/>
      <c r="X17" s="323"/>
      <c r="Y17" s="323"/>
      <c r="Z17" s="326"/>
      <c r="AA17" s="330"/>
      <c r="AB17" s="323"/>
      <c r="AC17" s="323"/>
      <c r="AD17" s="323"/>
      <c r="AE17" s="324"/>
      <c r="AF17" s="325"/>
      <c r="AG17" s="323"/>
      <c r="AH17" s="323"/>
      <c r="AI17" s="323"/>
      <c r="AJ17" s="326"/>
      <c r="AK17" s="330"/>
      <c r="AL17" s="323"/>
      <c r="AM17" s="323"/>
      <c r="AN17" s="323"/>
      <c r="AO17" s="324"/>
      <c r="AP17" s="325"/>
      <c r="AQ17" s="323"/>
      <c r="AR17" s="323"/>
      <c r="AS17" s="323"/>
      <c r="AT17" s="326"/>
      <c r="AU17" s="330"/>
      <c r="AV17" s="323"/>
      <c r="AW17" s="323"/>
      <c r="AX17" s="323"/>
      <c r="AY17" s="324"/>
      <c r="AZ17" s="325"/>
      <c r="BA17" s="323"/>
      <c r="BB17" s="323"/>
      <c r="BC17" s="323"/>
      <c r="BD17" s="326"/>
      <c r="BE17" s="330"/>
      <c r="BF17" s="323"/>
      <c r="BG17" s="323"/>
      <c r="BH17" s="323"/>
      <c r="BI17" s="324"/>
      <c r="BJ17" s="325"/>
      <c r="BK17" s="323"/>
      <c r="BL17" s="323"/>
      <c r="BM17" s="323"/>
      <c r="BN17" s="326"/>
      <c r="BO17" s="330"/>
      <c r="BP17" s="323"/>
      <c r="BQ17" s="323"/>
      <c r="BR17" s="323"/>
      <c r="BS17" s="324"/>
      <c r="BT17" s="325"/>
      <c r="BU17" s="323"/>
      <c r="BV17" s="323"/>
      <c r="BW17" s="323"/>
      <c r="BX17" s="326"/>
      <c r="BY17" s="330"/>
      <c r="BZ17" s="323"/>
      <c r="CA17" s="323"/>
      <c r="CB17" s="323"/>
      <c r="CC17" s="324"/>
      <c r="CD17" s="325"/>
      <c r="CE17" s="323"/>
      <c r="CF17" s="323"/>
      <c r="CG17" s="323"/>
      <c r="CH17" s="324"/>
      <c r="CI17" s="325"/>
      <c r="CJ17" s="323"/>
      <c r="CK17" s="323"/>
      <c r="CL17" s="323"/>
      <c r="CM17" s="326"/>
      <c r="CN17" s="45"/>
      <c r="CO17" s="45"/>
      <c r="CP17" s="45"/>
      <c r="CQ17" s="45"/>
      <c r="CR17" s="45"/>
      <c r="CS17" s="45"/>
      <c r="CT17" s="45"/>
      <c r="CU17" s="45"/>
      <c r="CV17" s="45"/>
      <c r="CW17" s="45"/>
      <c r="CX17" s="45"/>
      <c r="CY17" s="45"/>
      <c r="CZ17" s="45"/>
      <c r="DA17" s="45"/>
      <c r="DB17" s="45"/>
      <c r="DC17" s="45"/>
      <c r="DD17" s="45"/>
      <c r="DE17" s="45"/>
      <c r="DF17" s="45"/>
      <c r="DG17" s="45"/>
      <c r="DH17" s="45"/>
      <c r="DI17" s="45"/>
      <c r="DJ17" s="45"/>
      <c r="DK17" s="45"/>
      <c r="DL17" s="45"/>
      <c r="DM17" s="45"/>
      <c r="DN17" s="45"/>
    </row>
    <row r="18" spans="1:118" ht="25.5" customHeight="1">
      <c r="A18" s="321">
        <v>4061</v>
      </c>
      <c r="B18" s="322" t="s">
        <v>11</v>
      </c>
      <c r="C18" s="322" t="s">
        <v>44</v>
      </c>
      <c r="D18" s="322" t="s">
        <v>76</v>
      </c>
      <c r="E18" s="323" t="s">
        <v>53</v>
      </c>
      <c r="F18" s="322"/>
      <c r="G18" s="323" t="s">
        <v>690</v>
      </c>
      <c r="H18" s="324" t="s">
        <v>54</v>
      </c>
      <c r="I18" s="325"/>
      <c r="J18" s="323"/>
      <c r="K18" s="326"/>
      <c r="L18" s="327" t="s">
        <v>78</v>
      </c>
      <c r="M18" s="322" t="s">
        <v>77</v>
      </c>
      <c r="N18" s="322"/>
      <c r="O18" s="322" t="s">
        <v>77</v>
      </c>
      <c r="P18" s="328" t="s">
        <v>77</v>
      </c>
      <c r="Q18" s="327"/>
      <c r="R18" s="322"/>
      <c r="S18" s="322"/>
      <c r="T18" s="322"/>
      <c r="U18" s="329" t="s">
        <v>80</v>
      </c>
      <c r="V18" s="321"/>
      <c r="W18" s="323"/>
      <c r="X18" s="323"/>
      <c r="Y18" s="323"/>
      <c r="Z18" s="326"/>
      <c r="AA18" s="330"/>
      <c r="AB18" s="323"/>
      <c r="AC18" s="323"/>
      <c r="AD18" s="323"/>
      <c r="AE18" s="324"/>
      <c r="AF18" s="325"/>
      <c r="AG18" s="323"/>
      <c r="AH18" s="323"/>
      <c r="AI18" s="323"/>
      <c r="AJ18" s="326"/>
      <c r="AK18" s="330"/>
      <c r="AL18" s="323"/>
      <c r="AM18" s="323"/>
      <c r="AN18" s="323"/>
      <c r="AO18" s="324"/>
      <c r="AP18" s="325"/>
      <c r="AQ18" s="323"/>
      <c r="AR18" s="323"/>
      <c r="AS18" s="323"/>
      <c r="AT18" s="326"/>
      <c r="AU18" s="330"/>
      <c r="AV18" s="323"/>
      <c r="AW18" s="323"/>
      <c r="AX18" s="323"/>
      <c r="AY18" s="324"/>
      <c r="AZ18" s="325"/>
      <c r="BA18" s="323"/>
      <c r="BB18" s="323"/>
      <c r="BC18" s="323"/>
      <c r="BD18" s="326"/>
      <c r="BE18" s="330"/>
      <c r="BF18" s="323"/>
      <c r="BG18" s="323"/>
      <c r="BH18" s="323"/>
      <c r="BI18" s="324"/>
      <c r="BJ18" s="325"/>
      <c r="BK18" s="323"/>
      <c r="BL18" s="323"/>
      <c r="BM18" s="323"/>
      <c r="BN18" s="326"/>
      <c r="BO18" s="330"/>
      <c r="BP18" s="323"/>
      <c r="BQ18" s="323"/>
      <c r="BR18" s="323"/>
      <c r="BS18" s="324"/>
      <c r="BT18" s="325"/>
      <c r="BU18" s="323"/>
      <c r="BV18" s="323"/>
      <c r="BW18" s="323"/>
      <c r="BX18" s="326"/>
      <c r="BY18" s="330"/>
      <c r="BZ18" s="323"/>
      <c r="CA18" s="323"/>
      <c r="CB18" s="323"/>
      <c r="CC18" s="324"/>
      <c r="CD18" s="325"/>
      <c r="CE18" s="323"/>
      <c r="CF18" s="323"/>
      <c r="CG18" s="323"/>
      <c r="CH18" s="324"/>
      <c r="CI18" s="325"/>
      <c r="CJ18" s="323"/>
      <c r="CK18" s="323"/>
      <c r="CL18" s="323"/>
      <c r="CM18" s="326"/>
      <c r="CN18" s="45"/>
      <c r="CO18" s="45"/>
      <c r="CP18" s="45"/>
      <c r="CQ18" s="45"/>
      <c r="CR18" s="45"/>
      <c r="CS18" s="45"/>
      <c r="CT18" s="45"/>
      <c r="CU18" s="45"/>
      <c r="CV18" s="45"/>
      <c r="CW18" s="45"/>
      <c r="CX18" s="45"/>
      <c r="CY18" s="45"/>
      <c r="CZ18" s="45"/>
      <c r="DA18" s="45"/>
      <c r="DB18" s="45"/>
      <c r="DC18" s="45"/>
      <c r="DD18" s="45"/>
      <c r="DE18" s="45"/>
      <c r="DF18" s="45"/>
      <c r="DG18" s="45"/>
      <c r="DH18" s="45"/>
      <c r="DI18" s="45"/>
      <c r="DJ18" s="45"/>
      <c r="DK18" s="45"/>
      <c r="DL18" s="45"/>
      <c r="DM18" s="45"/>
      <c r="DN18" s="45"/>
    </row>
    <row r="19" spans="1:118" ht="25.5" customHeight="1" thickBot="1">
      <c r="A19" s="351">
        <v>4062</v>
      </c>
      <c r="B19" s="352" t="s">
        <v>11</v>
      </c>
      <c r="C19" s="352" t="s">
        <v>44</v>
      </c>
      <c r="D19" s="352" t="s">
        <v>76</v>
      </c>
      <c r="E19" s="353" t="s">
        <v>53</v>
      </c>
      <c r="F19" s="352"/>
      <c r="G19" s="353" t="s">
        <v>692</v>
      </c>
      <c r="H19" s="354" t="s">
        <v>54</v>
      </c>
      <c r="I19" s="355"/>
      <c r="J19" s="353"/>
      <c r="K19" s="356"/>
      <c r="L19" s="357" t="s">
        <v>78</v>
      </c>
      <c r="M19" s="352" t="s">
        <v>77</v>
      </c>
      <c r="N19" s="352"/>
      <c r="O19" s="352" t="s">
        <v>77</v>
      </c>
      <c r="P19" s="358" t="s">
        <v>77</v>
      </c>
      <c r="Q19" s="357"/>
      <c r="R19" s="352"/>
      <c r="S19" s="352"/>
      <c r="T19" s="352"/>
      <c r="U19" s="359" t="s">
        <v>80</v>
      </c>
      <c r="V19" s="351"/>
      <c r="W19" s="353"/>
      <c r="X19" s="353"/>
      <c r="Y19" s="353"/>
      <c r="Z19" s="356"/>
      <c r="AA19" s="360"/>
      <c r="AB19" s="353"/>
      <c r="AC19" s="353"/>
      <c r="AD19" s="353"/>
      <c r="AE19" s="354"/>
      <c r="AF19" s="355"/>
      <c r="AG19" s="353"/>
      <c r="AH19" s="353"/>
      <c r="AI19" s="353"/>
      <c r="AJ19" s="356"/>
      <c r="AK19" s="360"/>
      <c r="AL19" s="353"/>
      <c r="AM19" s="353"/>
      <c r="AN19" s="353"/>
      <c r="AO19" s="354"/>
      <c r="AP19" s="355"/>
      <c r="AQ19" s="353"/>
      <c r="AR19" s="353"/>
      <c r="AS19" s="353"/>
      <c r="AT19" s="356"/>
      <c r="AU19" s="360"/>
      <c r="AV19" s="353"/>
      <c r="AW19" s="353"/>
      <c r="AX19" s="353"/>
      <c r="AY19" s="354"/>
      <c r="AZ19" s="355"/>
      <c r="BA19" s="353"/>
      <c r="BB19" s="353"/>
      <c r="BC19" s="353"/>
      <c r="BD19" s="356"/>
      <c r="BE19" s="360"/>
      <c r="BF19" s="353"/>
      <c r="BG19" s="353"/>
      <c r="BH19" s="353"/>
      <c r="BI19" s="354"/>
      <c r="BJ19" s="355"/>
      <c r="BK19" s="353"/>
      <c r="BL19" s="353"/>
      <c r="BM19" s="353"/>
      <c r="BN19" s="356"/>
      <c r="BO19" s="360"/>
      <c r="BP19" s="353"/>
      <c r="BQ19" s="353"/>
      <c r="BR19" s="353"/>
      <c r="BS19" s="354"/>
      <c r="BT19" s="355"/>
      <c r="BU19" s="353"/>
      <c r="BV19" s="353"/>
      <c r="BW19" s="353"/>
      <c r="BX19" s="356"/>
      <c r="BY19" s="360"/>
      <c r="BZ19" s="353"/>
      <c r="CA19" s="353"/>
      <c r="CB19" s="353"/>
      <c r="CC19" s="354"/>
      <c r="CD19" s="355"/>
      <c r="CE19" s="353"/>
      <c r="CF19" s="353"/>
      <c r="CG19" s="353"/>
      <c r="CH19" s="354"/>
      <c r="CI19" s="355"/>
      <c r="CJ19" s="353"/>
      <c r="CK19" s="353"/>
      <c r="CL19" s="353"/>
      <c r="CM19" s="356"/>
      <c r="CN19" s="45"/>
      <c r="CO19" s="45"/>
      <c r="CP19" s="45"/>
      <c r="CQ19" s="45"/>
      <c r="CR19" s="45"/>
      <c r="CS19" s="45"/>
      <c r="CT19" s="45"/>
      <c r="CU19" s="45"/>
      <c r="CV19" s="45"/>
      <c r="CW19" s="45"/>
      <c r="CX19" s="45"/>
      <c r="CY19" s="45"/>
      <c r="CZ19" s="45"/>
      <c r="DA19" s="45"/>
      <c r="DB19" s="45"/>
      <c r="DC19" s="45"/>
      <c r="DD19" s="45"/>
      <c r="DE19" s="45"/>
      <c r="DF19" s="45"/>
      <c r="DG19" s="45"/>
      <c r="DH19" s="45"/>
      <c r="DI19" s="45"/>
      <c r="DJ19" s="45"/>
      <c r="DK19" s="45"/>
      <c r="DL19" s="45"/>
      <c r="DM19" s="45"/>
      <c r="DN19" s="45"/>
    </row>
    <row r="20" spans="1:118" ht="25.5" customHeight="1">
      <c r="A20" s="361">
        <v>4063</v>
      </c>
      <c r="B20" s="362" t="s">
        <v>11</v>
      </c>
      <c r="C20" s="362" t="s">
        <v>44</v>
      </c>
      <c r="D20" s="362" t="s">
        <v>76</v>
      </c>
      <c r="E20" s="363" t="s">
        <v>53</v>
      </c>
      <c r="F20" s="362"/>
      <c r="G20" s="363" t="s">
        <v>694</v>
      </c>
      <c r="H20" s="364" t="s">
        <v>54</v>
      </c>
      <c r="I20" s="365"/>
      <c r="J20" s="363"/>
      <c r="K20" s="366"/>
      <c r="L20" s="367" t="s">
        <v>78</v>
      </c>
      <c r="M20" s="362" t="s">
        <v>77</v>
      </c>
      <c r="N20" s="362"/>
      <c r="O20" s="362" t="s">
        <v>77</v>
      </c>
      <c r="P20" s="368" t="s">
        <v>77</v>
      </c>
      <c r="Q20" s="367"/>
      <c r="R20" s="362"/>
      <c r="S20" s="362"/>
      <c r="T20" s="362"/>
      <c r="U20" s="369" t="s">
        <v>80</v>
      </c>
      <c r="V20" s="361"/>
      <c r="W20" s="363"/>
      <c r="X20" s="363"/>
      <c r="Y20" s="363"/>
      <c r="Z20" s="366"/>
      <c r="AA20" s="370"/>
      <c r="AB20" s="363"/>
      <c r="AC20" s="363"/>
      <c r="AD20" s="363"/>
      <c r="AE20" s="364"/>
      <c r="AF20" s="365"/>
      <c r="AG20" s="363"/>
      <c r="AH20" s="363"/>
      <c r="AI20" s="363"/>
      <c r="AJ20" s="366"/>
      <c r="AK20" s="370"/>
      <c r="AL20" s="363"/>
      <c r="AM20" s="363"/>
      <c r="AN20" s="363"/>
      <c r="AO20" s="364"/>
      <c r="AP20" s="365"/>
      <c r="AQ20" s="363"/>
      <c r="AR20" s="363"/>
      <c r="AS20" s="363"/>
      <c r="AT20" s="366"/>
      <c r="AU20" s="370"/>
      <c r="AV20" s="363"/>
      <c r="AW20" s="363"/>
      <c r="AX20" s="363"/>
      <c r="AY20" s="364"/>
      <c r="AZ20" s="365"/>
      <c r="BA20" s="363"/>
      <c r="BB20" s="363"/>
      <c r="BC20" s="363"/>
      <c r="BD20" s="366"/>
      <c r="BE20" s="370"/>
      <c r="BF20" s="363"/>
      <c r="BG20" s="363"/>
      <c r="BH20" s="363"/>
      <c r="BI20" s="364"/>
      <c r="BJ20" s="365"/>
      <c r="BK20" s="363"/>
      <c r="BL20" s="363"/>
      <c r="BM20" s="363"/>
      <c r="BN20" s="366"/>
      <c r="BO20" s="370"/>
      <c r="BP20" s="363"/>
      <c r="BQ20" s="363"/>
      <c r="BR20" s="363"/>
      <c r="BS20" s="364"/>
      <c r="BT20" s="365"/>
      <c r="BU20" s="363"/>
      <c r="BV20" s="363"/>
      <c r="BW20" s="363"/>
      <c r="BX20" s="366"/>
      <c r="BY20" s="370"/>
      <c r="BZ20" s="363"/>
      <c r="CA20" s="363"/>
      <c r="CB20" s="363"/>
      <c r="CC20" s="364"/>
      <c r="CD20" s="365"/>
      <c r="CE20" s="363"/>
      <c r="CF20" s="363"/>
      <c r="CG20" s="363"/>
      <c r="CH20" s="364"/>
      <c r="CI20" s="365"/>
      <c r="CJ20" s="363"/>
      <c r="CK20" s="363"/>
      <c r="CL20" s="363"/>
      <c r="CM20" s="366"/>
      <c r="CN20" s="45"/>
      <c r="CO20" s="45"/>
      <c r="CP20" s="45"/>
      <c r="CQ20" s="45"/>
      <c r="CR20" s="45"/>
      <c r="CS20" s="45"/>
      <c r="CT20" s="45"/>
      <c r="CU20" s="45"/>
      <c r="CV20" s="45"/>
      <c r="CW20" s="45"/>
      <c r="CX20" s="46"/>
      <c r="CY20" s="45"/>
      <c r="CZ20" s="45"/>
      <c r="DA20" s="46"/>
      <c r="DB20" s="45"/>
      <c r="DC20" s="45"/>
      <c r="DD20" s="45"/>
      <c r="DE20" s="45"/>
      <c r="DF20" s="46"/>
      <c r="DG20" s="45"/>
      <c r="DH20" s="45"/>
      <c r="DI20" s="45"/>
      <c r="DJ20" s="45"/>
      <c r="DK20" s="45"/>
      <c r="DL20" s="45"/>
      <c r="DM20" s="45"/>
      <c r="DN20" s="45"/>
    </row>
    <row r="21" spans="1:118" ht="25.5" customHeight="1">
      <c r="A21" s="321">
        <v>4064</v>
      </c>
      <c r="B21" s="322" t="s">
        <v>11</v>
      </c>
      <c r="C21" s="322" t="s">
        <v>44</v>
      </c>
      <c r="D21" s="322" t="s">
        <v>76</v>
      </c>
      <c r="E21" s="323" t="s">
        <v>53</v>
      </c>
      <c r="F21" s="322"/>
      <c r="G21" s="323" t="s">
        <v>696</v>
      </c>
      <c r="H21" s="324" t="s">
        <v>54</v>
      </c>
      <c r="I21" s="325"/>
      <c r="J21" s="323"/>
      <c r="K21" s="326"/>
      <c r="L21" s="327" t="s">
        <v>78</v>
      </c>
      <c r="M21" s="322" t="s">
        <v>77</v>
      </c>
      <c r="N21" s="322"/>
      <c r="O21" s="322" t="s">
        <v>77</v>
      </c>
      <c r="P21" s="328" t="s">
        <v>77</v>
      </c>
      <c r="Q21" s="327"/>
      <c r="R21" s="322"/>
      <c r="S21" s="322"/>
      <c r="T21" s="322"/>
      <c r="U21" s="329" t="s">
        <v>80</v>
      </c>
      <c r="V21" s="321"/>
      <c r="W21" s="323"/>
      <c r="X21" s="323"/>
      <c r="Y21" s="323"/>
      <c r="Z21" s="326"/>
      <c r="AA21" s="330"/>
      <c r="AB21" s="323"/>
      <c r="AC21" s="323"/>
      <c r="AD21" s="323"/>
      <c r="AE21" s="324"/>
      <c r="AF21" s="325"/>
      <c r="AG21" s="323"/>
      <c r="AH21" s="323"/>
      <c r="AI21" s="323"/>
      <c r="AJ21" s="326"/>
      <c r="AK21" s="330"/>
      <c r="AL21" s="323"/>
      <c r="AM21" s="323"/>
      <c r="AN21" s="323"/>
      <c r="AO21" s="324"/>
      <c r="AP21" s="325"/>
      <c r="AQ21" s="323"/>
      <c r="AR21" s="323"/>
      <c r="AS21" s="323"/>
      <c r="AT21" s="326"/>
      <c r="AU21" s="330"/>
      <c r="AV21" s="323"/>
      <c r="AW21" s="323"/>
      <c r="AX21" s="323"/>
      <c r="AY21" s="324"/>
      <c r="AZ21" s="325"/>
      <c r="BA21" s="323"/>
      <c r="BB21" s="323"/>
      <c r="BC21" s="323"/>
      <c r="BD21" s="326"/>
      <c r="BE21" s="330"/>
      <c r="BF21" s="323"/>
      <c r="BG21" s="323"/>
      <c r="BH21" s="323"/>
      <c r="BI21" s="324"/>
      <c r="BJ21" s="325"/>
      <c r="BK21" s="323"/>
      <c r="BL21" s="323"/>
      <c r="BM21" s="323"/>
      <c r="BN21" s="326"/>
      <c r="BO21" s="330"/>
      <c r="BP21" s="323"/>
      <c r="BQ21" s="323"/>
      <c r="BR21" s="323"/>
      <c r="BS21" s="324"/>
      <c r="BT21" s="325"/>
      <c r="BU21" s="323"/>
      <c r="BV21" s="323"/>
      <c r="BW21" s="323"/>
      <c r="BX21" s="326"/>
      <c r="BY21" s="330"/>
      <c r="BZ21" s="323"/>
      <c r="CA21" s="323"/>
      <c r="CB21" s="323"/>
      <c r="CC21" s="324"/>
      <c r="CD21" s="325"/>
      <c r="CE21" s="323"/>
      <c r="CF21" s="323"/>
      <c r="CG21" s="323"/>
      <c r="CH21" s="324"/>
      <c r="CI21" s="325"/>
      <c r="CJ21" s="323"/>
      <c r="CK21" s="323"/>
      <c r="CL21" s="323"/>
      <c r="CM21" s="326"/>
    </row>
    <row r="22" spans="1:118" ht="25.5" customHeight="1">
      <c r="A22" s="321">
        <v>4065</v>
      </c>
      <c r="B22" s="322" t="s">
        <v>11</v>
      </c>
      <c r="C22" s="322" t="s">
        <v>44</v>
      </c>
      <c r="D22" s="322" t="s">
        <v>76</v>
      </c>
      <c r="E22" s="323" t="s">
        <v>53</v>
      </c>
      <c r="F22" s="322"/>
      <c r="G22" s="323" t="s">
        <v>698</v>
      </c>
      <c r="H22" s="371" t="s">
        <v>54</v>
      </c>
      <c r="I22" s="325"/>
      <c r="J22" s="323"/>
      <c r="K22" s="326"/>
      <c r="L22" s="327" t="s">
        <v>78</v>
      </c>
      <c r="M22" s="322" t="s">
        <v>77</v>
      </c>
      <c r="N22" s="322"/>
      <c r="O22" s="322" t="s">
        <v>77</v>
      </c>
      <c r="P22" s="328" t="s">
        <v>77</v>
      </c>
      <c r="Q22" s="327"/>
      <c r="R22" s="322"/>
      <c r="S22" s="322"/>
      <c r="T22" s="322"/>
      <c r="U22" s="329" t="s">
        <v>80</v>
      </c>
      <c r="V22" s="321"/>
      <c r="W22" s="372"/>
      <c r="X22" s="372"/>
      <c r="Y22" s="372"/>
      <c r="Z22" s="373"/>
      <c r="AA22" s="374"/>
      <c r="AB22" s="372"/>
      <c r="AC22" s="372"/>
      <c r="AD22" s="372"/>
      <c r="AE22" s="371"/>
      <c r="AF22" s="375"/>
      <c r="AG22" s="372"/>
      <c r="AH22" s="372"/>
      <c r="AI22" s="372"/>
      <c r="AJ22" s="373"/>
      <c r="AK22" s="374"/>
      <c r="AL22" s="372"/>
      <c r="AM22" s="372"/>
      <c r="AN22" s="372"/>
      <c r="AO22" s="371"/>
      <c r="AP22" s="375"/>
      <c r="AQ22" s="372"/>
      <c r="AR22" s="372"/>
      <c r="AS22" s="372"/>
      <c r="AT22" s="373"/>
      <c r="AU22" s="374"/>
      <c r="AV22" s="372"/>
      <c r="AW22" s="372"/>
      <c r="AX22" s="372"/>
      <c r="AY22" s="371"/>
      <c r="AZ22" s="375"/>
      <c r="BA22" s="372"/>
      <c r="BB22" s="372"/>
      <c r="BC22" s="372"/>
      <c r="BD22" s="373"/>
      <c r="BE22" s="374"/>
      <c r="BF22" s="372"/>
      <c r="BG22" s="372"/>
      <c r="BH22" s="372"/>
      <c r="BI22" s="371"/>
      <c r="BJ22" s="375"/>
      <c r="BK22" s="372"/>
      <c r="BL22" s="372"/>
      <c r="BM22" s="372"/>
      <c r="BN22" s="373"/>
      <c r="BO22" s="374"/>
      <c r="BP22" s="372"/>
      <c r="BQ22" s="372"/>
      <c r="BR22" s="372"/>
      <c r="BS22" s="371"/>
      <c r="BT22" s="375"/>
      <c r="BU22" s="372"/>
      <c r="BV22" s="372"/>
      <c r="BW22" s="372"/>
      <c r="BX22" s="373"/>
      <c r="BY22" s="374"/>
      <c r="BZ22" s="372"/>
      <c r="CA22" s="372"/>
      <c r="CB22" s="372"/>
      <c r="CC22" s="371"/>
      <c r="CD22" s="375"/>
      <c r="CE22" s="372"/>
      <c r="CF22" s="372"/>
      <c r="CG22" s="372"/>
      <c r="CH22" s="371"/>
      <c r="CI22" s="375"/>
      <c r="CJ22" s="372"/>
      <c r="CK22" s="372"/>
      <c r="CL22" s="372"/>
      <c r="CM22" s="373"/>
    </row>
    <row r="23" spans="1:118" ht="25.5" customHeight="1">
      <c r="A23" s="321">
        <v>4066</v>
      </c>
      <c r="B23" s="322" t="s">
        <v>11</v>
      </c>
      <c r="C23" s="322" t="s">
        <v>44</v>
      </c>
      <c r="D23" s="322" t="s">
        <v>76</v>
      </c>
      <c r="E23" s="323" t="s">
        <v>53</v>
      </c>
      <c r="F23" s="322"/>
      <c r="G23" s="323" t="s">
        <v>700</v>
      </c>
      <c r="H23" s="371" t="s">
        <v>54</v>
      </c>
      <c r="I23" s="325"/>
      <c r="J23" s="323"/>
      <c r="K23" s="326"/>
      <c r="L23" s="327" t="s">
        <v>78</v>
      </c>
      <c r="M23" s="322" t="s">
        <v>77</v>
      </c>
      <c r="N23" s="322"/>
      <c r="O23" s="322" t="s">
        <v>77</v>
      </c>
      <c r="P23" s="328" t="s">
        <v>77</v>
      </c>
      <c r="Q23" s="327"/>
      <c r="R23" s="322"/>
      <c r="S23" s="322"/>
      <c r="T23" s="322"/>
      <c r="U23" s="329" t="s">
        <v>80</v>
      </c>
      <c r="V23" s="321"/>
      <c r="W23" s="372"/>
      <c r="X23" s="372"/>
      <c r="Y23" s="372"/>
      <c r="Z23" s="373"/>
      <c r="AA23" s="374"/>
      <c r="AB23" s="372"/>
      <c r="AC23" s="372"/>
      <c r="AD23" s="372"/>
      <c r="AE23" s="371"/>
      <c r="AF23" s="375"/>
      <c r="AG23" s="372"/>
      <c r="AH23" s="372"/>
      <c r="AI23" s="372"/>
      <c r="AJ23" s="373"/>
      <c r="AK23" s="374"/>
      <c r="AL23" s="372"/>
      <c r="AM23" s="372"/>
      <c r="AN23" s="372"/>
      <c r="AO23" s="371"/>
      <c r="AP23" s="375"/>
      <c r="AQ23" s="372"/>
      <c r="AR23" s="372"/>
      <c r="AS23" s="372"/>
      <c r="AT23" s="373"/>
      <c r="AU23" s="374"/>
      <c r="AV23" s="372"/>
      <c r="AW23" s="372"/>
      <c r="AX23" s="372"/>
      <c r="AY23" s="371"/>
      <c r="AZ23" s="375"/>
      <c r="BA23" s="372"/>
      <c r="BB23" s="372"/>
      <c r="BC23" s="372"/>
      <c r="BD23" s="373"/>
      <c r="BE23" s="374"/>
      <c r="BF23" s="372"/>
      <c r="BG23" s="372"/>
      <c r="BH23" s="372"/>
      <c r="BI23" s="371"/>
      <c r="BJ23" s="375"/>
      <c r="BK23" s="372"/>
      <c r="BL23" s="372"/>
      <c r="BM23" s="372"/>
      <c r="BN23" s="373"/>
      <c r="BO23" s="374"/>
      <c r="BP23" s="372"/>
      <c r="BQ23" s="372"/>
      <c r="BR23" s="372"/>
      <c r="BS23" s="371"/>
      <c r="BT23" s="375"/>
      <c r="BU23" s="372"/>
      <c r="BV23" s="372"/>
      <c r="BW23" s="372"/>
      <c r="BX23" s="373"/>
      <c r="BY23" s="374"/>
      <c r="BZ23" s="372"/>
      <c r="CA23" s="372"/>
      <c r="CB23" s="372"/>
      <c r="CC23" s="371"/>
      <c r="CD23" s="375"/>
      <c r="CE23" s="372"/>
      <c r="CF23" s="372"/>
      <c r="CG23" s="372"/>
      <c r="CH23" s="371"/>
      <c r="CI23" s="375"/>
      <c r="CJ23" s="372"/>
      <c r="CK23" s="372"/>
      <c r="CL23" s="372"/>
      <c r="CM23" s="373"/>
    </row>
    <row r="24" spans="1:118" ht="25.5" customHeight="1" thickBot="1">
      <c r="A24" s="331">
        <v>4067</v>
      </c>
      <c r="B24" s="332" t="s">
        <v>11</v>
      </c>
      <c r="C24" s="332" t="s">
        <v>44</v>
      </c>
      <c r="D24" s="332" t="s">
        <v>76</v>
      </c>
      <c r="E24" s="333" t="s">
        <v>53</v>
      </c>
      <c r="F24" s="332"/>
      <c r="G24" s="333" t="s">
        <v>702</v>
      </c>
      <c r="H24" s="376" t="s">
        <v>54</v>
      </c>
      <c r="I24" s="335"/>
      <c r="J24" s="333"/>
      <c r="K24" s="336"/>
      <c r="L24" s="337" t="s">
        <v>78</v>
      </c>
      <c r="M24" s="332" t="s">
        <v>77</v>
      </c>
      <c r="N24" s="332"/>
      <c r="O24" s="332" t="s">
        <v>77</v>
      </c>
      <c r="P24" s="338" t="s">
        <v>77</v>
      </c>
      <c r="Q24" s="337"/>
      <c r="R24" s="332"/>
      <c r="S24" s="332"/>
      <c r="T24" s="332"/>
      <c r="U24" s="339" t="s">
        <v>80</v>
      </c>
      <c r="V24" s="331"/>
      <c r="W24" s="377"/>
      <c r="X24" s="377"/>
      <c r="Y24" s="377"/>
      <c r="Z24" s="378"/>
      <c r="AA24" s="379"/>
      <c r="AB24" s="377"/>
      <c r="AC24" s="377"/>
      <c r="AD24" s="377"/>
      <c r="AE24" s="376"/>
      <c r="AF24" s="380"/>
      <c r="AG24" s="377"/>
      <c r="AH24" s="377"/>
      <c r="AI24" s="377"/>
      <c r="AJ24" s="378"/>
      <c r="AK24" s="379"/>
      <c r="AL24" s="377"/>
      <c r="AM24" s="377"/>
      <c r="AN24" s="377"/>
      <c r="AO24" s="376"/>
      <c r="AP24" s="380"/>
      <c r="AQ24" s="377"/>
      <c r="AR24" s="377"/>
      <c r="AS24" s="377"/>
      <c r="AT24" s="378"/>
      <c r="AU24" s="379"/>
      <c r="AV24" s="377"/>
      <c r="AW24" s="377"/>
      <c r="AX24" s="377"/>
      <c r="AY24" s="376"/>
      <c r="AZ24" s="380"/>
      <c r="BA24" s="377"/>
      <c r="BB24" s="377"/>
      <c r="BC24" s="377"/>
      <c r="BD24" s="378"/>
      <c r="BE24" s="379"/>
      <c r="BF24" s="377"/>
      <c r="BG24" s="377"/>
      <c r="BH24" s="377"/>
      <c r="BI24" s="376"/>
      <c r="BJ24" s="380"/>
      <c r="BK24" s="377"/>
      <c r="BL24" s="377"/>
      <c r="BM24" s="377"/>
      <c r="BN24" s="378"/>
      <c r="BO24" s="379"/>
      <c r="BP24" s="377"/>
      <c r="BQ24" s="377"/>
      <c r="BR24" s="377"/>
      <c r="BS24" s="376"/>
      <c r="BT24" s="380"/>
      <c r="BU24" s="377"/>
      <c r="BV24" s="377"/>
      <c r="BW24" s="377"/>
      <c r="BX24" s="378"/>
      <c r="BY24" s="379"/>
      <c r="BZ24" s="377"/>
      <c r="CA24" s="377"/>
      <c r="CB24" s="377"/>
      <c r="CC24" s="376"/>
      <c r="CD24" s="380"/>
      <c r="CE24" s="377"/>
      <c r="CF24" s="377"/>
      <c r="CG24" s="377"/>
      <c r="CH24" s="376"/>
      <c r="CI24" s="380"/>
      <c r="CJ24" s="377"/>
      <c r="CK24" s="377"/>
      <c r="CL24" s="377"/>
      <c r="CM24" s="378"/>
    </row>
    <row r="25" spans="1:118" ht="25.5" customHeight="1">
      <c r="A25" s="341">
        <v>4068</v>
      </c>
      <c r="B25" s="342" t="s">
        <v>11</v>
      </c>
      <c r="C25" s="342" t="s">
        <v>44</v>
      </c>
      <c r="D25" s="342" t="s">
        <v>76</v>
      </c>
      <c r="E25" s="343" t="s">
        <v>53</v>
      </c>
      <c r="F25" s="342"/>
      <c r="G25" s="343" t="s">
        <v>704</v>
      </c>
      <c r="H25" s="344" t="s">
        <v>54</v>
      </c>
      <c r="I25" s="345"/>
      <c r="J25" s="343"/>
      <c r="K25" s="346"/>
      <c r="L25" s="347" t="s">
        <v>78</v>
      </c>
      <c r="M25" s="342" t="s">
        <v>77</v>
      </c>
      <c r="N25" s="342"/>
      <c r="O25" s="342" t="s">
        <v>77</v>
      </c>
      <c r="P25" s="348" t="s">
        <v>77</v>
      </c>
      <c r="Q25" s="347"/>
      <c r="R25" s="342"/>
      <c r="S25" s="342"/>
      <c r="T25" s="342"/>
      <c r="U25" s="349" t="s">
        <v>80</v>
      </c>
      <c r="V25" s="341"/>
      <c r="W25" s="381"/>
      <c r="X25" s="381"/>
      <c r="Y25" s="381"/>
      <c r="Z25" s="382"/>
      <c r="AA25" s="383"/>
      <c r="AB25" s="381"/>
      <c r="AC25" s="381"/>
      <c r="AD25" s="381"/>
      <c r="AE25" s="384"/>
      <c r="AF25" s="385"/>
      <c r="AG25" s="381"/>
      <c r="AH25" s="381"/>
      <c r="AI25" s="381"/>
      <c r="AJ25" s="382"/>
      <c r="AK25" s="383"/>
      <c r="AL25" s="381"/>
      <c r="AM25" s="381"/>
      <c r="AN25" s="381"/>
      <c r="AO25" s="384"/>
      <c r="AP25" s="385"/>
      <c r="AQ25" s="381"/>
      <c r="AR25" s="381"/>
      <c r="AS25" s="381"/>
      <c r="AT25" s="382"/>
      <c r="AU25" s="383"/>
      <c r="AV25" s="381"/>
      <c r="AW25" s="381"/>
      <c r="AX25" s="381"/>
      <c r="AY25" s="384"/>
      <c r="AZ25" s="385"/>
      <c r="BA25" s="381"/>
      <c r="BB25" s="381"/>
      <c r="BC25" s="381"/>
      <c r="BD25" s="382"/>
      <c r="BE25" s="383"/>
      <c r="BF25" s="381"/>
      <c r="BG25" s="381"/>
      <c r="BH25" s="381"/>
      <c r="BI25" s="384"/>
      <c r="BJ25" s="385"/>
      <c r="BK25" s="381"/>
      <c r="BL25" s="381"/>
      <c r="BM25" s="381"/>
      <c r="BN25" s="382"/>
      <c r="BO25" s="383"/>
      <c r="BP25" s="381"/>
      <c r="BQ25" s="381"/>
      <c r="BR25" s="381"/>
      <c r="BS25" s="384"/>
      <c r="BT25" s="385"/>
      <c r="BU25" s="381"/>
      <c r="BV25" s="381"/>
      <c r="BW25" s="381"/>
      <c r="BX25" s="382"/>
      <c r="BY25" s="383"/>
      <c r="BZ25" s="381"/>
      <c r="CA25" s="381"/>
      <c r="CB25" s="381"/>
      <c r="CC25" s="384"/>
      <c r="CD25" s="385"/>
      <c r="CE25" s="381"/>
      <c r="CF25" s="381"/>
      <c r="CG25" s="381"/>
      <c r="CH25" s="384"/>
      <c r="CI25" s="385"/>
      <c r="CJ25" s="381"/>
      <c r="CK25" s="381"/>
      <c r="CL25" s="381"/>
      <c r="CM25" s="382"/>
    </row>
    <row r="26" spans="1:118" ht="25.5" customHeight="1">
      <c r="A26" s="386">
        <v>4069</v>
      </c>
      <c r="B26" s="387" t="s">
        <v>11</v>
      </c>
      <c r="C26" s="387" t="s">
        <v>44</v>
      </c>
      <c r="D26" s="387" t="s">
        <v>76</v>
      </c>
      <c r="E26" s="372" t="s">
        <v>53</v>
      </c>
      <c r="F26" s="387"/>
      <c r="G26" s="372" t="s">
        <v>706</v>
      </c>
      <c r="H26" s="371" t="s">
        <v>54</v>
      </c>
      <c r="I26" s="375"/>
      <c r="J26" s="372"/>
      <c r="K26" s="373"/>
      <c r="L26" s="388" t="s">
        <v>78</v>
      </c>
      <c r="M26" s="387" t="s">
        <v>77</v>
      </c>
      <c r="N26" s="387"/>
      <c r="O26" s="387" t="s">
        <v>77</v>
      </c>
      <c r="P26" s="389" t="s">
        <v>77</v>
      </c>
      <c r="Q26" s="388"/>
      <c r="R26" s="387"/>
      <c r="S26" s="387"/>
      <c r="T26" s="387"/>
      <c r="U26" s="390" t="s">
        <v>80</v>
      </c>
      <c r="V26" s="386"/>
      <c r="W26" s="372"/>
      <c r="X26" s="372"/>
      <c r="Y26" s="372"/>
      <c r="Z26" s="373"/>
      <c r="AA26" s="374"/>
      <c r="AB26" s="372"/>
      <c r="AC26" s="372"/>
      <c r="AD26" s="372"/>
      <c r="AE26" s="371"/>
      <c r="AF26" s="375"/>
      <c r="AG26" s="372"/>
      <c r="AH26" s="372"/>
      <c r="AI26" s="372"/>
      <c r="AJ26" s="373"/>
      <c r="AK26" s="374"/>
      <c r="AL26" s="372"/>
      <c r="AM26" s="372"/>
      <c r="AN26" s="372"/>
      <c r="AO26" s="371"/>
      <c r="AP26" s="375"/>
      <c r="AQ26" s="372"/>
      <c r="AR26" s="372"/>
      <c r="AS26" s="372"/>
      <c r="AT26" s="373"/>
      <c r="AU26" s="374"/>
      <c r="AV26" s="372"/>
      <c r="AW26" s="372"/>
      <c r="AX26" s="372"/>
      <c r="AY26" s="371"/>
      <c r="AZ26" s="375"/>
      <c r="BA26" s="372"/>
      <c r="BB26" s="372"/>
      <c r="BC26" s="372"/>
      <c r="BD26" s="373"/>
      <c r="BE26" s="374"/>
      <c r="BF26" s="372"/>
      <c r="BG26" s="372"/>
      <c r="BH26" s="372"/>
      <c r="BI26" s="371"/>
      <c r="BJ26" s="375"/>
      <c r="BK26" s="372"/>
      <c r="BL26" s="372"/>
      <c r="BM26" s="372"/>
      <c r="BN26" s="373"/>
      <c r="BO26" s="374"/>
      <c r="BP26" s="372"/>
      <c r="BQ26" s="372"/>
      <c r="BR26" s="372"/>
      <c r="BS26" s="371"/>
      <c r="BT26" s="375"/>
      <c r="BU26" s="372"/>
      <c r="BV26" s="372"/>
      <c r="BW26" s="372"/>
      <c r="BX26" s="373"/>
      <c r="BY26" s="374"/>
      <c r="BZ26" s="372"/>
      <c r="CA26" s="372"/>
      <c r="CB26" s="372"/>
      <c r="CC26" s="371"/>
      <c r="CD26" s="375"/>
      <c r="CE26" s="372"/>
      <c r="CF26" s="372"/>
      <c r="CG26" s="372"/>
      <c r="CH26" s="371"/>
      <c r="CI26" s="375"/>
      <c r="CJ26" s="372"/>
      <c r="CK26" s="372"/>
      <c r="CL26" s="372"/>
      <c r="CM26" s="373"/>
    </row>
    <row r="27" spans="1:118" ht="25.5" customHeight="1">
      <c r="A27" s="386">
        <v>4070</v>
      </c>
      <c r="B27" s="387" t="s">
        <v>11</v>
      </c>
      <c r="C27" s="387" t="s">
        <v>44</v>
      </c>
      <c r="D27" s="387" t="s">
        <v>76</v>
      </c>
      <c r="E27" s="372" t="s">
        <v>53</v>
      </c>
      <c r="F27" s="387"/>
      <c r="G27" s="372" t="s">
        <v>708</v>
      </c>
      <c r="H27" s="371" t="s">
        <v>54</v>
      </c>
      <c r="I27" s="375"/>
      <c r="J27" s="372"/>
      <c r="K27" s="373"/>
      <c r="L27" s="388" t="s">
        <v>78</v>
      </c>
      <c r="M27" s="387" t="s">
        <v>77</v>
      </c>
      <c r="N27" s="387"/>
      <c r="O27" s="387" t="s">
        <v>77</v>
      </c>
      <c r="P27" s="389" t="s">
        <v>77</v>
      </c>
      <c r="Q27" s="388"/>
      <c r="R27" s="387"/>
      <c r="S27" s="387"/>
      <c r="T27" s="387"/>
      <c r="U27" s="390" t="s">
        <v>80</v>
      </c>
      <c r="V27" s="386"/>
      <c r="W27" s="372"/>
      <c r="X27" s="372"/>
      <c r="Y27" s="372"/>
      <c r="Z27" s="373"/>
      <c r="AA27" s="374"/>
      <c r="AB27" s="372"/>
      <c r="AC27" s="372"/>
      <c r="AD27" s="372"/>
      <c r="AE27" s="371"/>
      <c r="AF27" s="375"/>
      <c r="AG27" s="372"/>
      <c r="AH27" s="372"/>
      <c r="AI27" s="372"/>
      <c r="AJ27" s="373"/>
      <c r="AK27" s="374"/>
      <c r="AL27" s="372"/>
      <c r="AM27" s="372"/>
      <c r="AN27" s="372"/>
      <c r="AO27" s="371"/>
      <c r="AP27" s="375"/>
      <c r="AQ27" s="372"/>
      <c r="AR27" s="372"/>
      <c r="AS27" s="372"/>
      <c r="AT27" s="373"/>
      <c r="AU27" s="374"/>
      <c r="AV27" s="372"/>
      <c r="AW27" s="372"/>
      <c r="AX27" s="372"/>
      <c r="AY27" s="371"/>
      <c r="AZ27" s="375"/>
      <c r="BA27" s="372"/>
      <c r="BB27" s="372"/>
      <c r="BC27" s="372"/>
      <c r="BD27" s="373"/>
      <c r="BE27" s="374"/>
      <c r="BF27" s="372"/>
      <c r="BG27" s="372"/>
      <c r="BH27" s="372"/>
      <c r="BI27" s="371"/>
      <c r="BJ27" s="375"/>
      <c r="BK27" s="372"/>
      <c r="BL27" s="372"/>
      <c r="BM27" s="372"/>
      <c r="BN27" s="373"/>
      <c r="BO27" s="374"/>
      <c r="BP27" s="372"/>
      <c r="BQ27" s="372"/>
      <c r="BR27" s="372"/>
      <c r="BS27" s="371"/>
      <c r="BT27" s="375"/>
      <c r="BU27" s="372"/>
      <c r="BV27" s="372"/>
      <c r="BW27" s="372"/>
      <c r="BX27" s="373"/>
      <c r="BY27" s="374"/>
      <c r="BZ27" s="372"/>
      <c r="CA27" s="372"/>
      <c r="CB27" s="372"/>
      <c r="CC27" s="371"/>
      <c r="CD27" s="375"/>
      <c r="CE27" s="372"/>
      <c r="CF27" s="372"/>
      <c r="CG27" s="372"/>
      <c r="CH27" s="371"/>
      <c r="CI27" s="375"/>
      <c r="CJ27" s="372"/>
      <c r="CK27" s="372"/>
      <c r="CL27" s="372"/>
      <c r="CM27" s="373"/>
    </row>
    <row r="28" spans="1:118" ht="25.5" customHeight="1">
      <c r="A28" s="386">
        <v>4071</v>
      </c>
      <c r="B28" s="387" t="s">
        <v>11</v>
      </c>
      <c r="C28" s="387" t="s">
        <v>44</v>
      </c>
      <c r="D28" s="387" t="s">
        <v>76</v>
      </c>
      <c r="E28" s="372" t="s">
        <v>53</v>
      </c>
      <c r="F28" s="387"/>
      <c r="G28" s="372" t="s">
        <v>710</v>
      </c>
      <c r="H28" s="371" t="s">
        <v>54</v>
      </c>
      <c r="I28" s="375"/>
      <c r="J28" s="372"/>
      <c r="K28" s="373"/>
      <c r="L28" s="388" t="s">
        <v>78</v>
      </c>
      <c r="M28" s="387" t="s">
        <v>77</v>
      </c>
      <c r="N28" s="387"/>
      <c r="O28" s="387" t="s">
        <v>77</v>
      </c>
      <c r="P28" s="389" t="s">
        <v>77</v>
      </c>
      <c r="Q28" s="388"/>
      <c r="R28" s="387"/>
      <c r="S28" s="387"/>
      <c r="T28" s="387"/>
      <c r="U28" s="390" t="s">
        <v>80</v>
      </c>
      <c r="V28" s="386"/>
      <c r="W28" s="372"/>
      <c r="X28" s="372"/>
      <c r="Y28" s="372"/>
      <c r="Z28" s="373"/>
      <c r="AA28" s="374"/>
      <c r="AB28" s="372"/>
      <c r="AC28" s="372"/>
      <c r="AD28" s="372"/>
      <c r="AE28" s="371"/>
      <c r="AF28" s="375"/>
      <c r="AG28" s="372"/>
      <c r="AH28" s="372"/>
      <c r="AI28" s="372"/>
      <c r="AJ28" s="373"/>
      <c r="AK28" s="374"/>
      <c r="AL28" s="372"/>
      <c r="AM28" s="372"/>
      <c r="AN28" s="372"/>
      <c r="AO28" s="371"/>
      <c r="AP28" s="375"/>
      <c r="AQ28" s="372"/>
      <c r="AR28" s="372"/>
      <c r="AS28" s="372"/>
      <c r="AT28" s="373"/>
      <c r="AU28" s="374"/>
      <c r="AV28" s="372"/>
      <c r="AW28" s="372"/>
      <c r="AX28" s="372"/>
      <c r="AY28" s="371"/>
      <c r="AZ28" s="375"/>
      <c r="BA28" s="372"/>
      <c r="BB28" s="372"/>
      <c r="BC28" s="372"/>
      <c r="BD28" s="373"/>
      <c r="BE28" s="374"/>
      <c r="BF28" s="372"/>
      <c r="BG28" s="372"/>
      <c r="BH28" s="372"/>
      <c r="BI28" s="371"/>
      <c r="BJ28" s="375"/>
      <c r="BK28" s="372"/>
      <c r="BL28" s="372"/>
      <c r="BM28" s="372"/>
      <c r="BN28" s="373"/>
      <c r="BO28" s="374"/>
      <c r="BP28" s="372"/>
      <c r="BQ28" s="372"/>
      <c r="BR28" s="372"/>
      <c r="BS28" s="371"/>
      <c r="BT28" s="375"/>
      <c r="BU28" s="372"/>
      <c r="BV28" s="372"/>
      <c r="BW28" s="372"/>
      <c r="BX28" s="373"/>
      <c r="BY28" s="374"/>
      <c r="BZ28" s="372"/>
      <c r="CA28" s="372"/>
      <c r="CB28" s="372"/>
      <c r="CC28" s="371"/>
      <c r="CD28" s="375"/>
      <c r="CE28" s="372"/>
      <c r="CF28" s="372"/>
      <c r="CG28" s="372"/>
      <c r="CH28" s="371"/>
      <c r="CI28" s="375"/>
      <c r="CJ28" s="372"/>
      <c r="CK28" s="372"/>
      <c r="CL28" s="372"/>
      <c r="CM28" s="373"/>
    </row>
    <row r="29" spans="1:118" ht="25.5" customHeight="1" thickBot="1">
      <c r="A29" s="391">
        <v>4072</v>
      </c>
      <c r="B29" s="392" t="s">
        <v>11</v>
      </c>
      <c r="C29" s="392" t="s">
        <v>44</v>
      </c>
      <c r="D29" s="392" t="s">
        <v>76</v>
      </c>
      <c r="E29" s="393" t="s">
        <v>53</v>
      </c>
      <c r="F29" s="392"/>
      <c r="G29" s="393" t="s">
        <v>712</v>
      </c>
      <c r="H29" s="394" t="s">
        <v>54</v>
      </c>
      <c r="I29" s="395"/>
      <c r="J29" s="393"/>
      <c r="K29" s="396"/>
      <c r="L29" s="397" t="s">
        <v>78</v>
      </c>
      <c r="M29" s="392" t="s">
        <v>77</v>
      </c>
      <c r="N29" s="392"/>
      <c r="O29" s="392" t="s">
        <v>77</v>
      </c>
      <c r="P29" s="398" t="s">
        <v>77</v>
      </c>
      <c r="Q29" s="397"/>
      <c r="R29" s="392"/>
      <c r="S29" s="392"/>
      <c r="T29" s="392"/>
      <c r="U29" s="399" t="s">
        <v>80</v>
      </c>
      <c r="V29" s="391"/>
      <c r="W29" s="393"/>
      <c r="X29" s="393"/>
      <c r="Y29" s="393"/>
      <c r="Z29" s="396"/>
      <c r="AA29" s="400"/>
      <c r="AB29" s="393"/>
      <c r="AC29" s="393"/>
      <c r="AD29" s="393"/>
      <c r="AE29" s="394"/>
      <c r="AF29" s="395"/>
      <c r="AG29" s="393"/>
      <c r="AH29" s="393"/>
      <c r="AI29" s="393"/>
      <c r="AJ29" s="396"/>
      <c r="AK29" s="400"/>
      <c r="AL29" s="393"/>
      <c r="AM29" s="393"/>
      <c r="AN29" s="393"/>
      <c r="AO29" s="394"/>
      <c r="AP29" s="395"/>
      <c r="AQ29" s="393"/>
      <c r="AR29" s="393"/>
      <c r="AS29" s="393"/>
      <c r="AT29" s="396"/>
      <c r="AU29" s="400"/>
      <c r="AV29" s="393"/>
      <c r="AW29" s="393"/>
      <c r="AX29" s="393"/>
      <c r="AY29" s="394"/>
      <c r="AZ29" s="395"/>
      <c r="BA29" s="393"/>
      <c r="BB29" s="393"/>
      <c r="BC29" s="393"/>
      <c r="BD29" s="396"/>
      <c r="BE29" s="400"/>
      <c r="BF29" s="393"/>
      <c r="BG29" s="393"/>
      <c r="BH29" s="393"/>
      <c r="BI29" s="394"/>
      <c r="BJ29" s="395"/>
      <c r="BK29" s="393"/>
      <c r="BL29" s="393"/>
      <c r="BM29" s="393"/>
      <c r="BN29" s="396"/>
      <c r="BO29" s="400"/>
      <c r="BP29" s="393"/>
      <c r="BQ29" s="393"/>
      <c r="BR29" s="393"/>
      <c r="BS29" s="394"/>
      <c r="BT29" s="395"/>
      <c r="BU29" s="393"/>
      <c r="BV29" s="393"/>
      <c r="BW29" s="393"/>
      <c r="BX29" s="396"/>
      <c r="BY29" s="400"/>
      <c r="BZ29" s="393"/>
      <c r="CA29" s="393"/>
      <c r="CB29" s="393"/>
      <c r="CC29" s="394"/>
      <c r="CD29" s="395"/>
      <c r="CE29" s="393"/>
      <c r="CF29" s="393"/>
      <c r="CG29" s="393"/>
      <c r="CH29" s="394"/>
      <c r="CI29" s="395"/>
      <c r="CJ29" s="393"/>
      <c r="CK29" s="393"/>
      <c r="CL29" s="393"/>
      <c r="CM29" s="396"/>
    </row>
    <row r="30" spans="1:118" ht="25.5" customHeight="1">
      <c r="A30" s="401">
        <v>4073</v>
      </c>
      <c r="B30" s="402" t="s">
        <v>11</v>
      </c>
      <c r="C30" s="402" t="s">
        <v>44</v>
      </c>
      <c r="D30" s="402" t="s">
        <v>76</v>
      </c>
      <c r="E30" s="403" t="s">
        <v>53</v>
      </c>
      <c r="F30" s="402"/>
      <c r="G30" s="403" t="s">
        <v>714</v>
      </c>
      <c r="H30" s="404" t="s">
        <v>54</v>
      </c>
      <c r="I30" s="405"/>
      <c r="J30" s="403"/>
      <c r="K30" s="406"/>
      <c r="L30" s="407" t="s">
        <v>78</v>
      </c>
      <c r="M30" s="402" t="s">
        <v>77</v>
      </c>
      <c r="N30" s="402"/>
      <c r="O30" s="402" t="s">
        <v>77</v>
      </c>
      <c r="P30" s="408" t="s">
        <v>77</v>
      </c>
      <c r="Q30" s="407"/>
      <c r="R30" s="402"/>
      <c r="S30" s="402"/>
      <c r="T30" s="402"/>
      <c r="U30" s="409" t="s">
        <v>80</v>
      </c>
      <c r="V30" s="401"/>
      <c r="W30" s="403"/>
      <c r="X30" s="403"/>
      <c r="Y30" s="403"/>
      <c r="Z30" s="406"/>
      <c r="AA30" s="410"/>
      <c r="AB30" s="403"/>
      <c r="AC30" s="403"/>
      <c r="AD30" s="403"/>
      <c r="AE30" s="404"/>
      <c r="AF30" s="405"/>
      <c r="AG30" s="403"/>
      <c r="AH30" s="403"/>
      <c r="AI30" s="403"/>
      <c r="AJ30" s="406"/>
      <c r="AK30" s="410"/>
      <c r="AL30" s="403"/>
      <c r="AM30" s="403"/>
      <c r="AN30" s="403"/>
      <c r="AO30" s="404"/>
      <c r="AP30" s="405"/>
      <c r="AQ30" s="403"/>
      <c r="AR30" s="403"/>
      <c r="AS30" s="403"/>
      <c r="AT30" s="406"/>
      <c r="AU30" s="410"/>
      <c r="AV30" s="403"/>
      <c r="AW30" s="403"/>
      <c r="AX30" s="403"/>
      <c r="AY30" s="404"/>
      <c r="AZ30" s="405"/>
      <c r="BA30" s="403"/>
      <c r="BB30" s="403"/>
      <c r="BC30" s="403"/>
      <c r="BD30" s="406"/>
      <c r="BE30" s="410"/>
      <c r="BF30" s="403"/>
      <c r="BG30" s="403"/>
      <c r="BH30" s="403"/>
      <c r="BI30" s="404"/>
      <c r="BJ30" s="405"/>
      <c r="BK30" s="403"/>
      <c r="BL30" s="403"/>
      <c r="BM30" s="403"/>
      <c r="BN30" s="406"/>
      <c r="BO30" s="410"/>
      <c r="BP30" s="403"/>
      <c r="BQ30" s="403"/>
      <c r="BR30" s="403"/>
      <c r="BS30" s="404"/>
      <c r="BT30" s="405"/>
      <c r="BU30" s="403"/>
      <c r="BV30" s="403"/>
      <c r="BW30" s="403"/>
      <c r="BX30" s="406"/>
      <c r="BY30" s="410"/>
      <c r="BZ30" s="403"/>
      <c r="CA30" s="403"/>
      <c r="CB30" s="403"/>
      <c r="CC30" s="404"/>
      <c r="CD30" s="405"/>
      <c r="CE30" s="403"/>
      <c r="CF30" s="403"/>
      <c r="CG30" s="403"/>
      <c r="CH30" s="404"/>
      <c r="CI30" s="405"/>
      <c r="CJ30" s="403"/>
      <c r="CK30" s="403"/>
      <c r="CL30" s="403"/>
      <c r="CM30" s="406"/>
    </row>
    <row r="31" spans="1:118" ht="25.5" customHeight="1">
      <c r="A31" s="386">
        <v>4074</v>
      </c>
      <c r="B31" s="387" t="s">
        <v>11</v>
      </c>
      <c r="C31" s="387" t="s">
        <v>44</v>
      </c>
      <c r="D31" s="387" t="s">
        <v>76</v>
      </c>
      <c r="E31" s="372" t="s">
        <v>53</v>
      </c>
      <c r="F31" s="387"/>
      <c r="G31" s="372" t="s">
        <v>716</v>
      </c>
      <c r="H31" s="371" t="s">
        <v>54</v>
      </c>
      <c r="I31" s="375"/>
      <c r="J31" s="372"/>
      <c r="K31" s="373"/>
      <c r="L31" s="388" t="s">
        <v>78</v>
      </c>
      <c r="M31" s="387" t="s">
        <v>77</v>
      </c>
      <c r="N31" s="387"/>
      <c r="O31" s="387" t="s">
        <v>77</v>
      </c>
      <c r="P31" s="389" t="s">
        <v>77</v>
      </c>
      <c r="Q31" s="388"/>
      <c r="R31" s="387"/>
      <c r="S31" s="387"/>
      <c r="T31" s="387"/>
      <c r="U31" s="390" t="s">
        <v>80</v>
      </c>
      <c r="V31" s="386"/>
      <c r="W31" s="372"/>
      <c r="X31" s="372"/>
      <c r="Y31" s="372"/>
      <c r="Z31" s="373"/>
      <c r="AA31" s="374"/>
      <c r="AB31" s="372"/>
      <c r="AC31" s="372"/>
      <c r="AD31" s="372"/>
      <c r="AE31" s="371"/>
      <c r="AF31" s="375"/>
      <c r="AG31" s="372"/>
      <c r="AH31" s="372"/>
      <c r="AI31" s="372"/>
      <c r="AJ31" s="373"/>
      <c r="AK31" s="374"/>
      <c r="AL31" s="372"/>
      <c r="AM31" s="372"/>
      <c r="AN31" s="372"/>
      <c r="AO31" s="371"/>
      <c r="AP31" s="375"/>
      <c r="AQ31" s="372"/>
      <c r="AR31" s="372"/>
      <c r="AS31" s="372"/>
      <c r="AT31" s="373"/>
      <c r="AU31" s="374"/>
      <c r="AV31" s="372"/>
      <c r="AW31" s="372"/>
      <c r="AX31" s="372"/>
      <c r="AY31" s="371"/>
      <c r="AZ31" s="375"/>
      <c r="BA31" s="372"/>
      <c r="BB31" s="372"/>
      <c r="BC31" s="372"/>
      <c r="BD31" s="373"/>
      <c r="BE31" s="374"/>
      <c r="BF31" s="372"/>
      <c r="BG31" s="372"/>
      <c r="BH31" s="372"/>
      <c r="BI31" s="371"/>
      <c r="BJ31" s="375"/>
      <c r="BK31" s="372"/>
      <c r="BL31" s="372"/>
      <c r="BM31" s="372"/>
      <c r="BN31" s="373"/>
      <c r="BO31" s="374"/>
      <c r="BP31" s="372"/>
      <c r="BQ31" s="372"/>
      <c r="BR31" s="372"/>
      <c r="BS31" s="371"/>
      <c r="BT31" s="375"/>
      <c r="BU31" s="372"/>
      <c r="BV31" s="372"/>
      <c r="BW31" s="372"/>
      <c r="BX31" s="373"/>
      <c r="BY31" s="374"/>
      <c r="BZ31" s="372"/>
      <c r="CA31" s="372"/>
      <c r="CB31" s="372"/>
      <c r="CC31" s="371"/>
      <c r="CD31" s="375"/>
      <c r="CE31" s="372"/>
      <c r="CF31" s="372"/>
      <c r="CG31" s="372"/>
      <c r="CH31" s="371"/>
      <c r="CI31" s="375"/>
      <c r="CJ31" s="372"/>
      <c r="CK31" s="372"/>
      <c r="CL31" s="372"/>
      <c r="CM31" s="373"/>
    </row>
    <row r="32" spans="1:118" ht="25.5" customHeight="1">
      <c r="A32" s="386">
        <v>4075</v>
      </c>
      <c r="B32" s="387" t="s">
        <v>11</v>
      </c>
      <c r="C32" s="387" t="s">
        <v>44</v>
      </c>
      <c r="D32" s="387" t="s">
        <v>76</v>
      </c>
      <c r="E32" s="372" t="s">
        <v>53</v>
      </c>
      <c r="F32" s="387"/>
      <c r="G32" s="372" t="s">
        <v>718</v>
      </c>
      <c r="H32" s="371" t="s">
        <v>54</v>
      </c>
      <c r="I32" s="375"/>
      <c r="J32" s="372"/>
      <c r="K32" s="373"/>
      <c r="L32" s="388" t="s">
        <v>78</v>
      </c>
      <c r="M32" s="387" t="s">
        <v>77</v>
      </c>
      <c r="N32" s="387"/>
      <c r="O32" s="387" t="s">
        <v>77</v>
      </c>
      <c r="P32" s="389" t="s">
        <v>77</v>
      </c>
      <c r="Q32" s="388"/>
      <c r="R32" s="387"/>
      <c r="S32" s="387"/>
      <c r="T32" s="387"/>
      <c r="U32" s="390" t="s">
        <v>80</v>
      </c>
      <c r="V32" s="386"/>
      <c r="W32" s="372"/>
      <c r="X32" s="372"/>
      <c r="Y32" s="372"/>
      <c r="Z32" s="373"/>
      <c r="AA32" s="374"/>
      <c r="AB32" s="372"/>
      <c r="AC32" s="372"/>
      <c r="AD32" s="372"/>
      <c r="AE32" s="371"/>
      <c r="AF32" s="375"/>
      <c r="AG32" s="372"/>
      <c r="AH32" s="372"/>
      <c r="AI32" s="372"/>
      <c r="AJ32" s="373"/>
      <c r="AK32" s="374"/>
      <c r="AL32" s="372"/>
      <c r="AM32" s="372"/>
      <c r="AN32" s="372"/>
      <c r="AO32" s="371"/>
      <c r="AP32" s="375"/>
      <c r="AQ32" s="372"/>
      <c r="AR32" s="372"/>
      <c r="AS32" s="372"/>
      <c r="AT32" s="373"/>
      <c r="AU32" s="374"/>
      <c r="AV32" s="372"/>
      <c r="AW32" s="372"/>
      <c r="AX32" s="372"/>
      <c r="AY32" s="371"/>
      <c r="AZ32" s="375"/>
      <c r="BA32" s="372"/>
      <c r="BB32" s="372"/>
      <c r="BC32" s="372"/>
      <c r="BD32" s="373"/>
      <c r="BE32" s="374"/>
      <c r="BF32" s="372"/>
      <c r="BG32" s="372"/>
      <c r="BH32" s="372"/>
      <c r="BI32" s="371"/>
      <c r="BJ32" s="375"/>
      <c r="BK32" s="372"/>
      <c r="BL32" s="372"/>
      <c r="BM32" s="372"/>
      <c r="BN32" s="373"/>
      <c r="BO32" s="374"/>
      <c r="BP32" s="372"/>
      <c r="BQ32" s="372"/>
      <c r="BR32" s="372"/>
      <c r="BS32" s="371"/>
      <c r="BT32" s="375"/>
      <c r="BU32" s="372"/>
      <c r="BV32" s="372"/>
      <c r="BW32" s="372"/>
      <c r="BX32" s="373"/>
      <c r="BY32" s="374"/>
      <c r="BZ32" s="372"/>
      <c r="CA32" s="372"/>
      <c r="CB32" s="372"/>
      <c r="CC32" s="371"/>
      <c r="CD32" s="375"/>
      <c r="CE32" s="372"/>
      <c r="CF32" s="372"/>
      <c r="CG32" s="372"/>
      <c r="CH32" s="371"/>
      <c r="CI32" s="375"/>
      <c r="CJ32" s="372"/>
      <c r="CK32" s="372"/>
      <c r="CL32" s="372"/>
      <c r="CM32" s="373"/>
    </row>
    <row r="33" spans="1:91" ht="25.5" customHeight="1">
      <c r="A33" s="386">
        <v>4076</v>
      </c>
      <c r="B33" s="387" t="s">
        <v>11</v>
      </c>
      <c r="C33" s="387" t="s">
        <v>44</v>
      </c>
      <c r="D33" s="387" t="s">
        <v>76</v>
      </c>
      <c r="E33" s="372" t="s">
        <v>53</v>
      </c>
      <c r="F33" s="387"/>
      <c r="G33" s="372" t="s">
        <v>720</v>
      </c>
      <c r="H33" s="371" t="s">
        <v>54</v>
      </c>
      <c r="I33" s="375"/>
      <c r="J33" s="372"/>
      <c r="K33" s="373"/>
      <c r="L33" s="388" t="s">
        <v>78</v>
      </c>
      <c r="M33" s="387" t="s">
        <v>77</v>
      </c>
      <c r="N33" s="387"/>
      <c r="O33" s="387" t="s">
        <v>77</v>
      </c>
      <c r="P33" s="389" t="s">
        <v>77</v>
      </c>
      <c r="Q33" s="388"/>
      <c r="R33" s="387"/>
      <c r="S33" s="387"/>
      <c r="T33" s="387"/>
      <c r="U33" s="390" t="s">
        <v>80</v>
      </c>
      <c r="V33" s="386"/>
      <c r="W33" s="372"/>
      <c r="X33" s="372"/>
      <c r="Y33" s="372"/>
      <c r="Z33" s="373"/>
      <c r="AA33" s="374"/>
      <c r="AB33" s="372"/>
      <c r="AC33" s="372"/>
      <c r="AD33" s="372"/>
      <c r="AE33" s="371"/>
      <c r="AF33" s="375"/>
      <c r="AG33" s="372"/>
      <c r="AH33" s="372"/>
      <c r="AI33" s="372"/>
      <c r="AJ33" s="373"/>
      <c r="AK33" s="374"/>
      <c r="AL33" s="372"/>
      <c r="AM33" s="372"/>
      <c r="AN33" s="372"/>
      <c r="AO33" s="371"/>
      <c r="AP33" s="375"/>
      <c r="AQ33" s="372"/>
      <c r="AR33" s="372"/>
      <c r="AS33" s="372"/>
      <c r="AT33" s="373"/>
      <c r="AU33" s="374"/>
      <c r="AV33" s="372"/>
      <c r="AW33" s="372"/>
      <c r="AX33" s="372"/>
      <c r="AY33" s="371"/>
      <c r="AZ33" s="375"/>
      <c r="BA33" s="372"/>
      <c r="BB33" s="372"/>
      <c r="BC33" s="372"/>
      <c r="BD33" s="373"/>
      <c r="BE33" s="374"/>
      <c r="BF33" s="372"/>
      <c r="BG33" s="372"/>
      <c r="BH33" s="372"/>
      <c r="BI33" s="371"/>
      <c r="BJ33" s="375"/>
      <c r="BK33" s="372"/>
      <c r="BL33" s="372"/>
      <c r="BM33" s="372"/>
      <c r="BN33" s="373"/>
      <c r="BO33" s="374"/>
      <c r="BP33" s="372"/>
      <c r="BQ33" s="372"/>
      <c r="BR33" s="372"/>
      <c r="BS33" s="371"/>
      <c r="BT33" s="375"/>
      <c r="BU33" s="372"/>
      <c r="BV33" s="372"/>
      <c r="BW33" s="372"/>
      <c r="BX33" s="373"/>
      <c r="BY33" s="374"/>
      <c r="BZ33" s="372"/>
      <c r="CA33" s="372"/>
      <c r="CB33" s="372"/>
      <c r="CC33" s="371"/>
      <c r="CD33" s="375"/>
      <c r="CE33" s="372"/>
      <c r="CF33" s="372"/>
      <c r="CG33" s="372"/>
      <c r="CH33" s="371"/>
      <c r="CI33" s="375"/>
      <c r="CJ33" s="372"/>
      <c r="CK33" s="372"/>
      <c r="CL33" s="372"/>
      <c r="CM33" s="373"/>
    </row>
    <row r="34" spans="1:91" ht="25.5" customHeight="1" thickBot="1">
      <c r="A34" s="411">
        <v>4077</v>
      </c>
      <c r="B34" s="412" t="s">
        <v>11</v>
      </c>
      <c r="C34" s="412" t="s">
        <v>44</v>
      </c>
      <c r="D34" s="412" t="s">
        <v>76</v>
      </c>
      <c r="E34" s="377" t="s">
        <v>53</v>
      </c>
      <c r="F34" s="412"/>
      <c r="G34" s="377" t="s">
        <v>722</v>
      </c>
      <c r="H34" s="376" t="s">
        <v>54</v>
      </c>
      <c r="I34" s="380"/>
      <c r="J34" s="377"/>
      <c r="K34" s="378"/>
      <c r="L34" s="413" t="s">
        <v>78</v>
      </c>
      <c r="M34" s="412" t="s">
        <v>77</v>
      </c>
      <c r="N34" s="412"/>
      <c r="O34" s="412" t="s">
        <v>77</v>
      </c>
      <c r="P34" s="414" t="s">
        <v>77</v>
      </c>
      <c r="Q34" s="413"/>
      <c r="R34" s="412"/>
      <c r="S34" s="412"/>
      <c r="T34" s="412"/>
      <c r="U34" s="415" t="s">
        <v>80</v>
      </c>
      <c r="V34" s="411"/>
      <c r="W34" s="377"/>
      <c r="X34" s="377"/>
      <c r="Y34" s="377"/>
      <c r="Z34" s="378"/>
      <c r="AA34" s="379"/>
      <c r="AB34" s="377"/>
      <c r="AC34" s="377"/>
      <c r="AD34" s="377"/>
      <c r="AE34" s="376"/>
      <c r="AF34" s="380"/>
      <c r="AG34" s="377"/>
      <c r="AH34" s="377"/>
      <c r="AI34" s="377"/>
      <c r="AJ34" s="378"/>
      <c r="AK34" s="379"/>
      <c r="AL34" s="377"/>
      <c r="AM34" s="377"/>
      <c r="AN34" s="377"/>
      <c r="AO34" s="376"/>
      <c r="AP34" s="380"/>
      <c r="AQ34" s="377"/>
      <c r="AR34" s="377"/>
      <c r="AS34" s="377"/>
      <c r="AT34" s="378"/>
      <c r="AU34" s="379"/>
      <c r="AV34" s="377"/>
      <c r="AW34" s="377"/>
      <c r="AX34" s="377"/>
      <c r="AY34" s="376"/>
      <c r="AZ34" s="380"/>
      <c r="BA34" s="377"/>
      <c r="BB34" s="377"/>
      <c r="BC34" s="377"/>
      <c r="BD34" s="378"/>
      <c r="BE34" s="379"/>
      <c r="BF34" s="377"/>
      <c r="BG34" s="377"/>
      <c r="BH34" s="377"/>
      <c r="BI34" s="376"/>
      <c r="BJ34" s="380"/>
      <c r="BK34" s="377"/>
      <c r="BL34" s="377"/>
      <c r="BM34" s="377"/>
      <c r="BN34" s="378"/>
      <c r="BO34" s="379"/>
      <c r="BP34" s="377"/>
      <c r="BQ34" s="377"/>
      <c r="BR34" s="377"/>
      <c r="BS34" s="376"/>
      <c r="BT34" s="380"/>
      <c r="BU34" s="377"/>
      <c r="BV34" s="377"/>
      <c r="BW34" s="377"/>
      <c r="BX34" s="378"/>
      <c r="BY34" s="379"/>
      <c r="BZ34" s="377"/>
      <c r="CA34" s="377"/>
      <c r="CB34" s="377"/>
      <c r="CC34" s="376"/>
      <c r="CD34" s="380"/>
      <c r="CE34" s="377"/>
      <c r="CF34" s="377"/>
      <c r="CG34" s="377"/>
      <c r="CH34" s="376"/>
      <c r="CI34" s="380"/>
      <c r="CJ34" s="377"/>
      <c r="CK34" s="377"/>
      <c r="CL34" s="377"/>
      <c r="CM34" s="378"/>
    </row>
    <row r="35" spans="1:91" ht="25.5" customHeight="1">
      <c r="A35" s="416">
        <v>4078</v>
      </c>
      <c r="B35" s="417" t="s">
        <v>11</v>
      </c>
      <c r="C35" s="417" t="s">
        <v>44</v>
      </c>
      <c r="D35" s="417" t="s">
        <v>76</v>
      </c>
      <c r="E35" s="381" t="s">
        <v>53</v>
      </c>
      <c r="F35" s="417"/>
      <c r="G35" s="381" t="s">
        <v>724</v>
      </c>
      <c r="H35" s="384" t="s">
        <v>54</v>
      </c>
      <c r="I35" s="385"/>
      <c r="J35" s="381"/>
      <c r="K35" s="382"/>
      <c r="L35" s="418" t="s">
        <v>78</v>
      </c>
      <c r="M35" s="417" t="s">
        <v>77</v>
      </c>
      <c r="N35" s="417"/>
      <c r="O35" s="417" t="s">
        <v>77</v>
      </c>
      <c r="P35" s="419" t="s">
        <v>77</v>
      </c>
      <c r="Q35" s="418"/>
      <c r="R35" s="417"/>
      <c r="S35" s="417"/>
      <c r="T35" s="417"/>
      <c r="U35" s="420" t="s">
        <v>80</v>
      </c>
      <c r="V35" s="416"/>
      <c r="W35" s="381"/>
      <c r="X35" s="381"/>
      <c r="Y35" s="381"/>
      <c r="Z35" s="382"/>
      <c r="AA35" s="383"/>
      <c r="AB35" s="381"/>
      <c r="AC35" s="381"/>
      <c r="AD35" s="381"/>
      <c r="AE35" s="384"/>
      <c r="AF35" s="385"/>
      <c r="AG35" s="381"/>
      <c r="AH35" s="381"/>
      <c r="AI35" s="381"/>
      <c r="AJ35" s="382"/>
      <c r="AK35" s="383"/>
      <c r="AL35" s="381"/>
      <c r="AM35" s="381"/>
      <c r="AN35" s="381"/>
      <c r="AO35" s="384"/>
      <c r="AP35" s="385"/>
      <c r="AQ35" s="381"/>
      <c r="AR35" s="381"/>
      <c r="AS35" s="381"/>
      <c r="AT35" s="382"/>
      <c r="AU35" s="383"/>
      <c r="AV35" s="381"/>
      <c r="AW35" s="381"/>
      <c r="AX35" s="381"/>
      <c r="AY35" s="384"/>
      <c r="AZ35" s="385"/>
      <c r="BA35" s="381"/>
      <c r="BB35" s="381"/>
      <c r="BC35" s="381"/>
      <c r="BD35" s="382"/>
      <c r="BE35" s="383"/>
      <c r="BF35" s="381"/>
      <c r="BG35" s="381"/>
      <c r="BH35" s="381"/>
      <c r="BI35" s="384"/>
      <c r="BJ35" s="385"/>
      <c r="BK35" s="381"/>
      <c r="BL35" s="381"/>
      <c r="BM35" s="381"/>
      <c r="BN35" s="382"/>
      <c r="BO35" s="383"/>
      <c r="BP35" s="381"/>
      <c r="BQ35" s="381"/>
      <c r="BR35" s="381"/>
      <c r="BS35" s="384"/>
      <c r="BT35" s="385"/>
      <c r="BU35" s="381"/>
      <c r="BV35" s="381"/>
      <c r="BW35" s="381"/>
      <c r="BX35" s="382"/>
      <c r="BY35" s="383"/>
      <c r="BZ35" s="381"/>
      <c r="CA35" s="381"/>
      <c r="CB35" s="381"/>
      <c r="CC35" s="384"/>
      <c r="CD35" s="385"/>
      <c r="CE35" s="381"/>
      <c r="CF35" s="381"/>
      <c r="CG35" s="381"/>
      <c r="CH35" s="384"/>
      <c r="CI35" s="385"/>
      <c r="CJ35" s="381"/>
      <c r="CK35" s="381"/>
      <c r="CL35" s="381"/>
      <c r="CM35" s="382"/>
    </row>
    <row r="36" spans="1:91" ht="25.5" customHeight="1">
      <c r="A36" s="386">
        <v>4079</v>
      </c>
      <c r="B36" s="387" t="s">
        <v>11</v>
      </c>
      <c r="C36" s="387" t="s">
        <v>44</v>
      </c>
      <c r="D36" s="387" t="s">
        <v>76</v>
      </c>
      <c r="E36" s="372" t="s">
        <v>53</v>
      </c>
      <c r="F36" s="387"/>
      <c r="G36" s="372" t="s">
        <v>726</v>
      </c>
      <c r="H36" s="371" t="s">
        <v>54</v>
      </c>
      <c r="I36" s="375"/>
      <c r="J36" s="372"/>
      <c r="K36" s="373"/>
      <c r="L36" s="388" t="s">
        <v>78</v>
      </c>
      <c r="M36" s="387" t="s">
        <v>77</v>
      </c>
      <c r="N36" s="387"/>
      <c r="O36" s="387" t="s">
        <v>77</v>
      </c>
      <c r="P36" s="389" t="s">
        <v>77</v>
      </c>
      <c r="Q36" s="388"/>
      <c r="R36" s="387"/>
      <c r="S36" s="387"/>
      <c r="T36" s="387"/>
      <c r="U36" s="390" t="s">
        <v>80</v>
      </c>
      <c r="V36" s="386"/>
      <c r="W36" s="372"/>
      <c r="X36" s="372"/>
      <c r="Y36" s="372"/>
      <c r="Z36" s="373"/>
      <c r="AA36" s="374"/>
      <c r="AB36" s="372"/>
      <c r="AC36" s="372"/>
      <c r="AD36" s="372"/>
      <c r="AE36" s="371"/>
      <c r="AF36" s="375"/>
      <c r="AG36" s="372"/>
      <c r="AH36" s="372"/>
      <c r="AI36" s="372"/>
      <c r="AJ36" s="373"/>
      <c r="AK36" s="374"/>
      <c r="AL36" s="372"/>
      <c r="AM36" s="372"/>
      <c r="AN36" s="372"/>
      <c r="AO36" s="371"/>
      <c r="AP36" s="375"/>
      <c r="AQ36" s="372"/>
      <c r="AR36" s="372"/>
      <c r="AS36" s="372"/>
      <c r="AT36" s="373"/>
      <c r="AU36" s="374"/>
      <c r="AV36" s="372"/>
      <c r="AW36" s="372"/>
      <c r="AX36" s="372"/>
      <c r="AY36" s="371"/>
      <c r="AZ36" s="375"/>
      <c r="BA36" s="372"/>
      <c r="BB36" s="372"/>
      <c r="BC36" s="372"/>
      <c r="BD36" s="373"/>
      <c r="BE36" s="374"/>
      <c r="BF36" s="372"/>
      <c r="BG36" s="372"/>
      <c r="BH36" s="372"/>
      <c r="BI36" s="371"/>
      <c r="BJ36" s="375"/>
      <c r="BK36" s="372"/>
      <c r="BL36" s="372"/>
      <c r="BM36" s="372"/>
      <c r="BN36" s="373"/>
      <c r="BO36" s="374"/>
      <c r="BP36" s="372"/>
      <c r="BQ36" s="372"/>
      <c r="BR36" s="372"/>
      <c r="BS36" s="371"/>
      <c r="BT36" s="375"/>
      <c r="BU36" s="372"/>
      <c r="BV36" s="372"/>
      <c r="BW36" s="372"/>
      <c r="BX36" s="373"/>
      <c r="BY36" s="374"/>
      <c r="BZ36" s="372"/>
      <c r="CA36" s="372"/>
      <c r="CB36" s="372"/>
      <c r="CC36" s="371"/>
      <c r="CD36" s="375"/>
      <c r="CE36" s="372"/>
      <c r="CF36" s="372"/>
      <c r="CG36" s="372"/>
      <c r="CH36" s="371"/>
      <c r="CI36" s="375"/>
      <c r="CJ36" s="372"/>
      <c r="CK36" s="372"/>
      <c r="CL36" s="372"/>
      <c r="CM36" s="373"/>
    </row>
    <row r="37" spans="1:91" ht="25.5" customHeight="1">
      <c r="A37" s="386">
        <v>4080</v>
      </c>
      <c r="B37" s="387" t="s">
        <v>11</v>
      </c>
      <c r="C37" s="387" t="s">
        <v>44</v>
      </c>
      <c r="D37" s="387" t="s">
        <v>76</v>
      </c>
      <c r="E37" s="372" t="s">
        <v>53</v>
      </c>
      <c r="F37" s="387"/>
      <c r="G37" s="372" t="s">
        <v>728</v>
      </c>
      <c r="H37" s="371" t="s">
        <v>54</v>
      </c>
      <c r="I37" s="375"/>
      <c r="J37" s="372"/>
      <c r="K37" s="373"/>
      <c r="L37" s="388" t="s">
        <v>78</v>
      </c>
      <c r="M37" s="387" t="s">
        <v>77</v>
      </c>
      <c r="N37" s="387"/>
      <c r="O37" s="387" t="s">
        <v>77</v>
      </c>
      <c r="P37" s="389" t="s">
        <v>77</v>
      </c>
      <c r="Q37" s="388"/>
      <c r="R37" s="387"/>
      <c r="S37" s="387"/>
      <c r="T37" s="387"/>
      <c r="U37" s="390" t="s">
        <v>80</v>
      </c>
      <c r="V37" s="386"/>
      <c r="W37" s="372"/>
      <c r="X37" s="372"/>
      <c r="Y37" s="372"/>
      <c r="Z37" s="373"/>
      <c r="AA37" s="374"/>
      <c r="AB37" s="372"/>
      <c r="AC37" s="372"/>
      <c r="AD37" s="372"/>
      <c r="AE37" s="371"/>
      <c r="AF37" s="375"/>
      <c r="AG37" s="372"/>
      <c r="AH37" s="372"/>
      <c r="AI37" s="372"/>
      <c r="AJ37" s="373"/>
      <c r="AK37" s="374"/>
      <c r="AL37" s="372"/>
      <c r="AM37" s="372"/>
      <c r="AN37" s="372"/>
      <c r="AO37" s="371"/>
      <c r="AP37" s="375"/>
      <c r="AQ37" s="372"/>
      <c r="AR37" s="372"/>
      <c r="AS37" s="372"/>
      <c r="AT37" s="373"/>
      <c r="AU37" s="374"/>
      <c r="AV37" s="372"/>
      <c r="AW37" s="372"/>
      <c r="AX37" s="372"/>
      <c r="AY37" s="371"/>
      <c r="AZ37" s="375"/>
      <c r="BA37" s="372"/>
      <c r="BB37" s="372"/>
      <c r="BC37" s="372"/>
      <c r="BD37" s="373"/>
      <c r="BE37" s="374"/>
      <c r="BF37" s="372"/>
      <c r="BG37" s="372"/>
      <c r="BH37" s="372"/>
      <c r="BI37" s="371"/>
      <c r="BJ37" s="375"/>
      <c r="BK37" s="372"/>
      <c r="BL37" s="372"/>
      <c r="BM37" s="372"/>
      <c r="BN37" s="373"/>
      <c r="BO37" s="374"/>
      <c r="BP37" s="372"/>
      <c r="BQ37" s="372"/>
      <c r="BR37" s="372"/>
      <c r="BS37" s="371"/>
      <c r="BT37" s="375"/>
      <c r="BU37" s="372"/>
      <c r="BV37" s="372"/>
      <c r="BW37" s="372"/>
      <c r="BX37" s="373"/>
      <c r="BY37" s="374"/>
      <c r="BZ37" s="372"/>
      <c r="CA37" s="372"/>
      <c r="CB37" s="372"/>
      <c r="CC37" s="371"/>
      <c r="CD37" s="375"/>
      <c r="CE37" s="372"/>
      <c r="CF37" s="372"/>
      <c r="CG37" s="372"/>
      <c r="CH37" s="371"/>
      <c r="CI37" s="375"/>
      <c r="CJ37" s="372"/>
      <c r="CK37" s="372"/>
      <c r="CL37" s="372"/>
      <c r="CM37" s="373"/>
    </row>
    <row r="38" spans="1:91" ht="25.5" customHeight="1">
      <c r="A38" s="386">
        <v>4081</v>
      </c>
      <c r="B38" s="387" t="s">
        <v>11</v>
      </c>
      <c r="C38" s="387" t="s">
        <v>44</v>
      </c>
      <c r="D38" s="387" t="s">
        <v>76</v>
      </c>
      <c r="E38" s="372" t="s">
        <v>53</v>
      </c>
      <c r="F38" s="387"/>
      <c r="G38" s="372" t="s">
        <v>730</v>
      </c>
      <c r="H38" s="371" t="s">
        <v>54</v>
      </c>
      <c r="I38" s="375"/>
      <c r="J38" s="372"/>
      <c r="K38" s="373"/>
      <c r="L38" s="388" t="s">
        <v>78</v>
      </c>
      <c r="M38" s="387" t="s">
        <v>77</v>
      </c>
      <c r="N38" s="387"/>
      <c r="O38" s="387" t="s">
        <v>77</v>
      </c>
      <c r="P38" s="389" t="s">
        <v>77</v>
      </c>
      <c r="Q38" s="388"/>
      <c r="R38" s="387"/>
      <c r="S38" s="387"/>
      <c r="T38" s="387"/>
      <c r="U38" s="390" t="s">
        <v>80</v>
      </c>
      <c r="V38" s="386"/>
      <c r="W38" s="372"/>
      <c r="X38" s="372"/>
      <c r="Y38" s="372"/>
      <c r="Z38" s="373"/>
      <c r="AA38" s="374"/>
      <c r="AB38" s="372"/>
      <c r="AC38" s="372"/>
      <c r="AD38" s="372"/>
      <c r="AE38" s="371"/>
      <c r="AF38" s="375"/>
      <c r="AG38" s="372"/>
      <c r="AH38" s="372"/>
      <c r="AI38" s="372"/>
      <c r="AJ38" s="373"/>
      <c r="AK38" s="374"/>
      <c r="AL38" s="372"/>
      <c r="AM38" s="372"/>
      <c r="AN38" s="372"/>
      <c r="AO38" s="371"/>
      <c r="AP38" s="375"/>
      <c r="AQ38" s="372"/>
      <c r="AR38" s="372"/>
      <c r="AS38" s="372"/>
      <c r="AT38" s="373"/>
      <c r="AU38" s="374"/>
      <c r="AV38" s="372"/>
      <c r="AW38" s="372"/>
      <c r="AX38" s="372"/>
      <c r="AY38" s="371"/>
      <c r="AZ38" s="375"/>
      <c r="BA38" s="372"/>
      <c r="BB38" s="372"/>
      <c r="BC38" s="372"/>
      <c r="BD38" s="373"/>
      <c r="BE38" s="374"/>
      <c r="BF38" s="372"/>
      <c r="BG38" s="372"/>
      <c r="BH38" s="372"/>
      <c r="BI38" s="371"/>
      <c r="BJ38" s="375"/>
      <c r="BK38" s="372"/>
      <c r="BL38" s="372"/>
      <c r="BM38" s="372"/>
      <c r="BN38" s="373"/>
      <c r="BO38" s="374"/>
      <c r="BP38" s="372"/>
      <c r="BQ38" s="372"/>
      <c r="BR38" s="372"/>
      <c r="BS38" s="371"/>
      <c r="BT38" s="375"/>
      <c r="BU38" s="372"/>
      <c r="BV38" s="372"/>
      <c r="BW38" s="372"/>
      <c r="BX38" s="373"/>
      <c r="BY38" s="374"/>
      <c r="BZ38" s="372"/>
      <c r="CA38" s="372"/>
      <c r="CB38" s="372"/>
      <c r="CC38" s="371"/>
      <c r="CD38" s="375"/>
      <c r="CE38" s="372"/>
      <c r="CF38" s="372"/>
      <c r="CG38" s="372"/>
      <c r="CH38" s="371"/>
      <c r="CI38" s="375"/>
      <c r="CJ38" s="372"/>
      <c r="CK38" s="372"/>
      <c r="CL38" s="372"/>
      <c r="CM38" s="373"/>
    </row>
    <row r="39" spans="1:91" ht="25.5" customHeight="1" thickBot="1">
      <c r="A39" s="391">
        <v>4082</v>
      </c>
      <c r="B39" s="392" t="s">
        <v>11</v>
      </c>
      <c r="C39" s="392" t="s">
        <v>44</v>
      </c>
      <c r="D39" s="392" t="s">
        <v>76</v>
      </c>
      <c r="E39" s="393" t="s">
        <v>53</v>
      </c>
      <c r="F39" s="392"/>
      <c r="G39" s="393" t="s">
        <v>732</v>
      </c>
      <c r="H39" s="394" t="s">
        <v>54</v>
      </c>
      <c r="I39" s="395"/>
      <c r="J39" s="393"/>
      <c r="K39" s="396"/>
      <c r="L39" s="397" t="s">
        <v>78</v>
      </c>
      <c r="M39" s="392" t="s">
        <v>77</v>
      </c>
      <c r="N39" s="392"/>
      <c r="O39" s="392" t="s">
        <v>77</v>
      </c>
      <c r="P39" s="398" t="s">
        <v>77</v>
      </c>
      <c r="Q39" s="397"/>
      <c r="R39" s="392"/>
      <c r="S39" s="392"/>
      <c r="T39" s="392"/>
      <c r="U39" s="399" t="s">
        <v>80</v>
      </c>
      <c r="V39" s="391"/>
      <c r="W39" s="393"/>
      <c r="X39" s="393"/>
      <c r="Y39" s="393"/>
      <c r="Z39" s="396"/>
      <c r="AA39" s="400"/>
      <c r="AB39" s="393"/>
      <c r="AC39" s="393"/>
      <c r="AD39" s="393"/>
      <c r="AE39" s="394"/>
      <c r="AF39" s="395"/>
      <c r="AG39" s="393"/>
      <c r="AH39" s="393"/>
      <c r="AI39" s="393"/>
      <c r="AJ39" s="396"/>
      <c r="AK39" s="400"/>
      <c r="AL39" s="393"/>
      <c r="AM39" s="393"/>
      <c r="AN39" s="393"/>
      <c r="AO39" s="394"/>
      <c r="AP39" s="395"/>
      <c r="AQ39" s="393"/>
      <c r="AR39" s="393"/>
      <c r="AS39" s="393"/>
      <c r="AT39" s="396"/>
      <c r="AU39" s="400"/>
      <c r="AV39" s="393"/>
      <c r="AW39" s="393"/>
      <c r="AX39" s="393"/>
      <c r="AY39" s="394"/>
      <c r="AZ39" s="395"/>
      <c r="BA39" s="393"/>
      <c r="BB39" s="393"/>
      <c r="BC39" s="393"/>
      <c r="BD39" s="396"/>
      <c r="BE39" s="400"/>
      <c r="BF39" s="393"/>
      <c r="BG39" s="393"/>
      <c r="BH39" s="393"/>
      <c r="BI39" s="394"/>
      <c r="BJ39" s="395"/>
      <c r="BK39" s="393"/>
      <c r="BL39" s="393"/>
      <c r="BM39" s="393"/>
      <c r="BN39" s="396"/>
      <c r="BO39" s="400"/>
      <c r="BP39" s="393"/>
      <c r="BQ39" s="393"/>
      <c r="BR39" s="393"/>
      <c r="BS39" s="394"/>
      <c r="BT39" s="395"/>
      <c r="BU39" s="393"/>
      <c r="BV39" s="393"/>
      <c r="BW39" s="393"/>
      <c r="BX39" s="396"/>
      <c r="BY39" s="400"/>
      <c r="BZ39" s="393"/>
      <c r="CA39" s="393"/>
      <c r="CB39" s="393"/>
      <c r="CC39" s="394"/>
      <c r="CD39" s="395"/>
      <c r="CE39" s="393"/>
      <c r="CF39" s="393"/>
      <c r="CG39" s="393"/>
      <c r="CH39" s="394"/>
      <c r="CI39" s="395"/>
      <c r="CJ39" s="393"/>
      <c r="CK39" s="393"/>
      <c r="CL39" s="393"/>
      <c r="CM39" s="396"/>
    </row>
    <row r="40" spans="1:91" ht="25.5" customHeight="1">
      <c r="A40" s="401">
        <v>4083</v>
      </c>
      <c r="B40" s="402" t="s">
        <v>11</v>
      </c>
      <c r="C40" s="402" t="s">
        <v>44</v>
      </c>
      <c r="D40" s="402" t="s">
        <v>76</v>
      </c>
      <c r="E40" s="403" t="s">
        <v>53</v>
      </c>
      <c r="F40" s="402"/>
      <c r="G40" s="403" t="s">
        <v>734</v>
      </c>
      <c r="H40" s="404" t="s">
        <v>54</v>
      </c>
      <c r="I40" s="405"/>
      <c r="J40" s="403"/>
      <c r="K40" s="406"/>
      <c r="L40" s="407" t="s">
        <v>78</v>
      </c>
      <c r="M40" s="402" t="s">
        <v>77</v>
      </c>
      <c r="N40" s="402"/>
      <c r="O40" s="402" t="s">
        <v>77</v>
      </c>
      <c r="P40" s="408" t="s">
        <v>77</v>
      </c>
      <c r="Q40" s="407"/>
      <c r="R40" s="402"/>
      <c r="S40" s="402"/>
      <c r="T40" s="402"/>
      <c r="U40" s="409" t="s">
        <v>80</v>
      </c>
      <c r="V40" s="401"/>
      <c r="W40" s="403"/>
      <c r="X40" s="403"/>
      <c r="Y40" s="403"/>
      <c r="Z40" s="406"/>
      <c r="AA40" s="410"/>
      <c r="AB40" s="403"/>
      <c r="AC40" s="403"/>
      <c r="AD40" s="403"/>
      <c r="AE40" s="404"/>
      <c r="AF40" s="405"/>
      <c r="AG40" s="403"/>
      <c r="AH40" s="403"/>
      <c r="AI40" s="403"/>
      <c r="AJ40" s="406"/>
      <c r="AK40" s="410"/>
      <c r="AL40" s="403"/>
      <c r="AM40" s="403"/>
      <c r="AN40" s="403"/>
      <c r="AO40" s="404"/>
      <c r="AP40" s="405"/>
      <c r="AQ40" s="403"/>
      <c r="AR40" s="403"/>
      <c r="AS40" s="403"/>
      <c r="AT40" s="406"/>
      <c r="AU40" s="410"/>
      <c r="AV40" s="403"/>
      <c r="AW40" s="403"/>
      <c r="AX40" s="403"/>
      <c r="AY40" s="404"/>
      <c r="AZ40" s="405"/>
      <c r="BA40" s="403"/>
      <c r="BB40" s="403"/>
      <c r="BC40" s="403"/>
      <c r="BD40" s="406"/>
      <c r="BE40" s="410"/>
      <c r="BF40" s="403"/>
      <c r="BG40" s="403"/>
      <c r="BH40" s="403"/>
      <c r="BI40" s="404"/>
      <c r="BJ40" s="405"/>
      <c r="BK40" s="403"/>
      <c r="BL40" s="403"/>
      <c r="BM40" s="403"/>
      <c r="BN40" s="406"/>
      <c r="BO40" s="410"/>
      <c r="BP40" s="403"/>
      <c r="BQ40" s="403"/>
      <c r="BR40" s="403"/>
      <c r="BS40" s="404"/>
      <c r="BT40" s="405"/>
      <c r="BU40" s="403"/>
      <c r="BV40" s="403"/>
      <c r="BW40" s="403"/>
      <c r="BX40" s="406"/>
      <c r="BY40" s="410"/>
      <c r="BZ40" s="403"/>
      <c r="CA40" s="403"/>
      <c r="CB40" s="403"/>
      <c r="CC40" s="404"/>
      <c r="CD40" s="405"/>
      <c r="CE40" s="403"/>
      <c r="CF40" s="403"/>
      <c r="CG40" s="403"/>
      <c r="CH40" s="404"/>
      <c r="CI40" s="405"/>
      <c r="CJ40" s="403"/>
      <c r="CK40" s="403"/>
      <c r="CL40" s="403"/>
      <c r="CM40" s="406"/>
    </row>
    <row r="41" spans="1:91" ht="25.5" customHeight="1">
      <c r="A41" s="386">
        <v>4084</v>
      </c>
      <c r="B41" s="387" t="s">
        <v>11</v>
      </c>
      <c r="C41" s="387" t="s">
        <v>44</v>
      </c>
      <c r="D41" s="387" t="s">
        <v>76</v>
      </c>
      <c r="E41" s="372" t="s">
        <v>53</v>
      </c>
      <c r="F41" s="387"/>
      <c r="G41" s="372" t="s">
        <v>736</v>
      </c>
      <c r="H41" s="371" t="s">
        <v>54</v>
      </c>
      <c r="I41" s="375"/>
      <c r="J41" s="372"/>
      <c r="K41" s="373"/>
      <c r="L41" s="388" t="s">
        <v>78</v>
      </c>
      <c r="M41" s="387" t="s">
        <v>77</v>
      </c>
      <c r="N41" s="387"/>
      <c r="O41" s="387" t="s">
        <v>77</v>
      </c>
      <c r="P41" s="389" t="s">
        <v>77</v>
      </c>
      <c r="Q41" s="388"/>
      <c r="R41" s="387"/>
      <c r="S41" s="387"/>
      <c r="T41" s="387"/>
      <c r="U41" s="390" t="s">
        <v>80</v>
      </c>
      <c r="V41" s="386"/>
      <c r="W41" s="372"/>
      <c r="X41" s="372"/>
      <c r="Y41" s="372"/>
      <c r="Z41" s="373"/>
      <c r="AA41" s="374"/>
      <c r="AB41" s="372"/>
      <c r="AC41" s="372"/>
      <c r="AD41" s="372"/>
      <c r="AE41" s="371"/>
      <c r="AF41" s="375"/>
      <c r="AG41" s="372"/>
      <c r="AH41" s="372"/>
      <c r="AI41" s="372"/>
      <c r="AJ41" s="373"/>
      <c r="AK41" s="374"/>
      <c r="AL41" s="372"/>
      <c r="AM41" s="372"/>
      <c r="AN41" s="372"/>
      <c r="AO41" s="371"/>
      <c r="AP41" s="375"/>
      <c r="AQ41" s="372"/>
      <c r="AR41" s="372"/>
      <c r="AS41" s="372"/>
      <c r="AT41" s="373"/>
      <c r="AU41" s="374"/>
      <c r="AV41" s="372"/>
      <c r="AW41" s="372"/>
      <c r="AX41" s="372"/>
      <c r="AY41" s="371"/>
      <c r="AZ41" s="375"/>
      <c r="BA41" s="372"/>
      <c r="BB41" s="372"/>
      <c r="BC41" s="372"/>
      <c r="BD41" s="373"/>
      <c r="BE41" s="374"/>
      <c r="BF41" s="372"/>
      <c r="BG41" s="372"/>
      <c r="BH41" s="372"/>
      <c r="BI41" s="371"/>
      <c r="BJ41" s="375"/>
      <c r="BK41" s="372"/>
      <c r="BL41" s="372"/>
      <c r="BM41" s="372"/>
      <c r="BN41" s="373"/>
      <c r="BO41" s="374"/>
      <c r="BP41" s="372"/>
      <c r="BQ41" s="372"/>
      <c r="BR41" s="372"/>
      <c r="BS41" s="371"/>
      <c r="BT41" s="375"/>
      <c r="BU41" s="372"/>
      <c r="BV41" s="372"/>
      <c r="BW41" s="372"/>
      <c r="BX41" s="373"/>
      <c r="BY41" s="374"/>
      <c r="BZ41" s="372"/>
      <c r="CA41" s="372"/>
      <c r="CB41" s="372"/>
      <c r="CC41" s="371"/>
      <c r="CD41" s="375"/>
      <c r="CE41" s="372"/>
      <c r="CF41" s="372"/>
      <c r="CG41" s="372"/>
      <c r="CH41" s="371"/>
      <c r="CI41" s="375"/>
      <c r="CJ41" s="372"/>
      <c r="CK41" s="372"/>
      <c r="CL41" s="372"/>
      <c r="CM41" s="373"/>
    </row>
    <row r="42" spans="1:91" ht="25.5" customHeight="1">
      <c r="A42" s="386">
        <v>4085</v>
      </c>
      <c r="B42" s="387" t="s">
        <v>11</v>
      </c>
      <c r="C42" s="387" t="s">
        <v>44</v>
      </c>
      <c r="D42" s="387" t="s">
        <v>76</v>
      </c>
      <c r="E42" s="372" t="s">
        <v>53</v>
      </c>
      <c r="F42" s="387"/>
      <c r="G42" s="372" t="s">
        <v>738</v>
      </c>
      <c r="H42" s="371" t="s">
        <v>54</v>
      </c>
      <c r="I42" s="375"/>
      <c r="J42" s="372"/>
      <c r="K42" s="373"/>
      <c r="L42" s="388" t="s">
        <v>78</v>
      </c>
      <c r="M42" s="387" t="s">
        <v>77</v>
      </c>
      <c r="N42" s="387"/>
      <c r="O42" s="387" t="s">
        <v>77</v>
      </c>
      <c r="P42" s="389" t="s">
        <v>77</v>
      </c>
      <c r="Q42" s="388"/>
      <c r="R42" s="387"/>
      <c r="S42" s="387"/>
      <c r="T42" s="387"/>
      <c r="U42" s="390" t="s">
        <v>80</v>
      </c>
      <c r="V42" s="386"/>
      <c r="W42" s="372"/>
      <c r="X42" s="372"/>
      <c r="Y42" s="372"/>
      <c r="Z42" s="373"/>
      <c r="AA42" s="374"/>
      <c r="AB42" s="372"/>
      <c r="AC42" s="372"/>
      <c r="AD42" s="372"/>
      <c r="AE42" s="371"/>
      <c r="AF42" s="375"/>
      <c r="AG42" s="372"/>
      <c r="AH42" s="372"/>
      <c r="AI42" s="372"/>
      <c r="AJ42" s="373"/>
      <c r="AK42" s="374"/>
      <c r="AL42" s="372"/>
      <c r="AM42" s="372"/>
      <c r="AN42" s="372"/>
      <c r="AO42" s="371"/>
      <c r="AP42" s="375"/>
      <c r="AQ42" s="372"/>
      <c r="AR42" s="372"/>
      <c r="AS42" s="372"/>
      <c r="AT42" s="373"/>
      <c r="AU42" s="374"/>
      <c r="AV42" s="372"/>
      <c r="AW42" s="372"/>
      <c r="AX42" s="372"/>
      <c r="AY42" s="371"/>
      <c r="AZ42" s="375"/>
      <c r="BA42" s="372"/>
      <c r="BB42" s="372"/>
      <c r="BC42" s="372"/>
      <c r="BD42" s="373"/>
      <c r="BE42" s="374"/>
      <c r="BF42" s="372"/>
      <c r="BG42" s="372"/>
      <c r="BH42" s="372"/>
      <c r="BI42" s="371"/>
      <c r="BJ42" s="375"/>
      <c r="BK42" s="372"/>
      <c r="BL42" s="372"/>
      <c r="BM42" s="372"/>
      <c r="BN42" s="373"/>
      <c r="BO42" s="374"/>
      <c r="BP42" s="372"/>
      <c r="BQ42" s="372"/>
      <c r="BR42" s="372"/>
      <c r="BS42" s="371"/>
      <c r="BT42" s="375"/>
      <c r="BU42" s="372"/>
      <c r="BV42" s="372"/>
      <c r="BW42" s="372"/>
      <c r="BX42" s="373"/>
      <c r="BY42" s="374"/>
      <c r="BZ42" s="372"/>
      <c r="CA42" s="372"/>
      <c r="CB42" s="372"/>
      <c r="CC42" s="371"/>
      <c r="CD42" s="375"/>
      <c r="CE42" s="372"/>
      <c r="CF42" s="372"/>
      <c r="CG42" s="372"/>
      <c r="CH42" s="371"/>
      <c r="CI42" s="375"/>
      <c r="CJ42" s="372"/>
      <c r="CK42" s="372"/>
      <c r="CL42" s="372"/>
      <c r="CM42" s="373"/>
    </row>
    <row r="43" spans="1:91" ht="25.5" customHeight="1">
      <c r="A43" s="386">
        <v>4086</v>
      </c>
      <c r="B43" s="387" t="s">
        <v>11</v>
      </c>
      <c r="C43" s="387" t="s">
        <v>44</v>
      </c>
      <c r="D43" s="387" t="s">
        <v>76</v>
      </c>
      <c r="E43" s="372" t="s">
        <v>53</v>
      </c>
      <c r="F43" s="387"/>
      <c r="G43" s="372" t="s">
        <v>740</v>
      </c>
      <c r="H43" s="371" t="s">
        <v>54</v>
      </c>
      <c r="I43" s="375"/>
      <c r="J43" s="372"/>
      <c r="K43" s="373"/>
      <c r="L43" s="388" t="s">
        <v>78</v>
      </c>
      <c r="M43" s="387" t="s">
        <v>77</v>
      </c>
      <c r="N43" s="387"/>
      <c r="O43" s="387" t="s">
        <v>77</v>
      </c>
      <c r="P43" s="389" t="s">
        <v>77</v>
      </c>
      <c r="Q43" s="388"/>
      <c r="R43" s="387"/>
      <c r="S43" s="387"/>
      <c r="T43" s="387"/>
      <c r="U43" s="390" t="s">
        <v>80</v>
      </c>
      <c r="V43" s="386"/>
      <c r="W43" s="372"/>
      <c r="X43" s="372"/>
      <c r="Y43" s="372"/>
      <c r="Z43" s="373"/>
      <c r="AA43" s="374"/>
      <c r="AB43" s="372"/>
      <c r="AC43" s="372"/>
      <c r="AD43" s="372"/>
      <c r="AE43" s="371"/>
      <c r="AF43" s="375"/>
      <c r="AG43" s="372"/>
      <c r="AH43" s="372"/>
      <c r="AI43" s="372"/>
      <c r="AJ43" s="373"/>
      <c r="AK43" s="374"/>
      <c r="AL43" s="372"/>
      <c r="AM43" s="372"/>
      <c r="AN43" s="372"/>
      <c r="AO43" s="371"/>
      <c r="AP43" s="375"/>
      <c r="AQ43" s="372"/>
      <c r="AR43" s="372"/>
      <c r="AS43" s="372"/>
      <c r="AT43" s="373"/>
      <c r="AU43" s="374"/>
      <c r="AV43" s="372"/>
      <c r="AW43" s="372"/>
      <c r="AX43" s="372"/>
      <c r="AY43" s="371"/>
      <c r="AZ43" s="375"/>
      <c r="BA43" s="372"/>
      <c r="BB43" s="372"/>
      <c r="BC43" s="372"/>
      <c r="BD43" s="373"/>
      <c r="BE43" s="374"/>
      <c r="BF43" s="372"/>
      <c r="BG43" s="372"/>
      <c r="BH43" s="372"/>
      <c r="BI43" s="371"/>
      <c r="BJ43" s="375"/>
      <c r="BK43" s="372"/>
      <c r="BL43" s="372"/>
      <c r="BM43" s="372"/>
      <c r="BN43" s="373"/>
      <c r="BO43" s="374"/>
      <c r="BP43" s="372"/>
      <c r="BQ43" s="372"/>
      <c r="BR43" s="372"/>
      <c r="BS43" s="371"/>
      <c r="BT43" s="375"/>
      <c r="BU43" s="372"/>
      <c r="BV43" s="372"/>
      <c r="BW43" s="372"/>
      <c r="BX43" s="373"/>
      <c r="BY43" s="374"/>
      <c r="BZ43" s="372"/>
      <c r="CA43" s="372"/>
      <c r="CB43" s="372"/>
      <c r="CC43" s="371"/>
      <c r="CD43" s="375"/>
      <c r="CE43" s="372"/>
      <c r="CF43" s="372"/>
      <c r="CG43" s="372"/>
      <c r="CH43" s="371"/>
      <c r="CI43" s="375"/>
      <c r="CJ43" s="372"/>
      <c r="CK43" s="372"/>
      <c r="CL43" s="372"/>
      <c r="CM43" s="373"/>
    </row>
    <row r="44" spans="1:91" ht="25.5" customHeight="1" thickBot="1">
      <c r="A44" s="411">
        <v>4087</v>
      </c>
      <c r="B44" s="412" t="s">
        <v>11</v>
      </c>
      <c r="C44" s="412" t="s">
        <v>44</v>
      </c>
      <c r="D44" s="412" t="s">
        <v>76</v>
      </c>
      <c r="E44" s="377" t="s">
        <v>53</v>
      </c>
      <c r="F44" s="412"/>
      <c r="G44" s="377" t="s">
        <v>742</v>
      </c>
      <c r="H44" s="376" t="s">
        <v>54</v>
      </c>
      <c r="I44" s="380"/>
      <c r="J44" s="377"/>
      <c r="K44" s="378"/>
      <c r="L44" s="413" t="s">
        <v>78</v>
      </c>
      <c r="M44" s="412" t="s">
        <v>77</v>
      </c>
      <c r="N44" s="412"/>
      <c r="O44" s="412" t="s">
        <v>77</v>
      </c>
      <c r="P44" s="414" t="s">
        <v>77</v>
      </c>
      <c r="Q44" s="413"/>
      <c r="R44" s="412"/>
      <c r="S44" s="412"/>
      <c r="T44" s="412"/>
      <c r="U44" s="415" t="s">
        <v>80</v>
      </c>
      <c r="V44" s="411"/>
      <c r="W44" s="377"/>
      <c r="X44" s="377"/>
      <c r="Y44" s="377"/>
      <c r="Z44" s="378"/>
      <c r="AA44" s="379"/>
      <c r="AB44" s="377"/>
      <c r="AC44" s="377"/>
      <c r="AD44" s="377"/>
      <c r="AE44" s="376"/>
      <c r="AF44" s="380"/>
      <c r="AG44" s="377"/>
      <c r="AH44" s="377"/>
      <c r="AI44" s="377"/>
      <c r="AJ44" s="378"/>
      <c r="AK44" s="379"/>
      <c r="AL44" s="377"/>
      <c r="AM44" s="377"/>
      <c r="AN44" s="377"/>
      <c r="AO44" s="376"/>
      <c r="AP44" s="380"/>
      <c r="AQ44" s="377"/>
      <c r="AR44" s="377"/>
      <c r="AS44" s="377"/>
      <c r="AT44" s="378"/>
      <c r="AU44" s="379"/>
      <c r="AV44" s="377"/>
      <c r="AW44" s="377"/>
      <c r="AX44" s="377"/>
      <c r="AY44" s="376"/>
      <c r="AZ44" s="380"/>
      <c r="BA44" s="377"/>
      <c r="BB44" s="377"/>
      <c r="BC44" s="377"/>
      <c r="BD44" s="378"/>
      <c r="BE44" s="379"/>
      <c r="BF44" s="377"/>
      <c r="BG44" s="377"/>
      <c r="BH44" s="377"/>
      <c r="BI44" s="376"/>
      <c r="BJ44" s="380"/>
      <c r="BK44" s="377"/>
      <c r="BL44" s="377"/>
      <c r="BM44" s="377"/>
      <c r="BN44" s="378"/>
      <c r="BO44" s="379"/>
      <c r="BP44" s="377"/>
      <c r="BQ44" s="377"/>
      <c r="BR44" s="377"/>
      <c r="BS44" s="376"/>
      <c r="BT44" s="380"/>
      <c r="BU44" s="377"/>
      <c r="BV44" s="377"/>
      <c r="BW44" s="377"/>
      <c r="BX44" s="378"/>
      <c r="BY44" s="379"/>
      <c r="BZ44" s="377"/>
      <c r="CA44" s="377"/>
      <c r="CB44" s="377"/>
      <c r="CC44" s="376"/>
      <c r="CD44" s="380"/>
      <c r="CE44" s="377"/>
      <c r="CF44" s="377"/>
      <c r="CG44" s="377"/>
      <c r="CH44" s="376"/>
      <c r="CI44" s="380"/>
      <c r="CJ44" s="377"/>
      <c r="CK44" s="377"/>
      <c r="CL44" s="377"/>
      <c r="CM44" s="378"/>
    </row>
    <row r="45" spans="1:91" ht="25.5" customHeight="1">
      <c r="A45" s="416">
        <v>4088</v>
      </c>
      <c r="B45" s="417" t="s">
        <v>11</v>
      </c>
      <c r="C45" s="417" t="s">
        <v>44</v>
      </c>
      <c r="D45" s="417" t="s">
        <v>76</v>
      </c>
      <c r="E45" s="381" t="s">
        <v>53</v>
      </c>
      <c r="F45" s="417"/>
      <c r="G45" s="381" t="s">
        <v>744</v>
      </c>
      <c r="H45" s="384" t="s">
        <v>54</v>
      </c>
      <c r="I45" s="385"/>
      <c r="J45" s="381"/>
      <c r="K45" s="382"/>
      <c r="L45" s="418" t="s">
        <v>78</v>
      </c>
      <c r="M45" s="417" t="s">
        <v>77</v>
      </c>
      <c r="N45" s="417"/>
      <c r="O45" s="417" t="s">
        <v>77</v>
      </c>
      <c r="P45" s="419" t="s">
        <v>77</v>
      </c>
      <c r="Q45" s="418"/>
      <c r="R45" s="417"/>
      <c r="S45" s="417"/>
      <c r="T45" s="417"/>
      <c r="U45" s="420" t="s">
        <v>80</v>
      </c>
      <c r="V45" s="416"/>
      <c r="W45" s="381"/>
      <c r="X45" s="381"/>
      <c r="Y45" s="381"/>
      <c r="Z45" s="382"/>
      <c r="AA45" s="383"/>
      <c r="AB45" s="381"/>
      <c r="AC45" s="381"/>
      <c r="AD45" s="381"/>
      <c r="AE45" s="384"/>
      <c r="AF45" s="385"/>
      <c r="AG45" s="381"/>
      <c r="AH45" s="381"/>
      <c r="AI45" s="381"/>
      <c r="AJ45" s="382"/>
      <c r="AK45" s="383"/>
      <c r="AL45" s="381"/>
      <c r="AM45" s="381"/>
      <c r="AN45" s="381"/>
      <c r="AO45" s="384"/>
      <c r="AP45" s="385"/>
      <c r="AQ45" s="381"/>
      <c r="AR45" s="381"/>
      <c r="AS45" s="381"/>
      <c r="AT45" s="382"/>
      <c r="AU45" s="383"/>
      <c r="AV45" s="381"/>
      <c r="AW45" s="381"/>
      <c r="AX45" s="381"/>
      <c r="AY45" s="384"/>
      <c r="AZ45" s="385"/>
      <c r="BA45" s="381"/>
      <c r="BB45" s="381"/>
      <c r="BC45" s="381"/>
      <c r="BD45" s="382"/>
      <c r="BE45" s="383"/>
      <c r="BF45" s="381"/>
      <c r="BG45" s="381"/>
      <c r="BH45" s="381"/>
      <c r="BI45" s="384"/>
      <c r="BJ45" s="385"/>
      <c r="BK45" s="381"/>
      <c r="BL45" s="381"/>
      <c r="BM45" s="381"/>
      <c r="BN45" s="382"/>
      <c r="BO45" s="383"/>
      <c r="BP45" s="381"/>
      <c r="BQ45" s="381"/>
      <c r="BR45" s="381"/>
      <c r="BS45" s="384"/>
      <c r="BT45" s="385"/>
      <c r="BU45" s="381"/>
      <c r="BV45" s="381"/>
      <c r="BW45" s="381"/>
      <c r="BX45" s="382"/>
      <c r="BY45" s="383"/>
      <c r="BZ45" s="381"/>
      <c r="CA45" s="381"/>
      <c r="CB45" s="381"/>
      <c r="CC45" s="384"/>
      <c r="CD45" s="385"/>
      <c r="CE45" s="381"/>
      <c r="CF45" s="381"/>
      <c r="CG45" s="381"/>
      <c r="CH45" s="384"/>
      <c r="CI45" s="385"/>
      <c r="CJ45" s="381"/>
      <c r="CK45" s="381"/>
      <c r="CL45" s="381"/>
      <c r="CM45" s="382"/>
    </row>
    <row r="46" spans="1:91" ht="25.5" customHeight="1">
      <c r="A46" s="386">
        <v>4089</v>
      </c>
      <c r="B46" s="387" t="s">
        <v>11</v>
      </c>
      <c r="C46" s="387" t="s">
        <v>44</v>
      </c>
      <c r="D46" s="387" t="s">
        <v>76</v>
      </c>
      <c r="E46" s="372" t="s">
        <v>53</v>
      </c>
      <c r="F46" s="387"/>
      <c r="G46" s="372" t="s">
        <v>746</v>
      </c>
      <c r="H46" s="371" t="s">
        <v>54</v>
      </c>
      <c r="I46" s="375"/>
      <c r="J46" s="372"/>
      <c r="K46" s="373"/>
      <c r="L46" s="388" t="s">
        <v>78</v>
      </c>
      <c r="M46" s="387" t="s">
        <v>77</v>
      </c>
      <c r="N46" s="387"/>
      <c r="O46" s="387" t="s">
        <v>77</v>
      </c>
      <c r="P46" s="389" t="s">
        <v>77</v>
      </c>
      <c r="Q46" s="388"/>
      <c r="R46" s="387"/>
      <c r="S46" s="387"/>
      <c r="T46" s="387"/>
      <c r="U46" s="390" t="s">
        <v>80</v>
      </c>
      <c r="V46" s="386"/>
      <c r="W46" s="372"/>
      <c r="X46" s="372"/>
      <c r="Y46" s="372"/>
      <c r="Z46" s="373"/>
      <c r="AA46" s="374"/>
      <c r="AB46" s="372"/>
      <c r="AC46" s="372"/>
      <c r="AD46" s="372"/>
      <c r="AE46" s="371"/>
      <c r="AF46" s="375"/>
      <c r="AG46" s="372"/>
      <c r="AH46" s="372"/>
      <c r="AI46" s="372"/>
      <c r="AJ46" s="373"/>
      <c r="AK46" s="374"/>
      <c r="AL46" s="372"/>
      <c r="AM46" s="372"/>
      <c r="AN46" s="372"/>
      <c r="AO46" s="371"/>
      <c r="AP46" s="375"/>
      <c r="AQ46" s="372"/>
      <c r="AR46" s="372"/>
      <c r="AS46" s="372"/>
      <c r="AT46" s="373"/>
      <c r="AU46" s="374"/>
      <c r="AV46" s="372"/>
      <c r="AW46" s="372"/>
      <c r="AX46" s="372"/>
      <c r="AY46" s="371"/>
      <c r="AZ46" s="375"/>
      <c r="BA46" s="372"/>
      <c r="BB46" s="372"/>
      <c r="BC46" s="372"/>
      <c r="BD46" s="373"/>
      <c r="BE46" s="374"/>
      <c r="BF46" s="372"/>
      <c r="BG46" s="372"/>
      <c r="BH46" s="372"/>
      <c r="BI46" s="371"/>
      <c r="BJ46" s="375"/>
      <c r="BK46" s="372"/>
      <c r="BL46" s="372"/>
      <c r="BM46" s="372"/>
      <c r="BN46" s="373"/>
      <c r="BO46" s="374"/>
      <c r="BP46" s="372"/>
      <c r="BQ46" s="372"/>
      <c r="BR46" s="372"/>
      <c r="BS46" s="371"/>
      <c r="BT46" s="375"/>
      <c r="BU46" s="372"/>
      <c r="BV46" s="372"/>
      <c r="BW46" s="372"/>
      <c r="BX46" s="373"/>
      <c r="BY46" s="374"/>
      <c r="BZ46" s="372"/>
      <c r="CA46" s="372"/>
      <c r="CB46" s="372"/>
      <c r="CC46" s="371"/>
      <c r="CD46" s="375"/>
      <c r="CE46" s="372"/>
      <c r="CF46" s="372"/>
      <c r="CG46" s="372"/>
      <c r="CH46" s="371"/>
      <c r="CI46" s="375"/>
      <c r="CJ46" s="372"/>
      <c r="CK46" s="372"/>
      <c r="CL46" s="372"/>
      <c r="CM46" s="373"/>
    </row>
    <row r="47" spans="1:91" ht="25.5" customHeight="1">
      <c r="A47" s="386">
        <v>4090</v>
      </c>
      <c r="B47" s="387" t="s">
        <v>11</v>
      </c>
      <c r="C47" s="387" t="s">
        <v>44</v>
      </c>
      <c r="D47" s="387" t="s">
        <v>76</v>
      </c>
      <c r="E47" s="372" t="s">
        <v>53</v>
      </c>
      <c r="F47" s="387"/>
      <c r="G47" s="372" t="s">
        <v>748</v>
      </c>
      <c r="H47" s="371" t="s">
        <v>54</v>
      </c>
      <c r="I47" s="375"/>
      <c r="J47" s="372"/>
      <c r="K47" s="373"/>
      <c r="L47" s="388" t="s">
        <v>78</v>
      </c>
      <c r="M47" s="387" t="s">
        <v>77</v>
      </c>
      <c r="N47" s="387"/>
      <c r="O47" s="387" t="s">
        <v>77</v>
      </c>
      <c r="P47" s="389" t="s">
        <v>77</v>
      </c>
      <c r="Q47" s="388"/>
      <c r="R47" s="387"/>
      <c r="S47" s="387"/>
      <c r="T47" s="387"/>
      <c r="U47" s="390" t="s">
        <v>80</v>
      </c>
      <c r="V47" s="386"/>
      <c r="W47" s="372"/>
      <c r="X47" s="372"/>
      <c r="Y47" s="372"/>
      <c r="Z47" s="373"/>
      <c r="AA47" s="374"/>
      <c r="AB47" s="372"/>
      <c r="AC47" s="372"/>
      <c r="AD47" s="372"/>
      <c r="AE47" s="371"/>
      <c r="AF47" s="375"/>
      <c r="AG47" s="372"/>
      <c r="AH47" s="372"/>
      <c r="AI47" s="372"/>
      <c r="AJ47" s="373"/>
      <c r="AK47" s="374"/>
      <c r="AL47" s="372"/>
      <c r="AM47" s="372"/>
      <c r="AN47" s="372"/>
      <c r="AO47" s="371"/>
      <c r="AP47" s="375"/>
      <c r="AQ47" s="372"/>
      <c r="AR47" s="372"/>
      <c r="AS47" s="372"/>
      <c r="AT47" s="373"/>
      <c r="AU47" s="374"/>
      <c r="AV47" s="372"/>
      <c r="AW47" s="372"/>
      <c r="AX47" s="372"/>
      <c r="AY47" s="371"/>
      <c r="AZ47" s="375"/>
      <c r="BA47" s="372"/>
      <c r="BB47" s="372"/>
      <c r="BC47" s="372"/>
      <c r="BD47" s="373"/>
      <c r="BE47" s="374"/>
      <c r="BF47" s="372"/>
      <c r="BG47" s="372"/>
      <c r="BH47" s="372"/>
      <c r="BI47" s="371"/>
      <c r="BJ47" s="375"/>
      <c r="BK47" s="372"/>
      <c r="BL47" s="372"/>
      <c r="BM47" s="372"/>
      <c r="BN47" s="373"/>
      <c r="BO47" s="374"/>
      <c r="BP47" s="372"/>
      <c r="BQ47" s="372"/>
      <c r="BR47" s="372"/>
      <c r="BS47" s="371"/>
      <c r="BT47" s="375"/>
      <c r="BU47" s="372"/>
      <c r="BV47" s="372"/>
      <c r="BW47" s="372"/>
      <c r="BX47" s="373"/>
      <c r="BY47" s="374"/>
      <c r="BZ47" s="372"/>
      <c r="CA47" s="372"/>
      <c r="CB47" s="372"/>
      <c r="CC47" s="371"/>
      <c r="CD47" s="375"/>
      <c r="CE47" s="372"/>
      <c r="CF47" s="372"/>
      <c r="CG47" s="372"/>
      <c r="CH47" s="371"/>
      <c r="CI47" s="375"/>
      <c r="CJ47" s="372"/>
      <c r="CK47" s="372"/>
      <c r="CL47" s="372"/>
      <c r="CM47" s="373"/>
    </row>
    <row r="48" spans="1:91" ht="25.5" customHeight="1">
      <c r="A48" s="386">
        <v>4091</v>
      </c>
      <c r="B48" s="387" t="s">
        <v>11</v>
      </c>
      <c r="C48" s="387" t="s">
        <v>44</v>
      </c>
      <c r="D48" s="387" t="s">
        <v>76</v>
      </c>
      <c r="E48" s="372" t="s">
        <v>53</v>
      </c>
      <c r="F48" s="387"/>
      <c r="G48" s="372" t="s">
        <v>750</v>
      </c>
      <c r="H48" s="371" t="s">
        <v>54</v>
      </c>
      <c r="I48" s="375"/>
      <c r="J48" s="372"/>
      <c r="K48" s="373"/>
      <c r="L48" s="388" t="s">
        <v>78</v>
      </c>
      <c r="M48" s="387" t="s">
        <v>77</v>
      </c>
      <c r="N48" s="387"/>
      <c r="O48" s="387" t="s">
        <v>77</v>
      </c>
      <c r="P48" s="389" t="s">
        <v>77</v>
      </c>
      <c r="Q48" s="388"/>
      <c r="R48" s="387"/>
      <c r="S48" s="387"/>
      <c r="T48" s="387"/>
      <c r="U48" s="390" t="s">
        <v>80</v>
      </c>
      <c r="V48" s="386"/>
      <c r="W48" s="372"/>
      <c r="X48" s="372"/>
      <c r="Y48" s="372"/>
      <c r="Z48" s="373"/>
      <c r="AA48" s="374"/>
      <c r="AB48" s="372"/>
      <c r="AC48" s="372"/>
      <c r="AD48" s="372"/>
      <c r="AE48" s="371"/>
      <c r="AF48" s="375"/>
      <c r="AG48" s="372"/>
      <c r="AH48" s="372"/>
      <c r="AI48" s="372"/>
      <c r="AJ48" s="373"/>
      <c r="AK48" s="374"/>
      <c r="AL48" s="372"/>
      <c r="AM48" s="372"/>
      <c r="AN48" s="372"/>
      <c r="AO48" s="371"/>
      <c r="AP48" s="375"/>
      <c r="AQ48" s="372"/>
      <c r="AR48" s="372"/>
      <c r="AS48" s="372"/>
      <c r="AT48" s="373"/>
      <c r="AU48" s="374"/>
      <c r="AV48" s="372"/>
      <c r="AW48" s="372"/>
      <c r="AX48" s="372"/>
      <c r="AY48" s="371"/>
      <c r="AZ48" s="375"/>
      <c r="BA48" s="372"/>
      <c r="BB48" s="372"/>
      <c r="BC48" s="372"/>
      <c r="BD48" s="373"/>
      <c r="BE48" s="374"/>
      <c r="BF48" s="372"/>
      <c r="BG48" s="372"/>
      <c r="BH48" s="372"/>
      <c r="BI48" s="371"/>
      <c r="BJ48" s="375"/>
      <c r="BK48" s="372"/>
      <c r="BL48" s="372"/>
      <c r="BM48" s="372"/>
      <c r="BN48" s="373"/>
      <c r="BO48" s="374"/>
      <c r="BP48" s="372"/>
      <c r="BQ48" s="372"/>
      <c r="BR48" s="372"/>
      <c r="BS48" s="371"/>
      <c r="BT48" s="375"/>
      <c r="BU48" s="372"/>
      <c r="BV48" s="372"/>
      <c r="BW48" s="372"/>
      <c r="BX48" s="373"/>
      <c r="BY48" s="374"/>
      <c r="BZ48" s="372"/>
      <c r="CA48" s="372"/>
      <c r="CB48" s="372"/>
      <c r="CC48" s="371"/>
      <c r="CD48" s="375"/>
      <c r="CE48" s="372"/>
      <c r="CF48" s="372"/>
      <c r="CG48" s="372"/>
      <c r="CH48" s="371"/>
      <c r="CI48" s="375"/>
      <c r="CJ48" s="372"/>
      <c r="CK48" s="372"/>
      <c r="CL48" s="372"/>
      <c r="CM48" s="373"/>
    </row>
    <row r="49" spans="1:91" ht="25.5" customHeight="1" thickBot="1">
      <c r="A49" s="391">
        <v>4092</v>
      </c>
      <c r="B49" s="392" t="s">
        <v>11</v>
      </c>
      <c r="C49" s="392" t="s">
        <v>44</v>
      </c>
      <c r="D49" s="392" t="s">
        <v>76</v>
      </c>
      <c r="E49" s="393" t="s">
        <v>53</v>
      </c>
      <c r="F49" s="392"/>
      <c r="G49" s="393" t="s">
        <v>752</v>
      </c>
      <c r="H49" s="394" t="s">
        <v>54</v>
      </c>
      <c r="I49" s="395"/>
      <c r="J49" s="393"/>
      <c r="K49" s="396"/>
      <c r="L49" s="397" t="s">
        <v>78</v>
      </c>
      <c r="M49" s="392" t="s">
        <v>77</v>
      </c>
      <c r="N49" s="392"/>
      <c r="O49" s="392" t="s">
        <v>77</v>
      </c>
      <c r="P49" s="398" t="s">
        <v>77</v>
      </c>
      <c r="Q49" s="397"/>
      <c r="R49" s="392"/>
      <c r="S49" s="392"/>
      <c r="T49" s="392"/>
      <c r="U49" s="399" t="s">
        <v>80</v>
      </c>
      <c r="V49" s="391"/>
      <c r="W49" s="393"/>
      <c r="X49" s="393"/>
      <c r="Y49" s="393"/>
      <c r="Z49" s="396"/>
      <c r="AA49" s="400"/>
      <c r="AB49" s="393"/>
      <c r="AC49" s="393"/>
      <c r="AD49" s="393"/>
      <c r="AE49" s="394"/>
      <c r="AF49" s="395"/>
      <c r="AG49" s="393"/>
      <c r="AH49" s="393"/>
      <c r="AI49" s="393"/>
      <c r="AJ49" s="396"/>
      <c r="AK49" s="400"/>
      <c r="AL49" s="393"/>
      <c r="AM49" s="393"/>
      <c r="AN49" s="393"/>
      <c r="AO49" s="394"/>
      <c r="AP49" s="395"/>
      <c r="AQ49" s="393"/>
      <c r="AR49" s="393"/>
      <c r="AS49" s="393"/>
      <c r="AT49" s="396"/>
      <c r="AU49" s="400"/>
      <c r="AV49" s="393"/>
      <c r="AW49" s="393"/>
      <c r="AX49" s="393"/>
      <c r="AY49" s="394"/>
      <c r="AZ49" s="395"/>
      <c r="BA49" s="393"/>
      <c r="BB49" s="393"/>
      <c r="BC49" s="393"/>
      <c r="BD49" s="396"/>
      <c r="BE49" s="400"/>
      <c r="BF49" s="393"/>
      <c r="BG49" s="393"/>
      <c r="BH49" s="393"/>
      <c r="BI49" s="394"/>
      <c r="BJ49" s="395"/>
      <c r="BK49" s="393"/>
      <c r="BL49" s="393"/>
      <c r="BM49" s="393"/>
      <c r="BN49" s="396"/>
      <c r="BO49" s="400"/>
      <c r="BP49" s="393"/>
      <c r="BQ49" s="393"/>
      <c r="BR49" s="393"/>
      <c r="BS49" s="394"/>
      <c r="BT49" s="395"/>
      <c r="BU49" s="393"/>
      <c r="BV49" s="393"/>
      <c r="BW49" s="393"/>
      <c r="BX49" s="396"/>
      <c r="BY49" s="400"/>
      <c r="BZ49" s="393"/>
      <c r="CA49" s="393"/>
      <c r="CB49" s="393"/>
      <c r="CC49" s="394"/>
      <c r="CD49" s="395"/>
      <c r="CE49" s="393"/>
      <c r="CF49" s="393"/>
      <c r="CG49" s="393"/>
      <c r="CH49" s="394"/>
      <c r="CI49" s="395"/>
      <c r="CJ49" s="393"/>
      <c r="CK49" s="393"/>
      <c r="CL49" s="393"/>
      <c r="CM49" s="396"/>
    </row>
    <row r="50" spans="1:91" ht="25.5" customHeight="1">
      <c r="A50" s="401">
        <v>4093</v>
      </c>
      <c r="B50" s="402" t="s">
        <v>11</v>
      </c>
      <c r="C50" s="402" t="s">
        <v>44</v>
      </c>
      <c r="D50" s="402" t="s">
        <v>76</v>
      </c>
      <c r="E50" s="403" t="s">
        <v>53</v>
      </c>
      <c r="F50" s="402"/>
      <c r="G50" s="403" t="s">
        <v>754</v>
      </c>
      <c r="H50" s="404" t="s">
        <v>54</v>
      </c>
      <c r="I50" s="405"/>
      <c r="J50" s="403"/>
      <c r="K50" s="406"/>
      <c r="L50" s="407" t="s">
        <v>78</v>
      </c>
      <c r="M50" s="402" t="s">
        <v>77</v>
      </c>
      <c r="N50" s="402"/>
      <c r="O50" s="402" t="s">
        <v>77</v>
      </c>
      <c r="P50" s="408" t="s">
        <v>77</v>
      </c>
      <c r="Q50" s="407"/>
      <c r="R50" s="402"/>
      <c r="S50" s="402"/>
      <c r="T50" s="402"/>
      <c r="U50" s="409" t="s">
        <v>80</v>
      </c>
      <c r="V50" s="401"/>
      <c r="W50" s="403"/>
      <c r="X50" s="403"/>
      <c r="Y50" s="403"/>
      <c r="Z50" s="406"/>
      <c r="AA50" s="410"/>
      <c r="AB50" s="403"/>
      <c r="AC50" s="403"/>
      <c r="AD50" s="403"/>
      <c r="AE50" s="404"/>
      <c r="AF50" s="405"/>
      <c r="AG50" s="403"/>
      <c r="AH50" s="403"/>
      <c r="AI50" s="403"/>
      <c r="AJ50" s="406"/>
      <c r="AK50" s="410"/>
      <c r="AL50" s="403"/>
      <c r="AM50" s="403"/>
      <c r="AN50" s="403"/>
      <c r="AO50" s="404"/>
      <c r="AP50" s="405"/>
      <c r="AQ50" s="403"/>
      <c r="AR50" s="403"/>
      <c r="AS50" s="403"/>
      <c r="AT50" s="406"/>
      <c r="AU50" s="410"/>
      <c r="AV50" s="403"/>
      <c r="AW50" s="403"/>
      <c r="AX50" s="403"/>
      <c r="AY50" s="404"/>
      <c r="AZ50" s="405"/>
      <c r="BA50" s="403"/>
      <c r="BB50" s="403"/>
      <c r="BC50" s="403"/>
      <c r="BD50" s="406"/>
      <c r="BE50" s="410"/>
      <c r="BF50" s="403"/>
      <c r="BG50" s="403"/>
      <c r="BH50" s="403"/>
      <c r="BI50" s="404"/>
      <c r="BJ50" s="405"/>
      <c r="BK50" s="403"/>
      <c r="BL50" s="403"/>
      <c r="BM50" s="403"/>
      <c r="BN50" s="406"/>
      <c r="BO50" s="410"/>
      <c r="BP50" s="403"/>
      <c r="BQ50" s="403"/>
      <c r="BR50" s="403"/>
      <c r="BS50" s="404"/>
      <c r="BT50" s="405"/>
      <c r="BU50" s="403"/>
      <c r="BV50" s="403"/>
      <c r="BW50" s="403"/>
      <c r="BX50" s="406"/>
      <c r="BY50" s="410"/>
      <c r="BZ50" s="403"/>
      <c r="CA50" s="403"/>
      <c r="CB50" s="403"/>
      <c r="CC50" s="404"/>
      <c r="CD50" s="405"/>
      <c r="CE50" s="403"/>
      <c r="CF50" s="403"/>
      <c r="CG50" s="403"/>
      <c r="CH50" s="404"/>
      <c r="CI50" s="405"/>
      <c r="CJ50" s="403"/>
      <c r="CK50" s="403"/>
      <c r="CL50" s="403"/>
      <c r="CM50" s="406"/>
    </row>
    <row r="51" spans="1:91" ht="25.5" customHeight="1">
      <c r="A51" s="386">
        <v>4094</v>
      </c>
      <c r="B51" s="387" t="s">
        <v>11</v>
      </c>
      <c r="C51" s="387" t="s">
        <v>44</v>
      </c>
      <c r="D51" s="387" t="s">
        <v>76</v>
      </c>
      <c r="E51" s="372" t="s">
        <v>53</v>
      </c>
      <c r="F51" s="387"/>
      <c r="G51" s="372" t="s">
        <v>756</v>
      </c>
      <c r="H51" s="371" t="s">
        <v>54</v>
      </c>
      <c r="I51" s="375"/>
      <c r="J51" s="372"/>
      <c r="K51" s="373"/>
      <c r="L51" s="388" t="s">
        <v>78</v>
      </c>
      <c r="M51" s="387" t="s">
        <v>77</v>
      </c>
      <c r="N51" s="387"/>
      <c r="O51" s="387" t="s">
        <v>77</v>
      </c>
      <c r="P51" s="389" t="s">
        <v>77</v>
      </c>
      <c r="Q51" s="388"/>
      <c r="R51" s="387"/>
      <c r="S51" s="387"/>
      <c r="T51" s="387"/>
      <c r="U51" s="390" t="s">
        <v>80</v>
      </c>
      <c r="V51" s="386"/>
      <c r="W51" s="372"/>
      <c r="X51" s="372"/>
      <c r="Y51" s="372"/>
      <c r="Z51" s="373"/>
      <c r="AA51" s="374"/>
      <c r="AB51" s="372"/>
      <c r="AC51" s="372"/>
      <c r="AD51" s="372"/>
      <c r="AE51" s="371"/>
      <c r="AF51" s="375"/>
      <c r="AG51" s="372"/>
      <c r="AH51" s="372"/>
      <c r="AI51" s="372"/>
      <c r="AJ51" s="373"/>
      <c r="AK51" s="374"/>
      <c r="AL51" s="372"/>
      <c r="AM51" s="372"/>
      <c r="AN51" s="372"/>
      <c r="AO51" s="371"/>
      <c r="AP51" s="375"/>
      <c r="AQ51" s="372"/>
      <c r="AR51" s="372"/>
      <c r="AS51" s="372"/>
      <c r="AT51" s="373"/>
      <c r="AU51" s="374"/>
      <c r="AV51" s="372"/>
      <c r="AW51" s="372"/>
      <c r="AX51" s="372"/>
      <c r="AY51" s="371"/>
      <c r="AZ51" s="375"/>
      <c r="BA51" s="372"/>
      <c r="BB51" s="372"/>
      <c r="BC51" s="372"/>
      <c r="BD51" s="373"/>
      <c r="BE51" s="374"/>
      <c r="BF51" s="372"/>
      <c r="BG51" s="372"/>
      <c r="BH51" s="372"/>
      <c r="BI51" s="371"/>
      <c r="BJ51" s="375"/>
      <c r="BK51" s="372"/>
      <c r="BL51" s="372"/>
      <c r="BM51" s="372"/>
      <c r="BN51" s="373"/>
      <c r="BO51" s="374"/>
      <c r="BP51" s="372"/>
      <c r="BQ51" s="372"/>
      <c r="BR51" s="372"/>
      <c r="BS51" s="371"/>
      <c r="BT51" s="375"/>
      <c r="BU51" s="372"/>
      <c r="BV51" s="372"/>
      <c r="BW51" s="372"/>
      <c r="BX51" s="373"/>
      <c r="BY51" s="374"/>
      <c r="BZ51" s="372"/>
      <c r="CA51" s="372"/>
      <c r="CB51" s="372"/>
      <c r="CC51" s="371"/>
      <c r="CD51" s="375"/>
      <c r="CE51" s="372"/>
      <c r="CF51" s="372"/>
      <c r="CG51" s="372"/>
      <c r="CH51" s="371"/>
      <c r="CI51" s="375"/>
      <c r="CJ51" s="372"/>
      <c r="CK51" s="372"/>
      <c r="CL51" s="372"/>
      <c r="CM51" s="373"/>
    </row>
    <row r="52" spans="1:91" ht="25.5" customHeight="1">
      <c r="A52" s="386">
        <v>4095</v>
      </c>
      <c r="B52" s="387" t="s">
        <v>11</v>
      </c>
      <c r="C52" s="387" t="s">
        <v>44</v>
      </c>
      <c r="D52" s="387" t="s">
        <v>76</v>
      </c>
      <c r="E52" s="372" t="s">
        <v>53</v>
      </c>
      <c r="F52" s="387"/>
      <c r="G52" s="372" t="s">
        <v>758</v>
      </c>
      <c r="H52" s="371" t="s">
        <v>54</v>
      </c>
      <c r="I52" s="375"/>
      <c r="J52" s="372"/>
      <c r="K52" s="373"/>
      <c r="L52" s="388" t="s">
        <v>78</v>
      </c>
      <c r="M52" s="387" t="s">
        <v>77</v>
      </c>
      <c r="N52" s="387"/>
      <c r="O52" s="387" t="s">
        <v>77</v>
      </c>
      <c r="P52" s="389" t="s">
        <v>77</v>
      </c>
      <c r="Q52" s="388"/>
      <c r="R52" s="387"/>
      <c r="S52" s="387"/>
      <c r="T52" s="387"/>
      <c r="U52" s="390" t="s">
        <v>80</v>
      </c>
      <c r="V52" s="386"/>
      <c r="W52" s="372"/>
      <c r="X52" s="372"/>
      <c r="Y52" s="372"/>
      <c r="Z52" s="373"/>
      <c r="AA52" s="374"/>
      <c r="AB52" s="372"/>
      <c r="AC52" s="372"/>
      <c r="AD52" s="372"/>
      <c r="AE52" s="371"/>
      <c r="AF52" s="375"/>
      <c r="AG52" s="372"/>
      <c r="AH52" s="372"/>
      <c r="AI52" s="372"/>
      <c r="AJ52" s="373"/>
      <c r="AK52" s="374"/>
      <c r="AL52" s="372"/>
      <c r="AM52" s="372"/>
      <c r="AN52" s="372"/>
      <c r="AO52" s="371"/>
      <c r="AP52" s="375"/>
      <c r="AQ52" s="372"/>
      <c r="AR52" s="372"/>
      <c r="AS52" s="372"/>
      <c r="AT52" s="373"/>
      <c r="AU52" s="374"/>
      <c r="AV52" s="372"/>
      <c r="AW52" s="372"/>
      <c r="AX52" s="372"/>
      <c r="AY52" s="371"/>
      <c r="AZ52" s="375"/>
      <c r="BA52" s="372"/>
      <c r="BB52" s="372"/>
      <c r="BC52" s="372"/>
      <c r="BD52" s="373"/>
      <c r="BE52" s="374"/>
      <c r="BF52" s="372"/>
      <c r="BG52" s="372"/>
      <c r="BH52" s="372"/>
      <c r="BI52" s="371"/>
      <c r="BJ52" s="375"/>
      <c r="BK52" s="372"/>
      <c r="BL52" s="372"/>
      <c r="BM52" s="372"/>
      <c r="BN52" s="373"/>
      <c r="BO52" s="374"/>
      <c r="BP52" s="372"/>
      <c r="BQ52" s="372"/>
      <c r="BR52" s="372"/>
      <c r="BS52" s="371"/>
      <c r="BT52" s="375"/>
      <c r="BU52" s="372"/>
      <c r="BV52" s="372"/>
      <c r="BW52" s="372"/>
      <c r="BX52" s="373"/>
      <c r="BY52" s="374"/>
      <c r="BZ52" s="372"/>
      <c r="CA52" s="372"/>
      <c r="CB52" s="372"/>
      <c r="CC52" s="371"/>
      <c r="CD52" s="375"/>
      <c r="CE52" s="372"/>
      <c r="CF52" s="372"/>
      <c r="CG52" s="372"/>
      <c r="CH52" s="371"/>
      <c r="CI52" s="375"/>
      <c r="CJ52" s="372"/>
      <c r="CK52" s="372"/>
      <c r="CL52" s="372"/>
      <c r="CM52" s="373"/>
    </row>
    <row r="53" spans="1:91" ht="25.5" customHeight="1">
      <c r="A53" s="386">
        <v>4096</v>
      </c>
      <c r="B53" s="387" t="s">
        <v>11</v>
      </c>
      <c r="C53" s="387" t="s">
        <v>44</v>
      </c>
      <c r="D53" s="387" t="s">
        <v>76</v>
      </c>
      <c r="E53" s="372" t="s">
        <v>53</v>
      </c>
      <c r="F53" s="387"/>
      <c r="G53" s="372" t="s">
        <v>760</v>
      </c>
      <c r="H53" s="371" t="s">
        <v>54</v>
      </c>
      <c r="I53" s="375"/>
      <c r="J53" s="372"/>
      <c r="K53" s="373"/>
      <c r="L53" s="388" t="s">
        <v>78</v>
      </c>
      <c r="M53" s="387" t="s">
        <v>77</v>
      </c>
      <c r="N53" s="387"/>
      <c r="O53" s="387" t="s">
        <v>77</v>
      </c>
      <c r="P53" s="389" t="s">
        <v>77</v>
      </c>
      <c r="Q53" s="388"/>
      <c r="R53" s="387"/>
      <c r="S53" s="387"/>
      <c r="T53" s="387"/>
      <c r="U53" s="390" t="s">
        <v>80</v>
      </c>
      <c r="V53" s="386"/>
      <c r="W53" s="372"/>
      <c r="X53" s="372"/>
      <c r="Y53" s="372"/>
      <c r="Z53" s="373"/>
      <c r="AA53" s="374"/>
      <c r="AB53" s="372"/>
      <c r="AC53" s="372"/>
      <c r="AD53" s="372"/>
      <c r="AE53" s="371"/>
      <c r="AF53" s="375"/>
      <c r="AG53" s="372"/>
      <c r="AH53" s="372"/>
      <c r="AI53" s="372"/>
      <c r="AJ53" s="373"/>
      <c r="AK53" s="374"/>
      <c r="AL53" s="372"/>
      <c r="AM53" s="372"/>
      <c r="AN53" s="372"/>
      <c r="AO53" s="371"/>
      <c r="AP53" s="375"/>
      <c r="AQ53" s="372"/>
      <c r="AR53" s="372"/>
      <c r="AS53" s="372"/>
      <c r="AT53" s="373"/>
      <c r="AU53" s="374"/>
      <c r="AV53" s="372"/>
      <c r="AW53" s="372"/>
      <c r="AX53" s="372"/>
      <c r="AY53" s="371"/>
      <c r="AZ53" s="375"/>
      <c r="BA53" s="372"/>
      <c r="BB53" s="372"/>
      <c r="BC53" s="372"/>
      <c r="BD53" s="373"/>
      <c r="BE53" s="374"/>
      <c r="BF53" s="372"/>
      <c r="BG53" s="372"/>
      <c r="BH53" s="372"/>
      <c r="BI53" s="371"/>
      <c r="BJ53" s="375"/>
      <c r="BK53" s="372"/>
      <c r="BL53" s="372"/>
      <c r="BM53" s="372"/>
      <c r="BN53" s="373"/>
      <c r="BO53" s="374"/>
      <c r="BP53" s="372"/>
      <c r="BQ53" s="372"/>
      <c r="BR53" s="372"/>
      <c r="BS53" s="371"/>
      <c r="BT53" s="375"/>
      <c r="BU53" s="372"/>
      <c r="BV53" s="372"/>
      <c r="BW53" s="372"/>
      <c r="BX53" s="373"/>
      <c r="BY53" s="374"/>
      <c r="BZ53" s="372"/>
      <c r="CA53" s="372"/>
      <c r="CB53" s="372"/>
      <c r="CC53" s="371"/>
      <c r="CD53" s="375"/>
      <c r="CE53" s="372"/>
      <c r="CF53" s="372"/>
      <c r="CG53" s="372"/>
      <c r="CH53" s="371"/>
      <c r="CI53" s="375"/>
      <c r="CJ53" s="372"/>
      <c r="CK53" s="372"/>
      <c r="CL53" s="372"/>
      <c r="CM53" s="373"/>
    </row>
    <row r="54" spans="1:91" ht="25.5" customHeight="1" thickBot="1">
      <c r="A54" s="411">
        <v>4097</v>
      </c>
      <c r="B54" s="412" t="s">
        <v>11</v>
      </c>
      <c r="C54" s="412" t="s">
        <v>44</v>
      </c>
      <c r="D54" s="412" t="s">
        <v>76</v>
      </c>
      <c r="E54" s="377" t="s">
        <v>53</v>
      </c>
      <c r="F54" s="412"/>
      <c r="G54" s="377" t="s">
        <v>762</v>
      </c>
      <c r="H54" s="376" t="s">
        <v>54</v>
      </c>
      <c r="I54" s="380"/>
      <c r="J54" s="377"/>
      <c r="K54" s="378"/>
      <c r="L54" s="413" t="s">
        <v>78</v>
      </c>
      <c r="M54" s="412" t="s">
        <v>77</v>
      </c>
      <c r="N54" s="412"/>
      <c r="O54" s="412" t="s">
        <v>77</v>
      </c>
      <c r="P54" s="414" t="s">
        <v>77</v>
      </c>
      <c r="Q54" s="413"/>
      <c r="R54" s="412"/>
      <c r="S54" s="412"/>
      <c r="T54" s="412"/>
      <c r="U54" s="415" t="s">
        <v>80</v>
      </c>
      <c r="V54" s="411"/>
      <c r="W54" s="377"/>
      <c r="X54" s="377"/>
      <c r="Y54" s="377"/>
      <c r="Z54" s="378"/>
      <c r="AA54" s="379"/>
      <c r="AB54" s="377"/>
      <c r="AC54" s="377"/>
      <c r="AD54" s="377"/>
      <c r="AE54" s="376"/>
      <c r="AF54" s="380"/>
      <c r="AG54" s="377"/>
      <c r="AH54" s="377"/>
      <c r="AI54" s="377"/>
      <c r="AJ54" s="378"/>
      <c r="AK54" s="379"/>
      <c r="AL54" s="377"/>
      <c r="AM54" s="377"/>
      <c r="AN54" s="377"/>
      <c r="AO54" s="376"/>
      <c r="AP54" s="380"/>
      <c r="AQ54" s="377"/>
      <c r="AR54" s="377"/>
      <c r="AS54" s="377"/>
      <c r="AT54" s="378"/>
      <c r="AU54" s="379"/>
      <c r="AV54" s="377"/>
      <c r="AW54" s="377"/>
      <c r="AX54" s="377"/>
      <c r="AY54" s="376"/>
      <c r="AZ54" s="380"/>
      <c r="BA54" s="377"/>
      <c r="BB54" s="377"/>
      <c r="BC54" s="377"/>
      <c r="BD54" s="378"/>
      <c r="BE54" s="379"/>
      <c r="BF54" s="377"/>
      <c r="BG54" s="377"/>
      <c r="BH54" s="377"/>
      <c r="BI54" s="376"/>
      <c r="BJ54" s="380"/>
      <c r="BK54" s="377"/>
      <c r="BL54" s="377"/>
      <c r="BM54" s="377"/>
      <c r="BN54" s="378"/>
      <c r="BO54" s="379"/>
      <c r="BP54" s="377"/>
      <c r="BQ54" s="377"/>
      <c r="BR54" s="377"/>
      <c r="BS54" s="376"/>
      <c r="BT54" s="380"/>
      <c r="BU54" s="377"/>
      <c r="BV54" s="377"/>
      <c r="BW54" s="377"/>
      <c r="BX54" s="378"/>
      <c r="BY54" s="379"/>
      <c r="BZ54" s="377"/>
      <c r="CA54" s="377"/>
      <c r="CB54" s="377"/>
      <c r="CC54" s="376"/>
      <c r="CD54" s="380"/>
      <c r="CE54" s="377"/>
      <c r="CF54" s="377"/>
      <c r="CG54" s="377"/>
      <c r="CH54" s="376"/>
      <c r="CI54" s="380"/>
      <c r="CJ54" s="377"/>
      <c r="CK54" s="377"/>
      <c r="CL54" s="377"/>
      <c r="CM54" s="378"/>
    </row>
    <row r="55" spans="1:91" ht="25.5" customHeight="1">
      <c r="A55" s="416">
        <v>4098</v>
      </c>
      <c r="B55" s="417" t="s">
        <v>11</v>
      </c>
      <c r="C55" s="417" t="s">
        <v>44</v>
      </c>
      <c r="D55" s="417" t="s">
        <v>76</v>
      </c>
      <c r="E55" s="381" t="s">
        <v>53</v>
      </c>
      <c r="F55" s="417"/>
      <c r="G55" s="381" t="s">
        <v>764</v>
      </c>
      <c r="H55" s="384" t="s">
        <v>54</v>
      </c>
      <c r="I55" s="385"/>
      <c r="J55" s="381"/>
      <c r="K55" s="382"/>
      <c r="L55" s="418" t="s">
        <v>78</v>
      </c>
      <c r="M55" s="417" t="s">
        <v>77</v>
      </c>
      <c r="N55" s="417"/>
      <c r="O55" s="417" t="s">
        <v>77</v>
      </c>
      <c r="P55" s="419" t="s">
        <v>77</v>
      </c>
      <c r="Q55" s="418"/>
      <c r="R55" s="417"/>
      <c r="S55" s="417"/>
      <c r="T55" s="417"/>
      <c r="U55" s="420" t="s">
        <v>80</v>
      </c>
      <c r="V55" s="416"/>
      <c r="W55" s="381"/>
      <c r="X55" s="381"/>
      <c r="Y55" s="381"/>
      <c r="Z55" s="382"/>
      <c r="AA55" s="383"/>
      <c r="AB55" s="381"/>
      <c r="AC55" s="381"/>
      <c r="AD55" s="381"/>
      <c r="AE55" s="384"/>
      <c r="AF55" s="385"/>
      <c r="AG55" s="381"/>
      <c r="AH55" s="381"/>
      <c r="AI55" s="381"/>
      <c r="AJ55" s="382"/>
      <c r="AK55" s="383"/>
      <c r="AL55" s="381"/>
      <c r="AM55" s="381"/>
      <c r="AN55" s="381"/>
      <c r="AO55" s="384"/>
      <c r="AP55" s="385"/>
      <c r="AQ55" s="381"/>
      <c r="AR55" s="381"/>
      <c r="AS55" s="381"/>
      <c r="AT55" s="382"/>
      <c r="AU55" s="383"/>
      <c r="AV55" s="381"/>
      <c r="AW55" s="381"/>
      <c r="AX55" s="381"/>
      <c r="AY55" s="384"/>
      <c r="AZ55" s="385"/>
      <c r="BA55" s="381"/>
      <c r="BB55" s="381"/>
      <c r="BC55" s="381"/>
      <c r="BD55" s="382"/>
      <c r="BE55" s="383"/>
      <c r="BF55" s="381"/>
      <c r="BG55" s="381"/>
      <c r="BH55" s="381"/>
      <c r="BI55" s="384"/>
      <c r="BJ55" s="385"/>
      <c r="BK55" s="381"/>
      <c r="BL55" s="381"/>
      <c r="BM55" s="381"/>
      <c r="BN55" s="382"/>
      <c r="BO55" s="383"/>
      <c r="BP55" s="381"/>
      <c r="BQ55" s="381"/>
      <c r="BR55" s="381"/>
      <c r="BS55" s="384"/>
      <c r="BT55" s="385"/>
      <c r="BU55" s="381"/>
      <c r="BV55" s="381"/>
      <c r="BW55" s="381"/>
      <c r="BX55" s="382"/>
      <c r="BY55" s="383"/>
      <c r="BZ55" s="381"/>
      <c r="CA55" s="381"/>
      <c r="CB55" s="381"/>
      <c r="CC55" s="384"/>
      <c r="CD55" s="385"/>
      <c r="CE55" s="381"/>
      <c r="CF55" s="381"/>
      <c r="CG55" s="381"/>
      <c r="CH55" s="384"/>
      <c r="CI55" s="385"/>
      <c r="CJ55" s="381"/>
      <c r="CK55" s="381"/>
      <c r="CL55" s="381"/>
      <c r="CM55" s="382"/>
    </row>
    <row r="56" spans="1:91" ht="25.5" customHeight="1">
      <c r="A56" s="386">
        <v>4099</v>
      </c>
      <c r="B56" s="387" t="s">
        <v>11</v>
      </c>
      <c r="C56" s="387" t="s">
        <v>44</v>
      </c>
      <c r="D56" s="387" t="s">
        <v>76</v>
      </c>
      <c r="E56" s="372" t="s">
        <v>53</v>
      </c>
      <c r="F56" s="387"/>
      <c r="G56" s="372" t="s">
        <v>766</v>
      </c>
      <c r="H56" s="371" t="s">
        <v>54</v>
      </c>
      <c r="I56" s="375"/>
      <c r="J56" s="372"/>
      <c r="K56" s="373"/>
      <c r="L56" s="388" t="s">
        <v>78</v>
      </c>
      <c r="M56" s="387" t="s">
        <v>77</v>
      </c>
      <c r="N56" s="387"/>
      <c r="O56" s="387" t="s">
        <v>77</v>
      </c>
      <c r="P56" s="389" t="s">
        <v>77</v>
      </c>
      <c r="Q56" s="388"/>
      <c r="R56" s="387"/>
      <c r="S56" s="387"/>
      <c r="T56" s="387"/>
      <c r="U56" s="390" t="s">
        <v>80</v>
      </c>
      <c r="V56" s="386"/>
      <c r="W56" s="372"/>
      <c r="X56" s="372"/>
      <c r="Y56" s="372"/>
      <c r="Z56" s="373"/>
      <c r="AA56" s="374"/>
      <c r="AB56" s="372"/>
      <c r="AC56" s="372"/>
      <c r="AD56" s="372"/>
      <c r="AE56" s="371"/>
      <c r="AF56" s="375"/>
      <c r="AG56" s="372"/>
      <c r="AH56" s="372"/>
      <c r="AI56" s="372"/>
      <c r="AJ56" s="373"/>
      <c r="AK56" s="374"/>
      <c r="AL56" s="372"/>
      <c r="AM56" s="372"/>
      <c r="AN56" s="372"/>
      <c r="AO56" s="371"/>
      <c r="AP56" s="375"/>
      <c r="AQ56" s="372"/>
      <c r="AR56" s="372"/>
      <c r="AS56" s="372"/>
      <c r="AT56" s="373"/>
      <c r="AU56" s="374"/>
      <c r="AV56" s="372"/>
      <c r="AW56" s="372"/>
      <c r="AX56" s="372"/>
      <c r="AY56" s="371"/>
      <c r="AZ56" s="375"/>
      <c r="BA56" s="372"/>
      <c r="BB56" s="372"/>
      <c r="BC56" s="372"/>
      <c r="BD56" s="373"/>
      <c r="BE56" s="374"/>
      <c r="BF56" s="372"/>
      <c r="BG56" s="372"/>
      <c r="BH56" s="372"/>
      <c r="BI56" s="371"/>
      <c r="BJ56" s="375"/>
      <c r="BK56" s="372"/>
      <c r="BL56" s="372"/>
      <c r="BM56" s="372"/>
      <c r="BN56" s="373"/>
      <c r="BO56" s="374"/>
      <c r="BP56" s="372"/>
      <c r="BQ56" s="372"/>
      <c r="BR56" s="372"/>
      <c r="BS56" s="371"/>
      <c r="BT56" s="375"/>
      <c r="BU56" s="372"/>
      <c r="BV56" s="372"/>
      <c r="BW56" s="372"/>
      <c r="BX56" s="373"/>
      <c r="BY56" s="374"/>
      <c r="BZ56" s="372"/>
      <c r="CA56" s="372"/>
      <c r="CB56" s="372"/>
      <c r="CC56" s="371"/>
      <c r="CD56" s="375"/>
      <c r="CE56" s="372"/>
      <c r="CF56" s="372"/>
      <c r="CG56" s="372"/>
      <c r="CH56" s="371"/>
      <c r="CI56" s="375"/>
      <c r="CJ56" s="372"/>
      <c r="CK56" s="372"/>
      <c r="CL56" s="372"/>
      <c r="CM56" s="373"/>
    </row>
    <row r="57" spans="1:91" ht="25.5" customHeight="1">
      <c r="A57" s="386">
        <v>4100</v>
      </c>
      <c r="B57" s="387" t="s">
        <v>11</v>
      </c>
      <c r="C57" s="387" t="s">
        <v>44</v>
      </c>
      <c r="D57" s="387" t="s">
        <v>76</v>
      </c>
      <c r="E57" s="372" t="s">
        <v>53</v>
      </c>
      <c r="F57" s="387"/>
      <c r="G57" s="372" t="s">
        <v>768</v>
      </c>
      <c r="H57" s="371" t="s">
        <v>54</v>
      </c>
      <c r="I57" s="375"/>
      <c r="J57" s="372"/>
      <c r="K57" s="373"/>
      <c r="L57" s="388" t="s">
        <v>78</v>
      </c>
      <c r="M57" s="387" t="s">
        <v>77</v>
      </c>
      <c r="N57" s="387"/>
      <c r="O57" s="387" t="s">
        <v>77</v>
      </c>
      <c r="P57" s="389" t="s">
        <v>77</v>
      </c>
      <c r="Q57" s="388"/>
      <c r="R57" s="387"/>
      <c r="S57" s="387"/>
      <c r="T57" s="387"/>
      <c r="U57" s="390" t="s">
        <v>80</v>
      </c>
      <c r="V57" s="386"/>
      <c r="W57" s="372"/>
      <c r="X57" s="372"/>
      <c r="Y57" s="372"/>
      <c r="Z57" s="373"/>
      <c r="AA57" s="374"/>
      <c r="AB57" s="372"/>
      <c r="AC57" s="372"/>
      <c r="AD57" s="372"/>
      <c r="AE57" s="371"/>
      <c r="AF57" s="375"/>
      <c r="AG57" s="372"/>
      <c r="AH57" s="372"/>
      <c r="AI57" s="372"/>
      <c r="AJ57" s="373"/>
      <c r="AK57" s="374"/>
      <c r="AL57" s="372"/>
      <c r="AM57" s="372"/>
      <c r="AN57" s="372"/>
      <c r="AO57" s="371"/>
      <c r="AP57" s="375"/>
      <c r="AQ57" s="372"/>
      <c r="AR57" s="372"/>
      <c r="AS57" s="372"/>
      <c r="AT57" s="373"/>
      <c r="AU57" s="374"/>
      <c r="AV57" s="372"/>
      <c r="AW57" s="372"/>
      <c r="AX57" s="372"/>
      <c r="AY57" s="371"/>
      <c r="AZ57" s="375"/>
      <c r="BA57" s="372"/>
      <c r="BB57" s="372"/>
      <c r="BC57" s="372"/>
      <c r="BD57" s="373"/>
      <c r="BE57" s="374"/>
      <c r="BF57" s="372"/>
      <c r="BG57" s="372"/>
      <c r="BH57" s="372"/>
      <c r="BI57" s="371"/>
      <c r="BJ57" s="375"/>
      <c r="BK57" s="372"/>
      <c r="BL57" s="372"/>
      <c r="BM57" s="372"/>
      <c r="BN57" s="373"/>
      <c r="BO57" s="374"/>
      <c r="BP57" s="372"/>
      <c r="BQ57" s="372"/>
      <c r="BR57" s="372"/>
      <c r="BS57" s="371"/>
      <c r="BT57" s="375"/>
      <c r="BU57" s="372"/>
      <c r="BV57" s="372"/>
      <c r="BW57" s="372"/>
      <c r="BX57" s="373"/>
      <c r="BY57" s="374"/>
      <c r="BZ57" s="372"/>
      <c r="CA57" s="372"/>
      <c r="CB57" s="372"/>
      <c r="CC57" s="371"/>
      <c r="CD57" s="375"/>
      <c r="CE57" s="372"/>
      <c r="CF57" s="372"/>
      <c r="CG57" s="372"/>
      <c r="CH57" s="371"/>
      <c r="CI57" s="375"/>
      <c r="CJ57" s="372"/>
      <c r="CK57" s="372"/>
      <c r="CL57" s="372"/>
      <c r="CM57" s="373"/>
    </row>
    <row r="58" spans="1:91" ht="25.5" customHeight="1">
      <c r="A58" s="386">
        <v>4101</v>
      </c>
      <c r="B58" s="387" t="s">
        <v>11</v>
      </c>
      <c r="C58" s="387" t="s">
        <v>44</v>
      </c>
      <c r="D58" s="387" t="s">
        <v>76</v>
      </c>
      <c r="E58" s="372" t="s">
        <v>53</v>
      </c>
      <c r="F58" s="387"/>
      <c r="G58" s="372" t="s">
        <v>770</v>
      </c>
      <c r="H58" s="371" t="s">
        <v>54</v>
      </c>
      <c r="I58" s="375"/>
      <c r="J58" s="372"/>
      <c r="K58" s="373"/>
      <c r="L58" s="388" t="s">
        <v>78</v>
      </c>
      <c r="M58" s="387" t="s">
        <v>77</v>
      </c>
      <c r="N58" s="387"/>
      <c r="O58" s="387" t="s">
        <v>77</v>
      </c>
      <c r="P58" s="389" t="s">
        <v>77</v>
      </c>
      <c r="Q58" s="388"/>
      <c r="R58" s="387"/>
      <c r="S58" s="387"/>
      <c r="T58" s="387"/>
      <c r="U58" s="390" t="s">
        <v>80</v>
      </c>
      <c r="V58" s="386"/>
      <c r="W58" s="372"/>
      <c r="X58" s="372"/>
      <c r="Y58" s="372"/>
      <c r="Z58" s="373"/>
      <c r="AA58" s="374"/>
      <c r="AB58" s="372"/>
      <c r="AC58" s="372"/>
      <c r="AD58" s="372"/>
      <c r="AE58" s="371"/>
      <c r="AF58" s="375"/>
      <c r="AG58" s="372"/>
      <c r="AH58" s="372"/>
      <c r="AI58" s="372"/>
      <c r="AJ58" s="373"/>
      <c r="AK58" s="374"/>
      <c r="AL58" s="372"/>
      <c r="AM58" s="372"/>
      <c r="AN58" s="372"/>
      <c r="AO58" s="371"/>
      <c r="AP58" s="375"/>
      <c r="AQ58" s="372"/>
      <c r="AR58" s="372"/>
      <c r="AS58" s="372"/>
      <c r="AT58" s="373"/>
      <c r="AU58" s="374"/>
      <c r="AV58" s="372"/>
      <c r="AW58" s="372"/>
      <c r="AX58" s="372"/>
      <c r="AY58" s="371"/>
      <c r="AZ58" s="375"/>
      <c r="BA58" s="372"/>
      <c r="BB58" s="372"/>
      <c r="BC58" s="372"/>
      <c r="BD58" s="373"/>
      <c r="BE58" s="374"/>
      <c r="BF58" s="372"/>
      <c r="BG58" s="372"/>
      <c r="BH58" s="372"/>
      <c r="BI58" s="371"/>
      <c r="BJ58" s="375"/>
      <c r="BK58" s="372"/>
      <c r="BL58" s="372"/>
      <c r="BM58" s="372"/>
      <c r="BN58" s="373"/>
      <c r="BO58" s="374"/>
      <c r="BP58" s="372"/>
      <c r="BQ58" s="372"/>
      <c r="BR58" s="372"/>
      <c r="BS58" s="371"/>
      <c r="BT58" s="375"/>
      <c r="BU58" s="372"/>
      <c r="BV58" s="372"/>
      <c r="BW58" s="372"/>
      <c r="BX58" s="373"/>
      <c r="BY58" s="374"/>
      <c r="BZ58" s="372"/>
      <c r="CA58" s="372"/>
      <c r="CB58" s="372"/>
      <c r="CC58" s="371"/>
      <c r="CD58" s="375"/>
      <c r="CE58" s="372"/>
      <c r="CF58" s="372"/>
      <c r="CG58" s="372"/>
      <c r="CH58" s="371"/>
      <c r="CI58" s="375"/>
      <c r="CJ58" s="372"/>
      <c r="CK58" s="372"/>
      <c r="CL58" s="372"/>
      <c r="CM58" s="373"/>
    </row>
    <row r="59" spans="1:91" ht="25.5" customHeight="1" thickBot="1">
      <c r="A59" s="411">
        <v>4102</v>
      </c>
      <c r="B59" s="412" t="s">
        <v>11</v>
      </c>
      <c r="C59" s="412" t="s">
        <v>44</v>
      </c>
      <c r="D59" s="412" t="s">
        <v>76</v>
      </c>
      <c r="E59" s="377" t="s">
        <v>53</v>
      </c>
      <c r="F59" s="412"/>
      <c r="G59" s="377" t="s">
        <v>772</v>
      </c>
      <c r="H59" s="376" t="s">
        <v>54</v>
      </c>
      <c r="I59" s="380"/>
      <c r="J59" s="377"/>
      <c r="K59" s="378"/>
      <c r="L59" s="413" t="s">
        <v>78</v>
      </c>
      <c r="M59" s="412" t="s">
        <v>77</v>
      </c>
      <c r="N59" s="412"/>
      <c r="O59" s="412" t="s">
        <v>77</v>
      </c>
      <c r="P59" s="414" t="s">
        <v>77</v>
      </c>
      <c r="Q59" s="413"/>
      <c r="R59" s="412"/>
      <c r="S59" s="412"/>
      <c r="T59" s="412"/>
      <c r="U59" s="415" t="s">
        <v>80</v>
      </c>
      <c r="V59" s="411"/>
      <c r="W59" s="377"/>
      <c r="X59" s="377"/>
      <c r="Y59" s="377"/>
      <c r="Z59" s="378"/>
      <c r="AA59" s="379"/>
      <c r="AB59" s="377"/>
      <c r="AC59" s="377"/>
      <c r="AD59" s="377"/>
      <c r="AE59" s="376"/>
      <c r="AF59" s="380"/>
      <c r="AG59" s="377"/>
      <c r="AH59" s="377"/>
      <c r="AI59" s="377"/>
      <c r="AJ59" s="378"/>
      <c r="AK59" s="379"/>
      <c r="AL59" s="377"/>
      <c r="AM59" s="377"/>
      <c r="AN59" s="377"/>
      <c r="AO59" s="376"/>
      <c r="AP59" s="380"/>
      <c r="AQ59" s="377"/>
      <c r="AR59" s="377"/>
      <c r="AS59" s="377"/>
      <c r="AT59" s="378"/>
      <c r="AU59" s="379"/>
      <c r="AV59" s="377"/>
      <c r="AW59" s="377"/>
      <c r="AX59" s="377"/>
      <c r="AY59" s="376"/>
      <c r="AZ59" s="380"/>
      <c r="BA59" s="377"/>
      <c r="BB59" s="377"/>
      <c r="BC59" s="377"/>
      <c r="BD59" s="378"/>
      <c r="BE59" s="379"/>
      <c r="BF59" s="377"/>
      <c r="BG59" s="377"/>
      <c r="BH59" s="377"/>
      <c r="BI59" s="376"/>
      <c r="BJ59" s="380"/>
      <c r="BK59" s="377"/>
      <c r="BL59" s="377"/>
      <c r="BM59" s="377"/>
      <c r="BN59" s="378"/>
      <c r="BO59" s="379"/>
      <c r="BP59" s="377"/>
      <c r="BQ59" s="377"/>
      <c r="BR59" s="377"/>
      <c r="BS59" s="376"/>
      <c r="BT59" s="380"/>
      <c r="BU59" s="377"/>
      <c r="BV59" s="377"/>
      <c r="BW59" s="377"/>
      <c r="BX59" s="378"/>
      <c r="BY59" s="379"/>
      <c r="BZ59" s="377"/>
      <c r="CA59" s="377"/>
      <c r="CB59" s="377"/>
      <c r="CC59" s="376"/>
      <c r="CD59" s="380"/>
      <c r="CE59" s="377"/>
      <c r="CF59" s="377"/>
      <c r="CG59" s="377"/>
      <c r="CH59" s="376"/>
      <c r="CI59" s="380"/>
      <c r="CJ59" s="377"/>
      <c r="CK59" s="377"/>
      <c r="CL59" s="377"/>
      <c r="CM59" s="378"/>
    </row>
    <row r="60" spans="1:91" ht="15" customHeight="1" thickBot="1">
      <c r="A60" s="48"/>
      <c r="B60" s="179"/>
      <c r="C60" s="180"/>
      <c r="D60" s="181"/>
      <c r="E60" s="17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50"/>
      <c r="CH60" s="50"/>
      <c r="CI60" s="50"/>
      <c r="CJ60" s="50"/>
      <c r="CK60" s="50"/>
      <c r="CL60" s="50"/>
      <c r="CM60" s="51"/>
    </row>
    <row r="61" spans="1:91" ht="25.5" customHeight="1" thickBot="1">
      <c r="A61" s="275" t="s">
        <v>31</v>
      </c>
      <c r="B61" s="276"/>
      <c r="C61" s="277"/>
      <c r="D61" s="192"/>
      <c r="E61" s="278" t="s">
        <v>32</v>
      </c>
      <c r="F61" s="276"/>
      <c r="G61" s="277"/>
      <c r="H61" s="193" t="s">
        <v>8</v>
      </c>
      <c r="I61" s="192" t="s">
        <v>9</v>
      </c>
      <c r="J61" s="192" t="s">
        <v>33</v>
      </c>
      <c r="K61" s="192" t="s">
        <v>10</v>
      </c>
      <c r="L61" s="291"/>
      <c r="M61" s="292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  <c r="AA61" s="292"/>
      <c r="AB61" s="292"/>
      <c r="AC61" s="292"/>
      <c r="AD61" s="292"/>
      <c r="AE61" s="292"/>
      <c r="AF61" s="292"/>
      <c r="AG61" s="292"/>
      <c r="AH61" s="292"/>
      <c r="AI61" s="292"/>
      <c r="AJ61" s="292"/>
      <c r="AK61" s="292"/>
      <c r="AL61" s="292"/>
      <c r="AM61" s="292"/>
      <c r="AN61" s="292"/>
      <c r="AO61" s="292"/>
      <c r="AP61" s="292"/>
      <c r="AQ61" s="292"/>
      <c r="AR61" s="292"/>
      <c r="AS61" s="292"/>
      <c r="AT61" s="292"/>
      <c r="AU61" s="292"/>
      <c r="AV61" s="292"/>
      <c r="AW61" s="292"/>
      <c r="AX61" s="292"/>
      <c r="AY61" s="292"/>
      <c r="AZ61" s="292"/>
      <c r="BA61" s="292"/>
      <c r="BB61" s="292"/>
      <c r="BC61" s="292"/>
      <c r="BD61" s="292"/>
      <c r="BE61" s="293"/>
      <c r="BF61" s="300"/>
      <c r="BG61" s="300"/>
      <c r="BH61" s="300"/>
      <c r="BI61" s="300"/>
      <c r="BJ61" s="300"/>
      <c r="BK61" s="300"/>
      <c r="BL61" s="300"/>
      <c r="BM61" s="300"/>
      <c r="BN61" s="300"/>
      <c r="BO61" s="300"/>
      <c r="BP61" s="300"/>
      <c r="BQ61" s="300"/>
      <c r="BR61" s="300"/>
      <c r="BS61" s="300"/>
      <c r="BT61" s="300"/>
      <c r="BU61" s="301"/>
      <c r="BV61" s="291"/>
      <c r="BW61" s="247"/>
      <c r="BX61" s="247"/>
      <c r="BY61" s="247"/>
      <c r="BZ61" s="247"/>
      <c r="CA61" s="247"/>
      <c r="CB61" s="247"/>
      <c r="CC61" s="247"/>
      <c r="CD61" s="247"/>
      <c r="CE61" s="247"/>
      <c r="CF61" s="247"/>
      <c r="CG61" s="247"/>
      <c r="CH61" s="247"/>
      <c r="CI61" s="247"/>
      <c r="CJ61" s="247"/>
      <c r="CK61" s="247"/>
      <c r="CL61" s="247"/>
      <c r="CM61" s="248"/>
    </row>
    <row r="62" spans="1:91" ht="25.5" customHeight="1">
      <c r="A62" s="288"/>
      <c r="B62" s="289"/>
      <c r="C62" s="289"/>
      <c r="D62" s="52"/>
      <c r="E62" s="290"/>
      <c r="F62" s="290"/>
      <c r="G62" s="290"/>
      <c r="H62" s="53"/>
      <c r="I62" s="53"/>
      <c r="J62" s="53"/>
      <c r="K62" s="54"/>
      <c r="L62" s="294"/>
      <c r="M62" s="295"/>
      <c r="N62" s="295"/>
      <c r="O62" s="295"/>
      <c r="P62" s="295"/>
      <c r="Q62" s="295"/>
      <c r="R62" s="295"/>
      <c r="S62" s="295"/>
      <c r="T62" s="295"/>
      <c r="U62" s="295"/>
      <c r="V62" s="295"/>
      <c r="W62" s="295"/>
      <c r="X62" s="295"/>
      <c r="Y62" s="295"/>
      <c r="Z62" s="295"/>
      <c r="AA62" s="295"/>
      <c r="AB62" s="295"/>
      <c r="AC62" s="295"/>
      <c r="AD62" s="295"/>
      <c r="AE62" s="295"/>
      <c r="AF62" s="295"/>
      <c r="AG62" s="295"/>
      <c r="AH62" s="295"/>
      <c r="AI62" s="295"/>
      <c r="AJ62" s="295"/>
      <c r="AK62" s="295"/>
      <c r="AL62" s="295"/>
      <c r="AM62" s="295"/>
      <c r="AN62" s="295"/>
      <c r="AO62" s="295"/>
      <c r="AP62" s="295"/>
      <c r="AQ62" s="295"/>
      <c r="AR62" s="295"/>
      <c r="AS62" s="295"/>
      <c r="AT62" s="295"/>
      <c r="AU62" s="295"/>
      <c r="AV62" s="295"/>
      <c r="AW62" s="295"/>
      <c r="AX62" s="295"/>
      <c r="AY62" s="295"/>
      <c r="AZ62" s="295"/>
      <c r="BA62" s="295"/>
      <c r="BB62" s="295"/>
      <c r="BC62" s="295"/>
      <c r="BD62" s="295"/>
      <c r="BE62" s="296"/>
      <c r="BF62" s="302"/>
      <c r="BG62" s="302"/>
      <c r="BH62" s="302"/>
      <c r="BI62" s="302"/>
      <c r="BJ62" s="302"/>
      <c r="BK62" s="302"/>
      <c r="BL62" s="302"/>
      <c r="BM62" s="302"/>
      <c r="BN62" s="302"/>
      <c r="BO62" s="302"/>
      <c r="BP62" s="302"/>
      <c r="BQ62" s="302"/>
      <c r="BR62" s="302"/>
      <c r="BS62" s="302"/>
      <c r="BT62" s="302"/>
      <c r="BU62" s="303"/>
      <c r="BV62" s="306"/>
      <c r="BW62" s="249"/>
      <c r="BX62" s="249"/>
      <c r="BY62" s="249"/>
      <c r="BZ62" s="249"/>
      <c r="CA62" s="249"/>
      <c r="CB62" s="249"/>
      <c r="CC62" s="249"/>
      <c r="CD62" s="249"/>
      <c r="CE62" s="249"/>
      <c r="CF62" s="249"/>
      <c r="CG62" s="249"/>
      <c r="CH62" s="249"/>
      <c r="CI62" s="249"/>
      <c r="CJ62" s="249"/>
      <c r="CK62" s="249"/>
      <c r="CL62" s="249"/>
      <c r="CM62" s="250"/>
    </row>
    <row r="63" spans="1:91" ht="25.5" customHeight="1" thickBot="1">
      <c r="A63" s="288"/>
      <c r="B63" s="289"/>
      <c r="C63" s="289"/>
      <c r="D63" s="52"/>
      <c r="E63" s="290"/>
      <c r="F63" s="290"/>
      <c r="G63" s="290"/>
      <c r="H63" s="53"/>
      <c r="I63" s="53"/>
      <c r="J63" s="53"/>
      <c r="K63" s="54"/>
      <c r="L63" s="294"/>
      <c r="M63" s="295"/>
      <c r="N63" s="295"/>
      <c r="O63" s="295"/>
      <c r="P63" s="295"/>
      <c r="Q63" s="295"/>
      <c r="R63" s="295"/>
      <c r="S63" s="295"/>
      <c r="T63" s="295"/>
      <c r="U63" s="295"/>
      <c r="V63" s="295"/>
      <c r="W63" s="295"/>
      <c r="X63" s="295"/>
      <c r="Y63" s="295"/>
      <c r="Z63" s="295"/>
      <c r="AA63" s="295"/>
      <c r="AB63" s="295"/>
      <c r="AC63" s="295"/>
      <c r="AD63" s="295"/>
      <c r="AE63" s="295"/>
      <c r="AF63" s="295"/>
      <c r="AG63" s="295"/>
      <c r="AH63" s="295"/>
      <c r="AI63" s="295"/>
      <c r="AJ63" s="295"/>
      <c r="AK63" s="295"/>
      <c r="AL63" s="295"/>
      <c r="AM63" s="295"/>
      <c r="AN63" s="295"/>
      <c r="AO63" s="295"/>
      <c r="AP63" s="295"/>
      <c r="AQ63" s="295"/>
      <c r="AR63" s="295"/>
      <c r="AS63" s="295"/>
      <c r="AT63" s="295"/>
      <c r="AU63" s="295"/>
      <c r="AV63" s="295"/>
      <c r="AW63" s="295"/>
      <c r="AX63" s="295"/>
      <c r="AY63" s="295"/>
      <c r="AZ63" s="295"/>
      <c r="BA63" s="295"/>
      <c r="BB63" s="295"/>
      <c r="BC63" s="295"/>
      <c r="BD63" s="295"/>
      <c r="BE63" s="296"/>
      <c r="BF63" s="304"/>
      <c r="BG63" s="304"/>
      <c r="BH63" s="304"/>
      <c r="BI63" s="304"/>
      <c r="BJ63" s="304"/>
      <c r="BK63" s="304"/>
      <c r="BL63" s="304"/>
      <c r="BM63" s="304"/>
      <c r="BN63" s="304"/>
      <c r="BO63" s="304"/>
      <c r="BP63" s="304"/>
      <c r="BQ63" s="304"/>
      <c r="BR63" s="304"/>
      <c r="BS63" s="304"/>
      <c r="BT63" s="304"/>
      <c r="BU63" s="305"/>
      <c r="BV63" s="263"/>
      <c r="BW63" s="251"/>
      <c r="BX63" s="251"/>
      <c r="BY63" s="251"/>
      <c r="BZ63" s="251"/>
      <c r="CA63" s="251"/>
      <c r="CB63" s="251"/>
      <c r="CC63" s="251"/>
      <c r="CD63" s="251"/>
      <c r="CE63" s="251"/>
      <c r="CF63" s="251"/>
      <c r="CG63" s="251"/>
      <c r="CH63" s="251"/>
      <c r="CI63" s="251"/>
      <c r="CJ63" s="251"/>
      <c r="CK63" s="251"/>
      <c r="CL63" s="251"/>
      <c r="CM63" s="252"/>
    </row>
    <row r="64" spans="1:91" ht="27" customHeight="1">
      <c r="A64" s="288"/>
      <c r="B64" s="289"/>
      <c r="C64" s="289"/>
      <c r="D64" s="52"/>
      <c r="E64" s="290"/>
      <c r="F64" s="290"/>
      <c r="G64" s="290"/>
      <c r="H64" s="53"/>
      <c r="I64" s="53"/>
      <c r="J64" s="53"/>
      <c r="K64" s="54"/>
      <c r="L64" s="294"/>
      <c r="M64" s="295"/>
      <c r="N64" s="295"/>
      <c r="O64" s="295"/>
      <c r="P64" s="295"/>
      <c r="Q64" s="295"/>
      <c r="R64" s="295"/>
      <c r="S64" s="295"/>
      <c r="T64" s="295"/>
      <c r="U64" s="295"/>
      <c r="V64" s="295"/>
      <c r="W64" s="295"/>
      <c r="X64" s="295"/>
      <c r="Y64" s="295"/>
      <c r="Z64" s="295"/>
      <c r="AA64" s="295"/>
      <c r="AB64" s="295"/>
      <c r="AC64" s="295"/>
      <c r="AD64" s="295"/>
      <c r="AE64" s="295"/>
      <c r="AF64" s="295"/>
      <c r="AG64" s="295"/>
      <c r="AH64" s="295"/>
      <c r="AI64" s="295"/>
      <c r="AJ64" s="295"/>
      <c r="AK64" s="295"/>
      <c r="AL64" s="295"/>
      <c r="AM64" s="295"/>
      <c r="AN64" s="295"/>
      <c r="AO64" s="295"/>
      <c r="AP64" s="295"/>
      <c r="AQ64" s="295"/>
      <c r="AR64" s="295"/>
      <c r="AS64" s="295"/>
      <c r="AT64" s="295"/>
      <c r="AU64" s="295"/>
      <c r="AV64" s="295"/>
      <c r="AW64" s="295"/>
      <c r="AX64" s="295"/>
      <c r="AY64" s="295"/>
      <c r="AZ64" s="295"/>
      <c r="BA64" s="295"/>
      <c r="BB64" s="295"/>
      <c r="BC64" s="295"/>
      <c r="BD64" s="295"/>
      <c r="BE64" s="296"/>
      <c r="BF64" s="247" t="s">
        <v>89</v>
      </c>
      <c r="BG64" s="247"/>
      <c r="BH64" s="247"/>
      <c r="BI64" s="247"/>
      <c r="BJ64" s="247"/>
      <c r="BK64" s="247"/>
      <c r="BL64" s="247"/>
      <c r="BM64" s="247"/>
      <c r="BN64" s="247"/>
      <c r="BO64" s="247"/>
      <c r="BP64" s="247"/>
      <c r="BQ64" s="247"/>
      <c r="BR64" s="247"/>
      <c r="BS64" s="247"/>
      <c r="BT64" s="247"/>
      <c r="BU64" s="248"/>
      <c r="BV64" s="279" t="s">
        <v>90</v>
      </c>
      <c r="BW64" s="280"/>
      <c r="BX64" s="280"/>
      <c r="BY64" s="280"/>
      <c r="BZ64" s="280"/>
      <c r="CA64" s="280"/>
      <c r="CB64" s="280"/>
      <c r="CC64" s="280"/>
      <c r="CD64" s="280"/>
      <c r="CE64" s="280"/>
      <c r="CF64" s="280"/>
      <c r="CG64" s="280"/>
      <c r="CH64" s="280"/>
      <c r="CI64" s="280"/>
      <c r="CJ64" s="280"/>
      <c r="CK64" s="280"/>
      <c r="CL64" s="280"/>
      <c r="CM64" s="281"/>
    </row>
    <row r="65" spans="1:91" ht="25.5" customHeight="1">
      <c r="A65" s="288"/>
      <c r="B65" s="289"/>
      <c r="C65" s="289"/>
      <c r="D65" s="52"/>
      <c r="E65" s="290"/>
      <c r="F65" s="290"/>
      <c r="G65" s="290"/>
      <c r="H65" s="53"/>
      <c r="I65" s="53"/>
      <c r="J65" s="53"/>
      <c r="K65" s="54"/>
      <c r="L65" s="294"/>
      <c r="M65" s="295"/>
      <c r="N65" s="295"/>
      <c r="O65" s="295"/>
      <c r="P65" s="295"/>
      <c r="Q65" s="295"/>
      <c r="R65" s="295"/>
      <c r="S65" s="295"/>
      <c r="T65" s="295"/>
      <c r="U65" s="295"/>
      <c r="V65" s="295"/>
      <c r="W65" s="295"/>
      <c r="X65" s="295"/>
      <c r="Y65" s="295"/>
      <c r="Z65" s="295"/>
      <c r="AA65" s="295"/>
      <c r="AB65" s="295"/>
      <c r="AC65" s="295"/>
      <c r="AD65" s="295"/>
      <c r="AE65" s="295"/>
      <c r="AF65" s="295"/>
      <c r="AG65" s="295"/>
      <c r="AH65" s="295"/>
      <c r="AI65" s="295"/>
      <c r="AJ65" s="295"/>
      <c r="AK65" s="295"/>
      <c r="AL65" s="295"/>
      <c r="AM65" s="295"/>
      <c r="AN65" s="295"/>
      <c r="AO65" s="295"/>
      <c r="AP65" s="295"/>
      <c r="AQ65" s="295"/>
      <c r="AR65" s="295"/>
      <c r="AS65" s="295"/>
      <c r="AT65" s="295"/>
      <c r="AU65" s="295"/>
      <c r="AV65" s="295"/>
      <c r="AW65" s="295"/>
      <c r="AX65" s="295"/>
      <c r="AY65" s="295"/>
      <c r="AZ65" s="295"/>
      <c r="BA65" s="295"/>
      <c r="BB65" s="295"/>
      <c r="BC65" s="295"/>
      <c r="BD65" s="295"/>
      <c r="BE65" s="296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50"/>
      <c r="BV65" s="282"/>
      <c r="BW65" s="283"/>
      <c r="BX65" s="283"/>
      <c r="BY65" s="283"/>
      <c r="BZ65" s="283"/>
      <c r="CA65" s="283"/>
      <c r="CB65" s="283"/>
      <c r="CC65" s="283"/>
      <c r="CD65" s="283"/>
      <c r="CE65" s="283"/>
      <c r="CF65" s="283"/>
      <c r="CG65" s="283"/>
      <c r="CH65" s="283"/>
      <c r="CI65" s="283"/>
      <c r="CJ65" s="283"/>
      <c r="CK65" s="283"/>
      <c r="CL65" s="283"/>
      <c r="CM65" s="284"/>
    </row>
    <row r="66" spans="1:91" ht="25.5" customHeight="1" thickBot="1">
      <c r="A66" s="288"/>
      <c r="B66" s="289"/>
      <c r="C66" s="289"/>
      <c r="D66" s="52"/>
      <c r="E66" s="290"/>
      <c r="F66" s="290"/>
      <c r="G66" s="290"/>
      <c r="H66" s="53"/>
      <c r="I66" s="53"/>
      <c r="J66" s="53"/>
      <c r="K66" s="54"/>
      <c r="L66" s="294"/>
      <c r="M66" s="295"/>
      <c r="N66" s="295"/>
      <c r="O66" s="295"/>
      <c r="P66" s="295"/>
      <c r="Q66" s="295"/>
      <c r="R66" s="295"/>
      <c r="S66" s="295"/>
      <c r="T66" s="295"/>
      <c r="U66" s="295"/>
      <c r="V66" s="295"/>
      <c r="W66" s="295"/>
      <c r="X66" s="295"/>
      <c r="Y66" s="295"/>
      <c r="Z66" s="295"/>
      <c r="AA66" s="295"/>
      <c r="AB66" s="295"/>
      <c r="AC66" s="295"/>
      <c r="AD66" s="295"/>
      <c r="AE66" s="295"/>
      <c r="AF66" s="295"/>
      <c r="AG66" s="295"/>
      <c r="AH66" s="295"/>
      <c r="AI66" s="295"/>
      <c r="AJ66" s="295"/>
      <c r="AK66" s="295"/>
      <c r="AL66" s="295"/>
      <c r="AM66" s="295"/>
      <c r="AN66" s="295"/>
      <c r="AO66" s="295"/>
      <c r="AP66" s="295"/>
      <c r="AQ66" s="295"/>
      <c r="AR66" s="295"/>
      <c r="AS66" s="295"/>
      <c r="AT66" s="295"/>
      <c r="AU66" s="295"/>
      <c r="AV66" s="295"/>
      <c r="AW66" s="295"/>
      <c r="AX66" s="295"/>
      <c r="AY66" s="295"/>
      <c r="AZ66" s="295"/>
      <c r="BA66" s="295"/>
      <c r="BB66" s="295"/>
      <c r="BC66" s="295"/>
      <c r="BD66" s="295"/>
      <c r="BE66" s="296"/>
      <c r="BF66" s="251"/>
      <c r="BG66" s="251"/>
      <c r="BH66" s="251"/>
      <c r="BI66" s="251"/>
      <c r="BJ66" s="251"/>
      <c r="BK66" s="251"/>
      <c r="BL66" s="251"/>
      <c r="BM66" s="251"/>
      <c r="BN66" s="251"/>
      <c r="BO66" s="251"/>
      <c r="BP66" s="251"/>
      <c r="BQ66" s="251"/>
      <c r="BR66" s="251"/>
      <c r="BS66" s="251"/>
      <c r="BT66" s="251"/>
      <c r="BU66" s="252"/>
      <c r="BV66" s="285"/>
      <c r="BW66" s="286"/>
      <c r="BX66" s="286"/>
      <c r="BY66" s="286"/>
      <c r="BZ66" s="286"/>
      <c r="CA66" s="286"/>
      <c r="CB66" s="286"/>
      <c r="CC66" s="286"/>
      <c r="CD66" s="286"/>
      <c r="CE66" s="286"/>
      <c r="CF66" s="286"/>
      <c r="CG66" s="286"/>
      <c r="CH66" s="286"/>
      <c r="CI66" s="286"/>
      <c r="CJ66" s="286"/>
      <c r="CK66" s="286"/>
      <c r="CL66" s="286"/>
      <c r="CM66" s="287"/>
    </row>
    <row r="67" spans="1:91" ht="25.5" customHeight="1">
      <c r="A67" s="255" t="e">
        <f>IF(#REF!&lt;&gt;"",#REF!,"")</f>
        <v>#REF!</v>
      </c>
      <c r="B67" s="256"/>
      <c r="C67" s="256"/>
      <c r="D67" s="185"/>
      <c r="E67" s="257" t="e">
        <f>IF(#REF!&lt;&gt;"",#REF!,"")</f>
        <v>#REF!</v>
      </c>
      <c r="F67" s="257"/>
      <c r="G67" s="257"/>
      <c r="H67" s="186" t="e">
        <f>IF(#REF!&lt;&gt;"",#REF!,"")</f>
        <v>#REF!</v>
      </c>
      <c r="I67" s="186" t="e">
        <f>IF(#REF!&lt;&gt;"",#REF!,"")</f>
        <v>#REF!</v>
      </c>
      <c r="J67" s="186" t="e">
        <f>IF(#REF!&lt;&gt;"",#REF!,"")</f>
        <v>#REF!</v>
      </c>
      <c r="K67" s="187" t="e">
        <f>IF(#REF!&lt;&gt;"",#REF!,"")</f>
        <v>#REF!</v>
      </c>
      <c r="L67" s="294"/>
      <c r="M67" s="295"/>
      <c r="N67" s="295"/>
      <c r="O67" s="295"/>
      <c r="P67" s="295"/>
      <c r="Q67" s="295"/>
      <c r="R67" s="295"/>
      <c r="S67" s="295"/>
      <c r="T67" s="295"/>
      <c r="U67" s="295"/>
      <c r="V67" s="295"/>
      <c r="W67" s="295"/>
      <c r="X67" s="295"/>
      <c r="Y67" s="295"/>
      <c r="Z67" s="295"/>
      <c r="AA67" s="295"/>
      <c r="AB67" s="295"/>
      <c r="AC67" s="295"/>
      <c r="AD67" s="295"/>
      <c r="AE67" s="295"/>
      <c r="AF67" s="295"/>
      <c r="AG67" s="295"/>
      <c r="AH67" s="295"/>
      <c r="AI67" s="295"/>
      <c r="AJ67" s="295"/>
      <c r="AK67" s="295"/>
      <c r="AL67" s="295"/>
      <c r="AM67" s="295"/>
      <c r="AN67" s="295"/>
      <c r="AO67" s="295"/>
      <c r="AP67" s="295"/>
      <c r="AQ67" s="295"/>
      <c r="AR67" s="295"/>
      <c r="AS67" s="295"/>
      <c r="AT67" s="295"/>
      <c r="AU67" s="295"/>
      <c r="AV67" s="295"/>
      <c r="AW67" s="295"/>
      <c r="AX67" s="295"/>
      <c r="AY67" s="295"/>
      <c r="AZ67" s="295"/>
      <c r="BA67" s="295"/>
      <c r="BB67" s="295"/>
      <c r="BC67" s="295"/>
      <c r="BD67" s="295"/>
      <c r="BE67" s="296"/>
      <c r="BF67" s="272" t="s">
        <v>34</v>
      </c>
      <c r="BG67" s="272"/>
      <c r="BH67" s="272"/>
      <c r="BI67" s="272"/>
      <c r="BJ67" s="272"/>
      <c r="BK67" s="272"/>
      <c r="BL67" s="272"/>
      <c r="BM67" s="272"/>
      <c r="BN67" s="272"/>
      <c r="BO67" s="272"/>
      <c r="BP67" s="272"/>
      <c r="BQ67" s="272"/>
      <c r="BR67" s="272"/>
      <c r="BS67" s="272"/>
      <c r="BT67" s="272"/>
      <c r="BU67" s="254"/>
      <c r="BV67" s="273" t="s">
        <v>35</v>
      </c>
      <c r="BW67" s="272"/>
      <c r="BX67" s="274"/>
      <c r="BY67" s="253" t="s">
        <v>36</v>
      </c>
      <c r="BZ67" s="272"/>
      <c r="CA67" s="272"/>
      <c r="CB67" s="272"/>
      <c r="CC67" s="272"/>
      <c r="CD67" s="272"/>
      <c r="CE67" s="272"/>
      <c r="CF67" s="272"/>
      <c r="CG67" s="272"/>
      <c r="CH67" s="272"/>
      <c r="CI67" s="272"/>
      <c r="CJ67" s="272"/>
      <c r="CK67" s="274"/>
      <c r="CL67" s="253" t="s">
        <v>37</v>
      </c>
      <c r="CM67" s="254"/>
    </row>
    <row r="68" spans="1:91" ht="25.5" customHeight="1">
      <c r="A68" s="255" t="e">
        <f>IF(#REF!&lt;&gt;"",#REF!,"")</f>
        <v>#REF!</v>
      </c>
      <c r="B68" s="256"/>
      <c r="C68" s="256"/>
      <c r="D68" s="185"/>
      <c r="E68" s="257" t="e">
        <f>IF(#REF!&lt;&gt;"",#REF!,"")</f>
        <v>#REF!</v>
      </c>
      <c r="F68" s="257"/>
      <c r="G68" s="257"/>
      <c r="H68" s="186" t="e">
        <f>IF(#REF!&lt;&gt;"",#REF!,"")</f>
        <v>#REF!</v>
      </c>
      <c r="I68" s="186" t="e">
        <f>IF(#REF!&lt;&gt;"",#REF!,"")</f>
        <v>#REF!</v>
      </c>
      <c r="J68" s="186" t="e">
        <f>IF(#REF!&lt;&gt;"",#REF!,"")</f>
        <v>#REF!</v>
      </c>
      <c r="K68" s="187" t="e">
        <f>IF(#REF!&lt;&gt;"",#REF!,"")</f>
        <v>#REF!</v>
      </c>
      <c r="L68" s="294"/>
      <c r="M68" s="295"/>
      <c r="N68" s="295"/>
      <c r="O68" s="295"/>
      <c r="P68" s="295"/>
      <c r="Q68" s="295"/>
      <c r="R68" s="295"/>
      <c r="S68" s="295"/>
      <c r="T68" s="295"/>
      <c r="U68" s="295"/>
      <c r="V68" s="295"/>
      <c r="W68" s="295"/>
      <c r="X68" s="295"/>
      <c r="Y68" s="295"/>
      <c r="Z68" s="295"/>
      <c r="AA68" s="295"/>
      <c r="AB68" s="295"/>
      <c r="AC68" s="295"/>
      <c r="AD68" s="295"/>
      <c r="AE68" s="295"/>
      <c r="AF68" s="295"/>
      <c r="AG68" s="295"/>
      <c r="AH68" s="295"/>
      <c r="AI68" s="295"/>
      <c r="AJ68" s="295"/>
      <c r="AK68" s="295"/>
      <c r="AL68" s="295"/>
      <c r="AM68" s="295"/>
      <c r="AN68" s="295"/>
      <c r="AO68" s="295"/>
      <c r="AP68" s="295"/>
      <c r="AQ68" s="295"/>
      <c r="AR68" s="295"/>
      <c r="AS68" s="295"/>
      <c r="AT68" s="295"/>
      <c r="AU68" s="295"/>
      <c r="AV68" s="295"/>
      <c r="AW68" s="295"/>
      <c r="AX68" s="295"/>
      <c r="AY68" s="295"/>
      <c r="AZ68" s="295"/>
      <c r="BA68" s="295"/>
      <c r="BB68" s="295"/>
      <c r="BC68" s="295"/>
      <c r="BD68" s="295"/>
      <c r="BE68" s="296"/>
      <c r="BF68" s="258" t="s">
        <v>5</v>
      </c>
      <c r="BG68" s="259"/>
      <c r="BH68" s="259"/>
      <c r="BI68" s="259"/>
      <c r="BJ68" s="259"/>
      <c r="BK68" s="259"/>
      <c r="BL68" s="259"/>
      <c r="BM68" s="259"/>
      <c r="BN68" s="259"/>
      <c r="BO68" s="259"/>
      <c r="BP68" s="259"/>
      <c r="BQ68" s="259"/>
      <c r="BR68" s="259"/>
      <c r="BS68" s="259"/>
      <c r="BT68" s="259"/>
      <c r="BU68" s="260"/>
      <c r="BV68" s="261" t="s">
        <v>12</v>
      </c>
      <c r="BW68" s="259"/>
      <c r="BX68" s="262"/>
      <c r="BY68" s="265" t="s">
        <v>1696</v>
      </c>
      <c r="BZ68" s="266"/>
      <c r="CA68" s="266"/>
      <c r="CB68" s="266"/>
      <c r="CC68" s="266"/>
      <c r="CD68" s="266"/>
      <c r="CE68" s="266"/>
      <c r="CF68" s="266"/>
      <c r="CG68" s="266"/>
      <c r="CH68" s="266"/>
      <c r="CI68" s="266"/>
      <c r="CJ68" s="266"/>
      <c r="CK68" s="267"/>
      <c r="CL68" s="227" t="s">
        <v>11</v>
      </c>
      <c r="CM68" s="260"/>
    </row>
    <row r="69" spans="1:91" ht="25.5" customHeight="1" thickBot="1">
      <c r="A69" s="255" t="e">
        <f>IF(#REF!&lt;&gt;"",#REF!,"")</f>
        <v>#REF!</v>
      </c>
      <c r="B69" s="256"/>
      <c r="C69" s="256"/>
      <c r="D69" s="185"/>
      <c r="E69" s="257" t="e">
        <f>IF(#REF!&lt;&gt;"",#REF!,"")</f>
        <v>#REF!</v>
      </c>
      <c r="F69" s="257"/>
      <c r="G69" s="257"/>
      <c r="H69" s="186" t="e">
        <f>IF(#REF!&lt;&gt;"",#REF!,"")</f>
        <v>#REF!</v>
      </c>
      <c r="I69" s="186" t="e">
        <f>IF(#REF!&lt;&gt;"",#REF!,"")</f>
        <v>#REF!</v>
      </c>
      <c r="J69" s="186" t="e">
        <f>IF(#REF!&lt;&gt;"",#REF!,"")</f>
        <v>#REF!</v>
      </c>
      <c r="K69" s="187" t="e">
        <f>IF(#REF!&lt;&gt;"",#REF!,"")</f>
        <v>#REF!</v>
      </c>
      <c r="L69" s="297"/>
      <c r="M69" s="298"/>
      <c r="N69" s="298"/>
      <c r="O69" s="298"/>
      <c r="P69" s="298"/>
      <c r="Q69" s="298"/>
      <c r="R69" s="298"/>
      <c r="S69" s="298"/>
      <c r="T69" s="298"/>
      <c r="U69" s="298"/>
      <c r="V69" s="298"/>
      <c r="W69" s="298"/>
      <c r="X69" s="298"/>
      <c r="Y69" s="298"/>
      <c r="Z69" s="298"/>
      <c r="AA69" s="298"/>
      <c r="AB69" s="298"/>
      <c r="AC69" s="298"/>
      <c r="AD69" s="298"/>
      <c r="AE69" s="298"/>
      <c r="AF69" s="298"/>
      <c r="AG69" s="298"/>
      <c r="AH69" s="298"/>
      <c r="AI69" s="298"/>
      <c r="AJ69" s="298"/>
      <c r="AK69" s="298"/>
      <c r="AL69" s="298"/>
      <c r="AM69" s="298"/>
      <c r="AN69" s="298"/>
      <c r="AO69" s="298"/>
      <c r="AP69" s="298"/>
      <c r="AQ69" s="298"/>
      <c r="AR69" s="298"/>
      <c r="AS69" s="298"/>
      <c r="AT69" s="298"/>
      <c r="AU69" s="298"/>
      <c r="AV69" s="298"/>
      <c r="AW69" s="298"/>
      <c r="AX69" s="298"/>
      <c r="AY69" s="298"/>
      <c r="AZ69" s="298"/>
      <c r="BA69" s="298"/>
      <c r="BB69" s="298"/>
      <c r="BC69" s="298"/>
      <c r="BD69" s="298"/>
      <c r="BE69" s="299"/>
      <c r="BF69" s="251"/>
      <c r="BG69" s="251"/>
      <c r="BH69" s="251"/>
      <c r="BI69" s="251"/>
      <c r="BJ69" s="251"/>
      <c r="BK69" s="251"/>
      <c r="BL69" s="251"/>
      <c r="BM69" s="251"/>
      <c r="BN69" s="251"/>
      <c r="BO69" s="251"/>
      <c r="BP69" s="251"/>
      <c r="BQ69" s="251"/>
      <c r="BR69" s="251"/>
      <c r="BS69" s="251"/>
      <c r="BT69" s="251"/>
      <c r="BU69" s="252"/>
      <c r="BV69" s="263"/>
      <c r="BW69" s="251"/>
      <c r="BX69" s="264"/>
      <c r="BY69" s="268"/>
      <c r="BZ69" s="269"/>
      <c r="CA69" s="269"/>
      <c r="CB69" s="269"/>
      <c r="CC69" s="269"/>
      <c r="CD69" s="269"/>
      <c r="CE69" s="269"/>
      <c r="CF69" s="269"/>
      <c r="CG69" s="269"/>
      <c r="CH69" s="269"/>
      <c r="CI69" s="269"/>
      <c r="CJ69" s="269"/>
      <c r="CK69" s="270"/>
      <c r="CL69" s="271"/>
      <c r="CM69" s="252"/>
    </row>
    <row r="70" spans="1:91" ht="12" customHeight="1">
      <c r="A70" s="55"/>
      <c r="B70" s="56"/>
      <c r="C70" s="56"/>
      <c r="D70" s="56"/>
      <c r="E70" s="57"/>
      <c r="F70" s="58"/>
      <c r="G70" s="58"/>
      <c r="H70" s="58"/>
      <c r="I70" s="59"/>
      <c r="BL70" s="17"/>
      <c r="BM70" s="17"/>
      <c r="BN70" s="17"/>
      <c r="BO70" s="17"/>
      <c r="BP70" s="17"/>
      <c r="BQ70" s="17"/>
      <c r="BR70" s="17"/>
      <c r="BS70" s="17"/>
      <c r="BT70" s="61"/>
      <c r="CD70" s="57"/>
      <c r="CE70" s="57"/>
      <c r="CF70" s="57"/>
      <c r="CG70" s="57"/>
      <c r="CH70" s="57"/>
      <c r="CI70" s="57"/>
      <c r="CJ70" s="57"/>
      <c r="CK70" s="57"/>
      <c r="CL70" s="57"/>
      <c r="CM70" s="57"/>
    </row>
  </sheetData>
  <mergeCells count="45"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BV64:CM66"/>
    <mergeCell ref="A65:C65"/>
    <mergeCell ref="E65:G65"/>
    <mergeCell ref="A66:C66"/>
    <mergeCell ref="E66:G66"/>
    <mergeCell ref="A67:C67"/>
    <mergeCell ref="E67:G67"/>
    <mergeCell ref="BF67:BU67"/>
    <mergeCell ref="BV67:BX67"/>
    <mergeCell ref="BY67:CK67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BF64:BU66"/>
    <mergeCell ref="G7:G9"/>
    <mergeCell ref="H7:H9"/>
    <mergeCell ref="I7:K7"/>
    <mergeCell ref="J8:K8"/>
    <mergeCell ref="A61:C61"/>
    <mergeCell ref="E61:G61"/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29" orientation="landscape" r:id="rId1"/>
  <headerFooter alignWithMargins="0">
    <oddFooter xml:space="preserve">&amp;L&amp;Z&amp;F&amp;C&amp;D&amp;RConcise DesignShutdown Key 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DQ70"/>
  <sheetViews>
    <sheetView showGridLines="0" view="pageBreakPreview" topLeftCell="C1" zoomScale="50" zoomScaleNormal="50" zoomScaleSheetLayoutView="50" zoomScalePageLayoutView="50" workbookViewId="0">
      <selection activeCell="I1" sqref="I1:K9"/>
    </sheetView>
  </sheetViews>
  <sheetFormatPr defaultColWidth="12.7109375" defaultRowHeight="12" customHeight="1"/>
  <cols>
    <col min="1" max="1" width="8.7109375" style="21" hidden="1" customWidth="1"/>
    <col min="2" max="2" width="7.42578125" style="21" hidden="1" customWidth="1"/>
    <col min="3" max="3" width="19" style="21" customWidth="1"/>
    <col min="4" max="4" width="25.42578125" style="21" hidden="1" customWidth="1"/>
    <col min="5" max="5" width="95.85546875" style="27" bestFit="1" customWidth="1"/>
    <col min="6" max="6" width="18.42578125" style="196" hidden="1" customWidth="1"/>
    <col min="7" max="7" width="31.5703125" style="196" bestFit="1" customWidth="1"/>
    <col min="8" max="8" width="33" style="196" bestFit="1" customWidth="1"/>
    <col min="9" max="10" width="8.42578125" style="41" customWidth="1"/>
    <col min="11" max="11" width="10.85546875" style="41" bestFit="1" customWidth="1"/>
    <col min="12" max="12" width="6.140625" style="60" hidden="1" customWidth="1"/>
    <col min="13" max="14" width="6.140625" style="27" customWidth="1"/>
    <col min="15" max="16" width="6.140625" style="27" hidden="1" customWidth="1"/>
    <col min="17" max="21" width="6.140625" style="27" customWidth="1"/>
    <col min="22" max="22" width="6.140625" style="60" customWidth="1"/>
    <col min="23" max="31" width="6.140625" style="27" customWidth="1"/>
    <col min="32" max="32" width="6.140625" style="60" customWidth="1"/>
    <col min="33" max="41" width="6.140625" style="27" customWidth="1"/>
    <col min="42" max="42" width="6.140625" style="60" customWidth="1"/>
    <col min="43" max="51" width="6.140625" style="27" customWidth="1"/>
    <col min="52" max="52" width="6.140625" style="60" customWidth="1"/>
    <col min="53" max="61" width="6.140625" style="27" customWidth="1"/>
    <col min="62" max="62" width="6.140625" style="60" customWidth="1"/>
    <col min="63" max="71" width="6.140625" style="27" customWidth="1"/>
    <col min="72" max="72" width="6.140625" style="60" customWidth="1"/>
    <col min="73" max="80" width="6.140625" style="27" customWidth="1"/>
    <col min="81" max="81" width="6.140625" style="62" customWidth="1"/>
    <col min="82" max="91" width="6.140625" style="27" customWidth="1"/>
    <col min="92" max="16384" width="12.7109375" style="27"/>
  </cols>
  <sheetData>
    <row r="1" spans="1:121" s="194" customFormat="1" ht="20.25" customHeight="1">
      <c r="A1" s="15"/>
      <c r="B1" s="16"/>
      <c r="C1" s="16"/>
      <c r="D1" s="16"/>
      <c r="E1" s="17"/>
      <c r="F1" s="195"/>
      <c r="G1" s="195"/>
      <c r="H1" s="195"/>
      <c r="I1" s="18"/>
      <c r="J1" s="19" t="s">
        <v>13</v>
      </c>
      <c r="K1" s="20"/>
      <c r="L1" s="407">
        <v>1</v>
      </c>
      <c r="M1" s="402">
        <v>2</v>
      </c>
      <c r="N1" s="402">
        <v>3</v>
      </c>
      <c r="O1" s="402">
        <v>4</v>
      </c>
      <c r="P1" s="408">
        <v>6</v>
      </c>
      <c r="Q1" s="407">
        <v>7</v>
      </c>
      <c r="R1" s="402">
        <v>238</v>
      </c>
      <c r="S1" s="402">
        <v>889</v>
      </c>
      <c r="T1" s="402">
        <v>887</v>
      </c>
      <c r="U1" s="409">
        <v>888</v>
      </c>
      <c r="V1" s="401">
        <v>231</v>
      </c>
      <c r="W1" s="403">
        <v>7777</v>
      </c>
      <c r="X1" s="403"/>
      <c r="Y1" s="403"/>
      <c r="Z1" s="406"/>
      <c r="AA1" s="410"/>
      <c r="AB1" s="403"/>
      <c r="AC1" s="403"/>
      <c r="AD1" s="403"/>
      <c r="AE1" s="404"/>
      <c r="AF1" s="405"/>
      <c r="AG1" s="403"/>
      <c r="AH1" s="403"/>
      <c r="AI1" s="403"/>
      <c r="AJ1" s="406"/>
      <c r="AK1" s="410"/>
      <c r="AL1" s="403"/>
      <c r="AM1" s="403"/>
      <c r="AN1" s="403"/>
      <c r="AO1" s="404"/>
      <c r="AP1" s="405"/>
      <c r="AQ1" s="403"/>
      <c r="AR1" s="403"/>
      <c r="AS1" s="403"/>
      <c r="AT1" s="406"/>
      <c r="AU1" s="410"/>
      <c r="AV1" s="403"/>
      <c r="AW1" s="403"/>
      <c r="AX1" s="403"/>
      <c r="AY1" s="404"/>
      <c r="AZ1" s="405"/>
      <c r="BA1" s="403"/>
      <c r="BB1" s="403"/>
      <c r="BC1" s="403"/>
      <c r="BD1" s="406"/>
      <c r="BE1" s="410"/>
      <c r="BF1" s="403"/>
      <c r="BG1" s="403"/>
      <c r="BH1" s="403"/>
      <c r="BI1" s="404"/>
      <c r="BJ1" s="405"/>
      <c r="BK1" s="403"/>
      <c r="BL1" s="403"/>
      <c r="BM1" s="403"/>
      <c r="BN1" s="406"/>
      <c r="BO1" s="410"/>
      <c r="BP1" s="403"/>
      <c r="BQ1" s="403"/>
      <c r="BR1" s="403"/>
      <c r="BS1" s="404"/>
      <c r="BT1" s="405"/>
      <c r="BU1" s="403"/>
      <c r="BV1" s="403"/>
      <c r="BW1" s="403"/>
      <c r="BX1" s="406"/>
      <c r="BY1" s="410"/>
      <c r="BZ1" s="403"/>
      <c r="CA1" s="403"/>
      <c r="CB1" s="403"/>
      <c r="CC1" s="404"/>
      <c r="CD1" s="405"/>
      <c r="CE1" s="403"/>
      <c r="CF1" s="403"/>
      <c r="CG1" s="403"/>
      <c r="CH1" s="404"/>
      <c r="CI1" s="405"/>
      <c r="CJ1" s="403"/>
      <c r="CK1" s="403"/>
      <c r="CL1" s="403"/>
      <c r="CM1" s="406"/>
      <c r="CN1" s="21"/>
      <c r="CO1" s="21"/>
      <c r="CP1" s="21"/>
      <c r="CQ1" s="21"/>
      <c r="CR1" s="21"/>
      <c r="CS1" s="21"/>
      <c r="CT1" s="21"/>
      <c r="CU1" s="21"/>
      <c r="CV1" s="21"/>
      <c r="CW1" s="21"/>
      <c r="CX1" s="21"/>
      <c r="CY1" s="21"/>
      <c r="CZ1" s="21"/>
      <c r="DA1" s="21"/>
      <c r="DB1" s="21"/>
      <c r="DC1" s="21"/>
      <c r="DD1" s="21"/>
      <c r="DE1" s="21"/>
      <c r="DF1" s="21"/>
      <c r="DG1" s="21"/>
      <c r="DH1" s="21"/>
      <c r="DI1" s="21"/>
      <c r="DJ1" s="21"/>
      <c r="DK1" s="21"/>
      <c r="DL1" s="21"/>
      <c r="DM1" s="21"/>
      <c r="DN1" s="21"/>
      <c r="DO1" s="21"/>
      <c r="DP1" s="21"/>
      <c r="DQ1" s="21"/>
    </row>
    <row r="2" spans="1:121" s="194" customFormat="1" ht="24" customHeight="1" thickBot="1">
      <c r="A2" s="22"/>
      <c r="B2" s="21"/>
      <c r="C2" s="21"/>
      <c r="D2" s="21"/>
      <c r="F2" s="196"/>
      <c r="G2" s="196"/>
      <c r="H2" s="196"/>
      <c r="I2" s="23"/>
      <c r="J2" s="24" t="s">
        <v>14</v>
      </c>
      <c r="K2" s="25"/>
      <c r="L2" s="388" t="s">
        <v>11</v>
      </c>
      <c r="M2" s="387" t="s">
        <v>11</v>
      </c>
      <c r="N2" s="387" t="s">
        <v>11</v>
      </c>
      <c r="O2" s="387" t="s">
        <v>11</v>
      </c>
      <c r="P2" s="389" t="s">
        <v>11</v>
      </c>
      <c r="Q2" s="388" t="s">
        <v>77</v>
      </c>
      <c r="R2" s="387" t="s">
        <v>11</v>
      </c>
      <c r="S2" s="387" t="s">
        <v>11</v>
      </c>
      <c r="T2" s="387" t="s">
        <v>11</v>
      </c>
      <c r="U2" s="390" t="s">
        <v>11</v>
      </c>
      <c r="V2" s="386" t="s">
        <v>11</v>
      </c>
      <c r="W2" s="372" t="s">
        <v>11</v>
      </c>
      <c r="X2" s="372"/>
      <c r="Y2" s="372"/>
      <c r="Z2" s="373"/>
      <c r="AA2" s="374"/>
      <c r="AB2" s="372"/>
      <c r="AC2" s="372"/>
      <c r="AD2" s="372"/>
      <c r="AE2" s="371"/>
      <c r="AF2" s="375"/>
      <c r="AG2" s="372"/>
      <c r="AH2" s="372"/>
      <c r="AI2" s="372"/>
      <c r="AJ2" s="373"/>
      <c r="AK2" s="374"/>
      <c r="AL2" s="372"/>
      <c r="AM2" s="372"/>
      <c r="AN2" s="372"/>
      <c r="AO2" s="371"/>
      <c r="AP2" s="375"/>
      <c r="AQ2" s="372"/>
      <c r="AR2" s="372"/>
      <c r="AS2" s="372"/>
      <c r="AT2" s="373"/>
      <c r="AU2" s="374"/>
      <c r="AV2" s="372"/>
      <c r="AW2" s="372"/>
      <c r="AX2" s="372"/>
      <c r="AY2" s="371"/>
      <c r="AZ2" s="375"/>
      <c r="BA2" s="372"/>
      <c r="BB2" s="372"/>
      <c r="BC2" s="372"/>
      <c r="BD2" s="373"/>
      <c r="BE2" s="374"/>
      <c r="BF2" s="372"/>
      <c r="BG2" s="372"/>
      <c r="BH2" s="372"/>
      <c r="BI2" s="371"/>
      <c r="BJ2" s="375"/>
      <c r="BK2" s="372"/>
      <c r="BL2" s="372"/>
      <c r="BM2" s="372"/>
      <c r="BN2" s="373"/>
      <c r="BO2" s="374"/>
      <c r="BP2" s="372"/>
      <c r="BQ2" s="372"/>
      <c r="BR2" s="372"/>
      <c r="BS2" s="371"/>
      <c r="BT2" s="375"/>
      <c r="BU2" s="372"/>
      <c r="BV2" s="372"/>
      <c r="BW2" s="372"/>
      <c r="BX2" s="373"/>
      <c r="BY2" s="374"/>
      <c r="BZ2" s="372"/>
      <c r="CA2" s="372"/>
      <c r="CB2" s="372"/>
      <c r="CC2" s="371"/>
      <c r="CD2" s="375"/>
      <c r="CE2" s="372"/>
      <c r="CF2" s="372"/>
      <c r="CG2" s="372"/>
      <c r="CH2" s="371"/>
      <c r="CI2" s="375"/>
      <c r="CJ2" s="372"/>
      <c r="CK2" s="372"/>
      <c r="CL2" s="372"/>
      <c r="CM2" s="373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  <c r="DO2" s="26"/>
      <c r="DP2" s="26"/>
      <c r="DQ2" s="21"/>
    </row>
    <row r="3" spans="1:121" ht="111" customHeight="1">
      <c r="A3" s="22"/>
      <c r="I3" s="307" t="s">
        <v>15</v>
      </c>
      <c r="J3" s="308"/>
      <c r="K3" s="309"/>
      <c r="L3" s="421" t="s">
        <v>76</v>
      </c>
      <c r="M3" s="422" t="s">
        <v>76</v>
      </c>
      <c r="N3" s="422" t="s">
        <v>76</v>
      </c>
      <c r="O3" s="422" t="s">
        <v>76</v>
      </c>
      <c r="P3" s="423" t="s">
        <v>76</v>
      </c>
      <c r="Q3" s="421"/>
      <c r="R3" s="422" t="s">
        <v>16</v>
      </c>
      <c r="S3" s="422" t="s">
        <v>44</v>
      </c>
      <c r="T3" s="422" t="s">
        <v>44</v>
      </c>
      <c r="U3" s="424" t="s">
        <v>44</v>
      </c>
      <c r="V3" s="425" t="s">
        <v>44</v>
      </c>
      <c r="W3" s="372" t="s">
        <v>93</v>
      </c>
      <c r="X3" s="372"/>
      <c r="Y3" s="372"/>
      <c r="Z3" s="373"/>
      <c r="AA3" s="374"/>
      <c r="AB3" s="372"/>
      <c r="AC3" s="372"/>
      <c r="AD3" s="372"/>
      <c r="AE3" s="371"/>
      <c r="AF3" s="375"/>
      <c r="AG3" s="372"/>
      <c r="AH3" s="372"/>
      <c r="AI3" s="372"/>
      <c r="AJ3" s="373"/>
      <c r="AK3" s="374"/>
      <c r="AL3" s="372"/>
      <c r="AM3" s="372"/>
      <c r="AN3" s="372"/>
      <c r="AO3" s="371"/>
      <c r="AP3" s="375"/>
      <c r="AQ3" s="372"/>
      <c r="AR3" s="372"/>
      <c r="AS3" s="372"/>
      <c r="AT3" s="373"/>
      <c r="AU3" s="374"/>
      <c r="AV3" s="372"/>
      <c r="AW3" s="372"/>
      <c r="AX3" s="372"/>
      <c r="AY3" s="371"/>
      <c r="AZ3" s="375"/>
      <c r="BA3" s="372"/>
      <c r="BB3" s="372"/>
      <c r="BC3" s="372"/>
      <c r="BD3" s="373"/>
      <c r="BE3" s="374"/>
      <c r="BF3" s="372"/>
      <c r="BG3" s="372"/>
      <c r="BH3" s="372"/>
      <c r="BI3" s="371"/>
      <c r="BJ3" s="375"/>
      <c r="BK3" s="372"/>
      <c r="BL3" s="372"/>
      <c r="BM3" s="372"/>
      <c r="BN3" s="373"/>
      <c r="BO3" s="374"/>
      <c r="BP3" s="372"/>
      <c r="BQ3" s="372"/>
      <c r="BR3" s="372"/>
      <c r="BS3" s="371"/>
      <c r="BT3" s="375"/>
      <c r="BU3" s="372"/>
      <c r="BV3" s="372"/>
      <c r="BW3" s="372"/>
      <c r="BX3" s="373"/>
      <c r="BY3" s="374"/>
      <c r="BZ3" s="372"/>
      <c r="CA3" s="372"/>
      <c r="CB3" s="372"/>
      <c r="CC3" s="371"/>
      <c r="CD3" s="375"/>
      <c r="CE3" s="372"/>
      <c r="CF3" s="372"/>
      <c r="CG3" s="372"/>
      <c r="CH3" s="371"/>
      <c r="CI3" s="375"/>
      <c r="CJ3" s="372"/>
      <c r="CK3" s="372"/>
      <c r="CL3" s="372"/>
      <c r="CM3" s="373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</row>
    <row r="4" spans="1:121" s="29" customFormat="1" ht="156.75" customHeight="1">
      <c r="A4" s="22"/>
      <c r="B4" s="21"/>
      <c r="C4" s="21"/>
      <c r="D4" s="21"/>
      <c r="F4" s="21"/>
      <c r="G4" s="21"/>
      <c r="H4" s="30"/>
      <c r="I4" s="310" t="s">
        <v>17</v>
      </c>
      <c r="J4" s="311"/>
      <c r="K4" s="312"/>
      <c r="L4" s="421" t="s">
        <v>76</v>
      </c>
      <c r="M4" s="422" t="s">
        <v>76</v>
      </c>
      <c r="N4" s="422" t="s">
        <v>76</v>
      </c>
      <c r="O4" s="422" t="s">
        <v>76</v>
      </c>
      <c r="P4" s="423" t="s">
        <v>76</v>
      </c>
      <c r="Q4" s="421" t="s">
        <v>77</v>
      </c>
      <c r="R4" s="422" t="s">
        <v>76</v>
      </c>
      <c r="S4" s="422" t="s">
        <v>76</v>
      </c>
      <c r="T4" s="422" t="s">
        <v>76</v>
      </c>
      <c r="U4" s="424" t="s">
        <v>76</v>
      </c>
      <c r="V4" s="425" t="s">
        <v>76</v>
      </c>
      <c r="W4" s="372" t="s">
        <v>93</v>
      </c>
      <c r="X4" s="372"/>
      <c r="Y4" s="372"/>
      <c r="Z4" s="373"/>
      <c r="AA4" s="374"/>
      <c r="AB4" s="372"/>
      <c r="AC4" s="372"/>
      <c r="AD4" s="372"/>
      <c r="AE4" s="371"/>
      <c r="AF4" s="375"/>
      <c r="AG4" s="372"/>
      <c r="AH4" s="372"/>
      <c r="AI4" s="372"/>
      <c r="AJ4" s="373"/>
      <c r="AK4" s="374"/>
      <c r="AL4" s="372"/>
      <c r="AM4" s="372"/>
      <c r="AN4" s="372"/>
      <c r="AO4" s="371"/>
      <c r="AP4" s="375"/>
      <c r="AQ4" s="372"/>
      <c r="AR4" s="372"/>
      <c r="AS4" s="372"/>
      <c r="AT4" s="373"/>
      <c r="AU4" s="374"/>
      <c r="AV4" s="372"/>
      <c r="AW4" s="372"/>
      <c r="AX4" s="372"/>
      <c r="AY4" s="371"/>
      <c r="AZ4" s="375"/>
      <c r="BA4" s="372"/>
      <c r="BB4" s="372"/>
      <c r="BC4" s="372"/>
      <c r="BD4" s="373"/>
      <c r="BE4" s="374"/>
      <c r="BF4" s="372"/>
      <c r="BG4" s="372"/>
      <c r="BH4" s="372"/>
      <c r="BI4" s="371"/>
      <c r="BJ4" s="375"/>
      <c r="BK4" s="372"/>
      <c r="BL4" s="372"/>
      <c r="BM4" s="372"/>
      <c r="BN4" s="373"/>
      <c r="BO4" s="374"/>
      <c r="BP4" s="372"/>
      <c r="BQ4" s="372"/>
      <c r="BR4" s="372"/>
      <c r="BS4" s="371"/>
      <c r="BT4" s="375"/>
      <c r="BU4" s="372"/>
      <c r="BV4" s="372"/>
      <c r="BW4" s="372"/>
      <c r="BX4" s="373"/>
      <c r="BY4" s="374"/>
      <c r="BZ4" s="372"/>
      <c r="CA4" s="372"/>
      <c r="CB4" s="372"/>
      <c r="CC4" s="371"/>
      <c r="CD4" s="375"/>
      <c r="CE4" s="372"/>
      <c r="CF4" s="372"/>
      <c r="CG4" s="372"/>
      <c r="CH4" s="371"/>
      <c r="CI4" s="375"/>
      <c r="CJ4" s="372"/>
      <c r="CK4" s="372"/>
      <c r="CL4" s="372"/>
      <c r="CM4" s="373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6"/>
      <c r="DF4" s="28"/>
      <c r="DG4" s="26"/>
      <c r="DH4" s="28"/>
      <c r="DI4" s="26"/>
      <c r="DJ4" s="28"/>
      <c r="DK4" s="26"/>
      <c r="DL4" s="28"/>
      <c r="DM4" s="26"/>
      <c r="DN4" s="28"/>
      <c r="DO4" s="26"/>
      <c r="DP4" s="28"/>
      <c r="DQ4" s="28"/>
    </row>
    <row r="5" spans="1:121" s="21" customFormat="1" ht="408" customHeight="1">
      <c r="A5" s="22"/>
      <c r="H5" s="30" t="s">
        <v>18</v>
      </c>
      <c r="I5" s="203" t="s">
        <v>7</v>
      </c>
      <c r="J5" s="204"/>
      <c r="K5" s="313"/>
      <c r="L5" s="426" t="s">
        <v>69</v>
      </c>
      <c r="M5" s="427" t="s">
        <v>72</v>
      </c>
      <c r="N5" s="427" t="s">
        <v>71</v>
      </c>
      <c r="O5" s="427" t="s">
        <v>83</v>
      </c>
      <c r="P5" s="428" t="s">
        <v>82</v>
      </c>
      <c r="Q5" s="426"/>
      <c r="R5" s="427" t="s">
        <v>56</v>
      </c>
      <c r="S5" s="427" t="s">
        <v>59</v>
      </c>
      <c r="T5" s="427" t="s">
        <v>57</v>
      </c>
      <c r="U5" s="429" t="s">
        <v>58</v>
      </c>
      <c r="V5" s="430" t="s">
        <v>55</v>
      </c>
      <c r="W5" s="372" t="s">
        <v>93</v>
      </c>
      <c r="X5" s="372"/>
      <c r="Y5" s="372"/>
      <c r="Z5" s="373"/>
      <c r="AA5" s="374"/>
      <c r="AB5" s="372"/>
      <c r="AC5" s="372"/>
      <c r="AD5" s="372"/>
      <c r="AE5" s="371"/>
      <c r="AF5" s="375"/>
      <c r="AG5" s="372"/>
      <c r="AH5" s="372"/>
      <c r="AI5" s="372"/>
      <c r="AJ5" s="373"/>
      <c r="AK5" s="374"/>
      <c r="AL5" s="372"/>
      <c r="AM5" s="372"/>
      <c r="AN5" s="372"/>
      <c r="AO5" s="371"/>
      <c r="AP5" s="375"/>
      <c r="AQ5" s="372"/>
      <c r="AR5" s="372"/>
      <c r="AS5" s="372"/>
      <c r="AT5" s="373"/>
      <c r="AU5" s="374"/>
      <c r="AV5" s="372"/>
      <c r="AW5" s="372"/>
      <c r="AX5" s="372"/>
      <c r="AY5" s="371"/>
      <c r="AZ5" s="375"/>
      <c r="BA5" s="372"/>
      <c r="BB5" s="372"/>
      <c r="BC5" s="372"/>
      <c r="BD5" s="373"/>
      <c r="BE5" s="374"/>
      <c r="BF5" s="372"/>
      <c r="BG5" s="372"/>
      <c r="BH5" s="372"/>
      <c r="BI5" s="371"/>
      <c r="BJ5" s="375"/>
      <c r="BK5" s="372"/>
      <c r="BL5" s="372"/>
      <c r="BM5" s="372"/>
      <c r="BN5" s="373"/>
      <c r="BO5" s="374"/>
      <c r="BP5" s="372"/>
      <c r="BQ5" s="372"/>
      <c r="BR5" s="372"/>
      <c r="BS5" s="371"/>
      <c r="BT5" s="375"/>
      <c r="BU5" s="372"/>
      <c r="BV5" s="372"/>
      <c r="BW5" s="372"/>
      <c r="BX5" s="373"/>
      <c r="BY5" s="374"/>
      <c r="BZ5" s="372"/>
      <c r="CA5" s="372"/>
      <c r="CB5" s="372"/>
      <c r="CC5" s="371"/>
      <c r="CD5" s="375"/>
      <c r="CE5" s="372"/>
      <c r="CF5" s="372"/>
      <c r="CG5" s="372"/>
      <c r="CH5" s="371"/>
      <c r="CI5" s="375"/>
      <c r="CJ5" s="372"/>
      <c r="CK5" s="372"/>
      <c r="CL5" s="372"/>
      <c r="CM5" s="373"/>
      <c r="CN5" s="31"/>
      <c r="CO5" s="32"/>
      <c r="CP5" s="31"/>
      <c r="CQ5" s="32"/>
      <c r="CR5" s="31"/>
      <c r="CS5" s="32"/>
      <c r="CT5" s="31"/>
      <c r="CU5" s="32"/>
      <c r="CV5" s="31"/>
      <c r="CW5" s="33"/>
      <c r="CX5" s="31"/>
      <c r="CY5" s="33"/>
      <c r="CZ5" s="31"/>
      <c r="DA5" s="31"/>
      <c r="DB5" s="31"/>
      <c r="DC5" s="32"/>
      <c r="DD5" s="31"/>
      <c r="DE5" s="31"/>
      <c r="DF5" s="31"/>
      <c r="DG5" s="31"/>
      <c r="DH5" s="31"/>
      <c r="DI5" s="31"/>
      <c r="DJ5" s="31"/>
      <c r="DK5" s="32"/>
      <c r="DL5" s="31"/>
      <c r="DM5" s="33"/>
      <c r="DN5" s="31"/>
      <c r="DO5" s="31"/>
      <c r="DP5" s="31"/>
      <c r="DQ5" s="33"/>
    </row>
    <row r="6" spans="1:121" s="21" customFormat="1" ht="140.25" customHeight="1" thickBot="1">
      <c r="A6" s="22"/>
      <c r="D6" s="197"/>
      <c r="E6" s="197" t="s">
        <v>19</v>
      </c>
      <c r="I6" s="232" t="s">
        <v>20</v>
      </c>
      <c r="J6" s="233"/>
      <c r="K6" s="314"/>
      <c r="L6" s="431" t="s">
        <v>66</v>
      </c>
      <c r="M6" s="432" t="s">
        <v>64</v>
      </c>
      <c r="N6" s="432" t="s">
        <v>65</v>
      </c>
      <c r="O6" s="432" t="s">
        <v>67</v>
      </c>
      <c r="P6" s="433" t="s">
        <v>68</v>
      </c>
      <c r="Q6" s="431"/>
      <c r="R6" s="432" t="s">
        <v>21</v>
      </c>
      <c r="S6" s="432" t="s">
        <v>63</v>
      </c>
      <c r="T6" s="432" t="s">
        <v>61</v>
      </c>
      <c r="U6" s="434" t="s">
        <v>62</v>
      </c>
      <c r="V6" s="435" t="s">
        <v>60</v>
      </c>
      <c r="W6" s="393" t="s">
        <v>92</v>
      </c>
      <c r="X6" s="393"/>
      <c r="Y6" s="393"/>
      <c r="Z6" s="396"/>
      <c r="AA6" s="400"/>
      <c r="AB6" s="393"/>
      <c r="AC6" s="393"/>
      <c r="AD6" s="393"/>
      <c r="AE6" s="394"/>
      <c r="AF6" s="395"/>
      <c r="AG6" s="393"/>
      <c r="AH6" s="393"/>
      <c r="AI6" s="393"/>
      <c r="AJ6" s="396"/>
      <c r="AK6" s="400"/>
      <c r="AL6" s="393"/>
      <c r="AM6" s="393"/>
      <c r="AN6" s="393"/>
      <c r="AO6" s="394"/>
      <c r="AP6" s="395"/>
      <c r="AQ6" s="393"/>
      <c r="AR6" s="393"/>
      <c r="AS6" s="393"/>
      <c r="AT6" s="396"/>
      <c r="AU6" s="400"/>
      <c r="AV6" s="393"/>
      <c r="AW6" s="393"/>
      <c r="AX6" s="393"/>
      <c r="AY6" s="394"/>
      <c r="AZ6" s="395"/>
      <c r="BA6" s="393"/>
      <c r="BB6" s="393"/>
      <c r="BC6" s="393"/>
      <c r="BD6" s="396"/>
      <c r="BE6" s="400"/>
      <c r="BF6" s="393"/>
      <c r="BG6" s="393"/>
      <c r="BH6" s="393"/>
      <c r="BI6" s="394"/>
      <c r="BJ6" s="395"/>
      <c r="BK6" s="393"/>
      <c r="BL6" s="393"/>
      <c r="BM6" s="393"/>
      <c r="BN6" s="396"/>
      <c r="BO6" s="400"/>
      <c r="BP6" s="393"/>
      <c r="BQ6" s="393"/>
      <c r="BR6" s="393"/>
      <c r="BS6" s="394"/>
      <c r="BT6" s="395"/>
      <c r="BU6" s="393"/>
      <c r="BV6" s="393"/>
      <c r="BW6" s="393"/>
      <c r="BX6" s="396"/>
      <c r="BY6" s="400"/>
      <c r="BZ6" s="393"/>
      <c r="CA6" s="393"/>
      <c r="CB6" s="393"/>
      <c r="CC6" s="394"/>
      <c r="CD6" s="395"/>
      <c r="CE6" s="393"/>
      <c r="CF6" s="393"/>
      <c r="CG6" s="393"/>
      <c r="CH6" s="394"/>
      <c r="CI6" s="395"/>
      <c r="CJ6" s="393"/>
      <c r="CK6" s="393"/>
      <c r="CL6" s="393"/>
      <c r="CM6" s="396"/>
      <c r="CN6" s="28"/>
      <c r="CO6" s="28"/>
      <c r="CP6" s="28"/>
      <c r="CQ6" s="34"/>
      <c r="CR6" s="33"/>
      <c r="CS6" s="33"/>
      <c r="CT6" s="34"/>
      <c r="CU6" s="35"/>
      <c r="CV6" s="36"/>
      <c r="CW6" s="37"/>
      <c r="CX6" s="37"/>
      <c r="CY6" s="37"/>
      <c r="CZ6" s="38"/>
      <c r="DA6" s="39"/>
      <c r="DB6" s="39"/>
      <c r="DC6" s="39"/>
      <c r="DD6" s="28"/>
      <c r="DE6" s="39"/>
      <c r="DF6" s="40"/>
      <c r="DG6" s="39"/>
      <c r="DH6" s="40"/>
      <c r="DI6" s="39"/>
      <c r="DJ6" s="40"/>
      <c r="DK6" s="39"/>
      <c r="DL6" s="40"/>
      <c r="DM6" s="39"/>
      <c r="DN6" s="40"/>
      <c r="DO6" s="39"/>
      <c r="DP6" s="40"/>
      <c r="DQ6" s="40"/>
    </row>
    <row r="7" spans="1:121" s="41" customFormat="1" ht="25.5" customHeight="1">
      <c r="A7" s="221" t="s">
        <v>22</v>
      </c>
      <c r="B7" s="212" t="s">
        <v>23</v>
      </c>
      <c r="C7" s="212" t="s">
        <v>24</v>
      </c>
      <c r="D7" s="212" t="s">
        <v>25</v>
      </c>
      <c r="E7" s="212" t="s">
        <v>7</v>
      </c>
      <c r="F7" s="212" t="s">
        <v>26</v>
      </c>
      <c r="G7" s="212" t="s">
        <v>20</v>
      </c>
      <c r="H7" s="225" t="s">
        <v>27</v>
      </c>
      <c r="I7" s="318" t="s">
        <v>28</v>
      </c>
      <c r="J7" s="212"/>
      <c r="K7" s="319"/>
      <c r="L7" s="407"/>
      <c r="M7" s="402"/>
      <c r="N7" s="402"/>
      <c r="O7" s="402"/>
      <c r="P7" s="408"/>
      <c r="Q7" s="407"/>
      <c r="R7" s="402"/>
      <c r="S7" s="402"/>
      <c r="T7" s="402"/>
      <c r="U7" s="409"/>
      <c r="V7" s="401"/>
      <c r="W7" s="403" t="s">
        <v>93</v>
      </c>
      <c r="X7" s="403"/>
      <c r="Y7" s="403"/>
      <c r="Z7" s="406"/>
      <c r="AA7" s="410"/>
      <c r="AB7" s="403"/>
      <c r="AC7" s="403"/>
      <c r="AD7" s="403"/>
      <c r="AE7" s="404"/>
      <c r="AF7" s="405"/>
      <c r="AG7" s="403"/>
      <c r="AH7" s="403"/>
      <c r="AI7" s="403"/>
      <c r="AJ7" s="406"/>
      <c r="AK7" s="410"/>
      <c r="AL7" s="403"/>
      <c r="AM7" s="403"/>
      <c r="AN7" s="403"/>
      <c r="AO7" s="404"/>
      <c r="AP7" s="405"/>
      <c r="AQ7" s="403"/>
      <c r="AR7" s="403"/>
      <c r="AS7" s="403"/>
      <c r="AT7" s="406"/>
      <c r="AU7" s="410"/>
      <c r="AV7" s="403"/>
      <c r="AW7" s="403"/>
      <c r="AX7" s="403"/>
      <c r="AY7" s="404"/>
      <c r="AZ7" s="405"/>
      <c r="BA7" s="403"/>
      <c r="BB7" s="403"/>
      <c r="BC7" s="403"/>
      <c r="BD7" s="406"/>
      <c r="BE7" s="410"/>
      <c r="BF7" s="403"/>
      <c r="BG7" s="403"/>
      <c r="BH7" s="403"/>
      <c r="BI7" s="404"/>
      <c r="BJ7" s="405"/>
      <c r="BK7" s="403"/>
      <c r="BL7" s="403"/>
      <c r="BM7" s="403"/>
      <c r="BN7" s="406"/>
      <c r="BO7" s="410"/>
      <c r="BP7" s="403"/>
      <c r="BQ7" s="403"/>
      <c r="BR7" s="403"/>
      <c r="BS7" s="404"/>
      <c r="BT7" s="405"/>
      <c r="BU7" s="403"/>
      <c r="BV7" s="403"/>
      <c r="BW7" s="403"/>
      <c r="BX7" s="406"/>
      <c r="BY7" s="410"/>
      <c r="BZ7" s="403"/>
      <c r="CA7" s="403"/>
      <c r="CB7" s="403"/>
      <c r="CC7" s="404"/>
      <c r="CD7" s="405"/>
      <c r="CE7" s="403"/>
      <c r="CF7" s="403"/>
      <c r="CG7" s="403"/>
      <c r="CH7" s="404"/>
      <c r="CI7" s="405"/>
      <c r="CJ7" s="403"/>
      <c r="CK7" s="403"/>
      <c r="CL7" s="403"/>
      <c r="CM7" s="406"/>
    </row>
    <row r="8" spans="1:121" s="41" customFormat="1" ht="25.5" customHeight="1">
      <c r="A8" s="222"/>
      <c r="B8" s="213"/>
      <c r="C8" s="213"/>
      <c r="D8" s="213"/>
      <c r="E8" s="213"/>
      <c r="F8" s="213"/>
      <c r="G8" s="213"/>
      <c r="H8" s="226"/>
      <c r="I8" s="42"/>
      <c r="J8" s="214" t="s">
        <v>29</v>
      </c>
      <c r="K8" s="320"/>
      <c r="L8" s="388"/>
      <c r="M8" s="387"/>
      <c r="N8" s="387"/>
      <c r="O8" s="387"/>
      <c r="P8" s="389"/>
      <c r="Q8" s="388"/>
      <c r="R8" s="387"/>
      <c r="S8" s="387"/>
      <c r="T8" s="387"/>
      <c r="U8" s="390"/>
      <c r="V8" s="386"/>
      <c r="W8" s="372" t="s">
        <v>93</v>
      </c>
      <c r="X8" s="372"/>
      <c r="Y8" s="372"/>
      <c r="Z8" s="373"/>
      <c r="AA8" s="374"/>
      <c r="AB8" s="372"/>
      <c r="AC8" s="372"/>
      <c r="AD8" s="372"/>
      <c r="AE8" s="371"/>
      <c r="AF8" s="375"/>
      <c r="AG8" s="372"/>
      <c r="AH8" s="372"/>
      <c r="AI8" s="372"/>
      <c r="AJ8" s="373"/>
      <c r="AK8" s="374"/>
      <c r="AL8" s="372"/>
      <c r="AM8" s="372"/>
      <c r="AN8" s="372"/>
      <c r="AO8" s="371"/>
      <c r="AP8" s="375"/>
      <c r="AQ8" s="372"/>
      <c r="AR8" s="372"/>
      <c r="AS8" s="372"/>
      <c r="AT8" s="373"/>
      <c r="AU8" s="374"/>
      <c r="AV8" s="372"/>
      <c r="AW8" s="372"/>
      <c r="AX8" s="372"/>
      <c r="AY8" s="371"/>
      <c r="AZ8" s="375"/>
      <c r="BA8" s="372"/>
      <c r="BB8" s="372"/>
      <c r="BC8" s="372"/>
      <c r="BD8" s="373"/>
      <c r="BE8" s="374"/>
      <c r="BF8" s="372"/>
      <c r="BG8" s="372"/>
      <c r="BH8" s="372"/>
      <c r="BI8" s="371"/>
      <c r="BJ8" s="375"/>
      <c r="BK8" s="372"/>
      <c r="BL8" s="372"/>
      <c r="BM8" s="372"/>
      <c r="BN8" s="373"/>
      <c r="BO8" s="374"/>
      <c r="BP8" s="372"/>
      <c r="BQ8" s="372"/>
      <c r="BR8" s="372"/>
      <c r="BS8" s="371"/>
      <c r="BT8" s="375"/>
      <c r="BU8" s="372"/>
      <c r="BV8" s="372"/>
      <c r="BW8" s="372"/>
      <c r="BX8" s="373"/>
      <c r="BY8" s="374"/>
      <c r="BZ8" s="372"/>
      <c r="CA8" s="372"/>
      <c r="CB8" s="372"/>
      <c r="CC8" s="371"/>
      <c r="CD8" s="375"/>
      <c r="CE8" s="372"/>
      <c r="CF8" s="372"/>
      <c r="CG8" s="372"/>
      <c r="CH8" s="371"/>
      <c r="CI8" s="375"/>
      <c r="CJ8" s="372"/>
      <c r="CK8" s="372"/>
      <c r="CL8" s="372"/>
      <c r="CM8" s="373"/>
    </row>
    <row r="9" spans="1:121" s="41" customFormat="1" ht="25.5" customHeight="1" thickBot="1">
      <c r="A9" s="315"/>
      <c r="B9" s="316"/>
      <c r="C9" s="316"/>
      <c r="D9" s="316"/>
      <c r="E9" s="316"/>
      <c r="F9" s="316"/>
      <c r="G9" s="316"/>
      <c r="H9" s="317"/>
      <c r="I9" s="43"/>
      <c r="J9" s="191"/>
      <c r="K9" s="44" t="s">
        <v>30</v>
      </c>
      <c r="L9" s="413"/>
      <c r="M9" s="412"/>
      <c r="N9" s="412"/>
      <c r="O9" s="412"/>
      <c r="P9" s="414"/>
      <c r="Q9" s="413"/>
      <c r="R9" s="412"/>
      <c r="S9" s="412"/>
      <c r="T9" s="412"/>
      <c r="U9" s="415"/>
      <c r="V9" s="411"/>
      <c r="W9" s="377" t="s">
        <v>93</v>
      </c>
      <c r="X9" s="377"/>
      <c r="Y9" s="377"/>
      <c r="Z9" s="378"/>
      <c r="AA9" s="379"/>
      <c r="AB9" s="377"/>
      <c r="AC9" s="377"/>
      <c r="AD9" s="377"/>
      <c r="AE9" s="376"/>
      <c r="AF9" s="380"/>
      <c r="AG9" s="377"/>
      <c r="AH9" s="377"/>
      <c r="AI9" s="377"/>
      <c r="AJ9" s="378"/>
      <c r="AK9" s="379"/>
      <c r="AL9" s="377"/>
      <c r="AM9" s="377"/>
      <c r="AN9" s="377"/>
      <c r="AO9" s="376"/>
      <c r="AP9" s="380"/>
      <c r="AQ9" s="377"/>
      <c r="AR9" s="377"/>
      <c r="AS9" s="377"/>
      <c r="AT9" s="378"/>
      <c r="AU9" s="379"/>
      <c r="AV9" s="377"/>
      <c r="AW9" s="377"/>
      <c r="AX9" s="377"/>
      <c r="AY9" s="376"/>
      <c r="AZ9" s="380"/>
      <c r="BA9" s="377"/>
      <c r="BB9" s="377"/>
      <c r="BC9" s="377"/>
      <c r="BD9" s="378"/>
      <c r="BE9" s="379"/>
      <c r="BF9" s="377"/>
      <c r="BG9" s="377"/>
      <c r="BH9" s="377"/>
      <c r="BI9" s="376"/>
      <c r="BJ9" s="380"/>
      <c r="BK9" s="377"/>
      <c r="BL9" s="377"/>
      <c r="BM9" s="377"/>
      <c r="BN9" s="378"/>
      <c r="BO9" s="379"/>
      <c r="BP9" s="377"/>
      <c r="BQ9" s="377"/>
      <c r="BR9" s="377"/>
      <c r="BS9" s="376"/>
      <c r="BT9" s="380"/>
      <c r="BU9" s="377"/>
      <c r="BV9" s="377"/>
      <c r="BW9" s="377"/>
      <c r="BX9" s="378"/>
      <c r="BY9" s="379"/>
      <c r="BZ9" s="377"/>
      <c r="CA9" s="377"/>
      <c r="CB9" s="377"/>
      <c r="CC9" s="376"/>
      <c r="CD9" s="380"/>
      <c r="CE9" s="377"/>
      <c r="CF9" s="377"/>
      <c r="CG9" s="377"/>
      <c r="CH9" s="376"/>
      <c r="CI9" s="380"/>
      <c r="CJ9" s="377"/>
      <c r="CK9" s="377"/>
      <c r="CL9" s="377"/>
      <c r="CM9" s="378"/>
    </row>
    <row r="10" spans="1:121" ht="25.5" hidden="1" customHeight="1">
      <c r="A10" s="100">
        <v>4103</v>
      </c>
      <c r="B10" s="101" t="s">
        <v>11</v>
      </c>
      <c r="C10" s="101" t="s">
        <v>44</v>
      </c>
      <c r="D10" s="101" t="s">
        <v>76</v>
      </c>
      <c r="E10" s="102" t="s">
        <v>53</v>
      </c>
      <c r="F10" s="101"/>
      <c r="G10" s="102" t="s">
        <v>774</v>
      </c>
      <c r="H10" s="177" t="s">
        <v>54</v>
      </c>
      <c r="I10" s="104"/>
      <c r="J10" s="102"/>
      <c r="K10" s="103"/>
      <c r="L10" s="347" t="s">
        <v>78</v>
      </c>
      <c r="M10" s="342" t="s">
        <v>77</v>
      </c>
      <c r="N10" s="342"/>
      <c r="O10" s="342" t="s">
        <v>77</v>
      </c>
      <c r="P10" s="348" t="s">
        <v>77</v>
      </c>
      <c r="Q10" s="347"/>
      <c r="R10" s="342"/>
      <c r="S10" s="342"/>
      <c r="T10" s="342"/>
      <c r="U10" s="349" t="s">
        <v>80</v>
      </c>
      <c r="V10" s="341"/>
      <c r="W10" s="343"/>
      <c r="X10" s="343"/>
      <c r="Y10" s="343"/>
      <c r="Z10" s="346"/>
      <c r="AA10" s="350"/>
      <c r="AB10" s="343"/>
      <c r="AC10" s="343"/>
      <c r="AD10" s="343"/>
      <c r="AE10" s="344"/>
      <c r="AF10" s="345"/>
      <c r="AG10" s="343"/>
      <c r="AH10" s="343"/>
      <c r="AI10" s="343"/>
      <c r="AJ10" s="346"/>
      <c r="AK10" s="350"/>
      <c r="AL10" s="343"/>
      <c r="AM10" s="343"/>
      <c r="AN10" s="343"/>
      <c r="AO10" s="344"/>
      <c r="AP10" s="345"/>
      <c r="AQ10" s="343"/>
      <c r="AR10" s="343"/>
      <c r="AS10" s="343"/>
      <c r="AT10" s="346"/>
      <c r="AU10" s="350"/>
      <c r="AV10" s="343"/>
      <c r="AW10" s="343"/>
      <c r="AX10" s="343"/>
      <c r="AY10" s="344"/>
      <c r="AZ10" s="345"/>
      <c r="BA10" s="343"/>
      <c r="BB10" s="343"/>
      <c r="BC10" s="343"/>
      <c r="BD10" s="346"/>
      <c r="BE10" s="350"/>
      <c r="BF10" s="343"/>
      <c r="BG10" s="343"/>
      <c r="BH10" s="343"/>
      <c r="BI10" s="344"/>
      <c r="BJ10" s="345"/>
      <c r="BK10" s="343"/>
      <c r="BL10" s="343"/>
      <c r="BM10" s="343"/>
      <c r="BN10" s="346"/>
      <c r="BO10" s="350"/>
      <c r="BP10" s="343"/>
      <c r="BQ10" s="343"/>
      <c r="BR10" s="343"/>
      <c r="BS10" s="344"/>
      <c r="BT10" s="345"/>
      <c r="BU10" s="343"/>
      <c r="BV10" s="343"/>
      <c r="BW10" s="343"/>
      <c r="BX10" s="346"/>
      <c r="BY10" s="350"/>
      <c r="BZ10" s="343"/>
      <c r="CA10" s="343"/>
      <c r="CB10" s="343"/>
      <c r="CC10" s="344"/>
      <c r="CD10" s="345"/>
      <c r="CE10" s="343"/>
      <c r="CF10" s="343"/>
      <c r="CG10" s="343"/>
      <c r="CH10" s="344"/>
      <c r="CI10" s="345"/>
      <c r="CJ10" s="343"/>
      <c r="CK10" s="343"/>
      <c r="CL10" s="343"/>
      <c r="CM10" s="346"/>
      <c r="CN10" s="45"/>
      <c r="CO10" s="45"/>
      <c r="CP10" s="45"/>
      <c r="CQ10" s="45"/>
      <c r="CR10" s="45"/>
      <c r="CS10" s="45"/>
      <c r="CT10" s="45"/>
      <c r="CU10" s="45"/>
      <c r="CV10" s="45"/>
      <c r="CW10" s="45"/>
      <c r="CX10" s="45"/>
      <c r="CY10" s="45"/>
      <c r="CZ10" s="45"/>
      <c r="DA10" s="45"/>
      <c r="DB10" s="45"/>
      <c r="DC10" s="45"/>
      <c r="DD10" s="45"/>
      <c r="DE10" s="45"/>
      <c r="DF10" s="45"/>
      <c r="DG10" s="45"/>
      <c r="DH10" s="45"/>
      <c r="DI10" s="45"/>
      <c r="DJ10" s="45"/>
      <c r="DK10" s="45"/>
      <c r="DL10" s="45"/>
      <c r="DM10" s="45"/>
      <c r="DN10" s="45"/>
    </row>
    <row r="11" spans="1:121" ht="25.5" customHeight="1">
      <c r="A11" s="321">
        <v>4104</v>
      </c>
      <c r="B11" s="322" t="s">
        <v>11</v>
      </c>
      <c r="C11" s="322" t="s">
        <v>44</v>
      </c>
      <c r="D11" s="322" t="s">
        <v>76</v>
      </c>
      <c r="E11" s="323" t="s">
        <v>53</v>
      </c>
      <c r="F11" s="322"/>
      <c r="G11" s="323" t="s">
        <v>776</v>
      </c>
      <c r="H11" s="324" t="s">
        <v>54</v>
      </c>
      <c r="I11" s="325"/>
      <c r="J11" s="323"/>
      <c r="K11" s="326"/>
      <c r="L11" s="327" t="s">
        <v>78</v>
      </c>
      <c r="M11" s="322" t="s">
        <v>77</v>
      </c>
      <c r="N11" s="322"/>
      <c r="O11" s="322" t="s">
        <v>77</v>
      </c>
      <c r="P11" s="328" t="s">
        <v>77</v>
      </c>
      <c r="Q11" s="327"/>
      <c r="R11" s="322"/>
      <c r="S11" s="322"/>
      <c r="T11" s="322"/>
      <c r="U11" s="329" t="s">
        <v>80</v>
      </c>
      <c r="V11" s="321"/>
      <c r="W11" s="323"/>
      <c r="X11" s="323"/>
      <c r="Y11" s="323"/>
      <c r="Z11" s="326"/>
      <c r="AA11" s="330"/>
      <c r="AB11" s="323"/>
      <c r="AC11" s="323"/>
      <c r="AD11" s="323"/>
      <c r="AE11" s="324"/>
      <c r="AF11" s="325"/>
      <c r="AG11" s="323"/>
      <c r="AH11" s="323"/>
      <c r="AI11" s="323"/>
      <c r="AJ11" s="326"/>
      <c r="AK11" s="330"/>
      <c r="AL11" s="323"/>
      <c r="AM11" s="323"/>
      <c r="AN11" s="323"/>
      <c r="AO11" s="324"/>
      <c r="AP11" s="325"/>
      <c r="AQ11" s="323"/>
      <c r="AR11" s="323"/>
      <c r="AS11" s="323"/>
      <c r="AT11" s="326"/>
      <c r="AU11" s="330"/>
      <c r="AV11" s="323"/>
      <c r="AW11" s="323"/>
      <c r="AX11" s="323"/>
      <c r="AY11" s="324"/>
      <c r="AZ11" s="325"/>
      <c r="BA11" s="323"/>
      <c r="BB11" s="323"/>
      <c r="BC11" s="323"/>
      <c r="BD11" s="326"/>
      <c r="BE11" s="330"/>
      <c r="BF11" s="323"/>
      <c r="BG11" s="323"/>
      <c r="BH11" s="323"/>
      <c r="BI11" s="324"/>
      <c r="BJ11" s="325"/>
      <c r="BK11" s="323"/>
      <c r="BL11" s="323"/>
      <c r="BM11" s="323"/>
      <c r="BN11" s="326"/>
      <c r="BO11" s="330"/>
      <c r="BP11" s="323"/>
      <c r="BQ11" s="323"/>
      <c r="BR11" s="323"/>
      <c r="BS11" s="324"/>
      <c r="BT11" s="325"/>
      <c r="BU11" s="323"/>
      <c r="BV11" s="323"/>
      <c r="BW11" s="323"/>
      <c r="BX11" s="326"/>
      <c r="BY11" s="330"/>
      <c r="BZ11" s="323"/>
      <c r="CA11" s="323"/>
      <c r="CB11" s="323"/>
      <c r="CC11" s="324"/>
      <c r="CD11" s="325"/>
      <c r="CE11" s="323"/>
      <c r="CF11" s="323"/>
      <c r="CG11" s="323"/>
      <c r="CH11" s="324"/>
      <c r="CI11" s="325"/>
      <c r="CJ11" s="323"/>
      <c r="CK11" s="323"/>
      <c r="CL11" s="323"/>
      <c r="CM11" s="326"/>
      <c r="CN11" s="46"/>
      <c r="CO11" s="45"/>
      <c r="CP11" s="45"/>
      <c r="CQ11" s="45"/>
      <c r="CR11" s="46"/>
      <c r="CS11" s="45"/>
      <c r="CT11" s="45"/>
      <c r="CU11" s="45"/>
      <c r="CV11" s="45"/>
      <c r="CW11" s="45"/>
      <c r="CX11" s="46"/>
      <c r="CY11" s="45"/>
      <c r="CZ11" s="45"/>
      <c r="DA11" s="46"/>
      <c r="DB11" s="47"/>
      <c r="DC11" s="46"/>
      <c r="DD11" s="46"/>
      <c r="DE11" s="45"/>
      <c r="DF11" s="46"/>
      <c r="DG11" s="46"/>
      <c r="DH11" s="45"/>
      <c r="DI11" s="45"/>
      <c r="DJ11" s="45"/>
      <c r="DK11" s="45"/>
      <c r="DL11" s="45"/>
      <c r="DM11" s="45"/>
      <c r="DN11" s="45"/>
    </row>
    <row r="12" spans="1:121" ht="25.5" customHeight="1">
      <c r="A12" s="321">
        <v>4105</v>
      </c>
      <c r="B12" s="322" t="s">
        <v>11</v>
      </c>
      <c r="C12" s="322" t="s">
        <v>44</v>
      </c>
      <c r="D12" s="322" t="s">
        <v>76</v>
      </c>
      <c r="E12" s="323" t="s">
        <v>53</v>
      </c>
      <c r="F12" s="322"/>
      <c r="G12" s="323" t="s">
        <v>778</v>
      </c>
      <c r="H12" s="324" t="s">
        <v>54</v>
      </c>
      <c r="I12" s="325"/>
      <c r="J12" s="323"/>
      <c r="K12" s="326"/>
      <c r="L12" s="327" t="s">
        <v>78</v>
      </c>
      <c r="M12" s="322" t="s">
        <v>77</v>
      </c>
      <c r="N12" s="322"/>
      <c r="O12" s="322" t="s">
        <v>77</v>
      </c>
      <c r="P12" s="328" t="s">
        <v>77</v>
      </c>
      <c r="Q12" s="327"/>
      <c r="R12" s="322"/>
      <c r="S12" s="322"/>
      <c r="T12" s="322"/>
      <c r="U12" s="329" t="s">
        <v>80</v>
      </c>
      <c r="V12" s="321"/>
      <c r="W12" s="323"/>
      <c r="X12" s="323"/>
      <c r="Y12" s="323"/>
      <c r="Z12" s="326"/>
      <c r="AA12" s="330"/>
      <c r="AB12" s="323"/>
      <c r="AC12" s="323"/>
      <c r="AD12" s="323"/>
      <c r="AE12" s="324"/>
      <c r="AF12" s="325"/>
      <c r="AG12" s="323"/>
      <c r="AH12" s="323"/>
      <c r="AI12" s="323"/>
      <c r="AJ12" s="326"/>
      <c r="AK12" s="330"/>
      <c r="AL12" s="323"/>
      <c r="AM12" s="323"/>
      <c r="AN12" s="323"/>
      <c r="AO12" s="324"/>
      <c r="AP12" s="325"/>
      <c r="AQ12" s="323"/>
      <c r="AR12" s="323"/>
      <c r="AS12" s="323"/>
      <c r="AT12" s="326"/>
      <c r="AU12" s="330"/>
      <c r="AV12" s="323"/>
      <c r="AW12" s="323"/>
      <c r="AX12" s="323"/>
      <c r="AY12" s="324"/>
      <c r="AZ12" s="325"/>
      <c r="BA12" s="323"/>
      <c r="BB12" s="323"/>
      <c r="BC12" s="323"/>
      <c r="BD12" s="326"/>
      <c r="BE12" s="330"/>
      <c r="BF12" s="323"/>
      <c r="BG12" s="323"/>
      <c r="BH12" s="323"/>
      <c r="BI12" s="324"/>
      <c r="BJ12" s="325"/>
      <c r="BK12" s="323"/>
      <c r="BL12" s="323"/>
      <c r="BM12" s="323"/>
      <c r="BN12" s="326"/>
      <c r="BO12" s="330"/>
      <c r="BP12" s="323"/>
      <c r="BQ12" s="323"/>
      <c r="BR12" s="323"/>
      <c r="BS12" s="324"/>
      <c r="BT12" s="325"/>
      <c r="BU12" s="323"/>
      <c r="BV12" s="323"/>
      <c r="BW12" s="323"/>
      <c r="BX12" s="326"/>
      <c r="BY12" s="330"/>
      <c r="BZ12" s="323"/>
      <c r="CA12" s="323"/>
      <c r="CB12" s="323"/>
      <c r="CC12" s="324"/>
      <c r="CD12" s="325"/>
      <c r="CE12" s="323"/>
      <c r="CF12" s="323"/>
      <c r="CG12" s="323"/>
      <c r="CH12" s="324"/>
      <c r="CI12" s="325"/>
      <c r="CJ12" s="323"/>
      <c r="CK12" s="323"/>
      <c r="CL12" s="323"/>
      <c r="CM12" s="326"/>
      <c r="CN12" s="45"/>
      <c r="CO12" s="45"/>
      <c r="CP12" s="45"/>
      <c r="CQ12" s="45"/>
      <c r="CR12" s="45"/>
      <c r="CS12" s="45"/>
      <c r="CT12" s="45"/>
      <c r="CU12" s="45"/>
      <c r="CV12" s="45"/>
      <c r="CW12" s="45"/>
      <c r="CX12" s="46"/>
      <c r="CY12" s="45"/>
      <c r="CZ12" s="45"/>
      <c r="DA12" s="46"/>
      <c r="DB12" s="45"/>
      <c r="DC12" s="46"/>
      <c r="DD12" s="46"/>
      <c r="DE12" s="45"/>
      <c r="DF12" s="46"/>
      <c r="DG12" s="46"/>
      <c r="DH12" s="45"/>
      <c r="DI12" s="45"/>
      <c r="DJ12" s="45"/>
      <c r="DK12" s="45"/>
      <c r="DL12" s="45"/>
      <c r="DM12" s="45"/>
      <c r="DN12" s="45"/>
    </row>
    <row r="13" spans="1:121" ht="25.5" hidden="1" customHeight="1">
      <c r="A13" s="321">
        <v>4106</v>
      </c>
      <c r="B13" s="322" t="s">
        <v>11</v>
      </c>
      <c r="C13" s="322" t="s">
        <v>44</v>
      </c>
      <c r="D13" s="322" t="s">
        <v>76</v>
      </c>
      <c r="E13" s="323" t="s">
        <v>53</v>
      </c>
      <c r="F13" s="322"/>
      <c r="G13" s="323" t="s">
        <v>780</v>
      </c>
      <c r="H13" s="324" t="s">
        <v>54</v>
      </c>
      <c r="I13" s="325"/>
      <c r="J13" s="323"/>
      <c r="K13" s="326"/>
      <c r="L13" s="327" t="s">
        <v>78</v>
      </c>
      <c r="M13" s="322" t="s">
        <v>77</v>
      </c>
      <c r="N13" s="322"/>
      <c r="O13" s="322" t="s">
        <v>77</v>
      </c>
      <c r="P13" s="328" t="s">
        <v>77</v>
      </c>
      <c r="Q13" s="327"/>
      <c r="R13" s="322"/>
      <c r="S13" s="322"/>
      <c r="T13" s="322"/>
      <c r="U13" s="329" t="s">
        <v>80</v>
      </c>
      <c r="V13" s="321"/>
      <c r="W13" s="323"/>
      <c r="X13" s="323"/>
      <c r="Y13" s="323"/>
      <c r="Z13" s="326"/>
      <c r="AA13" s="330"/>
      <c r="AB13" s="323"/>
      <c r="AC13" s="323"/>
      <c r="AD13" s="323"/>
      <c r="AE13" s="324"/>
      <c r="AF13" s="325"/>
      <c r="AG13" s="323"/>
      <c r="AH13" s="323"/>
      <c r="AI13" s="323"/>
      <c r="AJ13" s="326"/>
      <c r="AK13" s="330"/>
      <c r="AL13" s="323"/>
      <c r="AM13" s="323"/>
      <c r="AN13" s="323"/>
      <c r="AO13" s="324"/>
      <c r="AP13" s="325"/>
      <c r="AQ13" s="323"/>
      <c r="AR13" s="323"/>
      <c r="AS13" s="323"/>
      <c r="AT13" s="326"/>
      <c r="AU13" s="330"/>
      <c r="AV13" s="323"/>
      <c r="AW13" s="323"/>
      <c r="AX13" s="323"/>
      <c r="AY13" s="324"/>
      <c r="AZ13" s="325"/>
      <c r="BA13" s="323"/>
      <c r="BB13" s="323"/>
      <c r="BC13" s="323"/>
      <c r="BD13" s="326"/>
      <c r="BE13" s="330"/>
      <c r="BF13" s="323"/>
      <c r="BG13" s="323"/>
      <c r="BH13" s="323"/>
      <c r="BI13" s="324"/>
      <c r="BJ13" s="325"/>
      <c r="BK13" s="323"/>
      <c r="BL13" s="323"/>
      <c r="BM13" s="323"/>
      <c r="BN13" s="326"/>
      <c r="BO13" s="330"/>
      <c r="BP13" s="323"/>
      <c r="BQ13" s="323"/>
      <c r="BR13" s="323"/>
      <c r="BS13" s="324"/>
      <c r="BT13" s="325"/>
      <c r="BU13" s="323"/>
      <c r="BV13" s="323"/>
      <c r="BW13" s="323"/>
      <c r="BX13" s="326"/>
      <c r="BY13" s="330"/>
      <c r="BZ13" s="323"/>
      <c r="CA13" s="323"/>
      <c r="CB13" s="323"/>
      <c r="CC13" s="324"/>
      <c r="CD13" s="325"/>
      <c r="CE13" s="323"/>
      <c r="CF13" s="323"/>
      <c r="CG13" s="323"/>
      <c r="CH13" s="324"/>
      <c r="CI13" s="325"/>
      <c r="CJ13" s="323"/>
      <c r="CK13" s="323"/>
      <c r="CL13" s="323"/>
      <c r="CM13" s="326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  <c r="DA13" s="45"/>
      <c r="DB13" s="45"/>
      <c r="DC13" s="45"/>
      <c r="DD13" s="45"/>
      <c r="DE13" s="45"/>
      <c r="DF13" s="45"/>
      <c r="DG13" s="46"/>
      <c r="DH13" s="45"/>
      <c r="DI13" s="45"/>
      <c r="DJ13" s="45"/>
      <c r="DK13" s="45"/>
      <c r="DL13" s="45"/>
      <c r="DM13" s="45"/>
      <c r="DN13" s="45"/>
    </row>
    <row r="14" spans="1:121" ht="25.5" hidden="1" customHeight="1" thickBot="1">
      <c r="A14" s="331">
        <v>4107</v>
      </c>
      <c r="B14" s="332" t="s">
        <v>11</v>
      </c>
      <c r="C14" s="332" t="s">
        <v>44</v>
      </c>
      <c r="D14" s="332" t="s">
        <v>76</v>
      </c>
      <c r="E14" s="333" t="s">
        <v>53</v>
      </c>
      <c r="F14" s="332"/>
      <c r="G14" s="333" t="s">
        <v>782</v>
      </c>
      <c r="H14" s="334" t="s">
        <v>54</v>
      </c>
      <c r="I14" s="335"/>
      <c r="J14" s="333"/>
      <c r="K14" s="336"/>
      <c r="L14" s="337" t="s">
        <v>78</v>
      </c>
      <c r="M14" s="332" t="s">
        <v>77</v>
      </c>
      <c r="N14" s="332"/>
      <c r="O14" s="332" t="s">
        <v>77</v>
      </c>
      <c r="P14" s="338" t="s">
        <v>77</v>
      </c>
      <c r="Q14" s="337"/>
      <c r="R14" s="332"/>
      <c r="S14" s="332"/>
      <c r="T14" s="332"/>
      <c r="U14" s="339" t="s">
        <v>80</v>
      </c>
      <c r="V14" s="331"/>
      <c r="W14" s="333"/>
      <c r="X14" s="333"/>
      <c r="Y14" s="333"/>
      <c r="Z14" s="336"/>
      <c r="AA14" s="340"/>
      <c r="AB14" s="333"/>
      <c r="AC14" s="333"/>
      <c r="AD14" s="333"/>
      <c r="AE14" s="334"/>
      <c r="AF14" s="335"/>
      <c r="AG14" s="333"/>
      <c r="AH14" s="333"/>
      <c r="AI14" s="333"/>
      <c r="AJ14" s="336"/>
      <c r="AK14" s="340"/>
      <c r="AL14" s="333"/>
      <c r="AM14" s="333"/>
      <c r="AN14" s="333"/>
      <c r="AO14" s="334"/>
      <c r="AP14" s="335"/>
      <c r="AQ14" s="333"/>
      <c r="AR14" s="333"/>
      <c r="AS14" s="333"/>
      <c r="AT14" s="336"/>
      <c r="AU14" s="340"/>
      <c r="AV14" s="333"/>
      <c r="AW14" s="333"/>
      <c r="AX14" s="333"/>
      <c r="AY14" s="334"/>
      <c r="AZ14" s="335"/>
      <c r="BA14" s="333"/>
      <c r="BB14" s="333"/>
      <c r="BC14" s="333"/>
      <c r="BD14" s="336"/>
      <c r="BE14" s="340"/>
      <c r="BF14" s="333"/>
      <c r="BG14" s="333"/>
      <c r="BH14" s="333"/>
      <c r="BI14" s="334"/>
      <c r="BJ14" s="335"/>
      <c r="BK14" s="333"/>
      <c r="BL14" s="333"/>
      <c r="BM14" s="333"/>
      <c r="BN14" s="336"/>
      <c r="BO14" s="340"/>
      <c r="BP14" s="333"/>
      <c r="BQ14" s="333"/>
      <c r="BR14" s="333"/>
      <c r="BS14" s="334"/>
      <c r="BT14" s="335"/>
      <c r="BU14" s="333"/>
      <c r="BV14" s="333"/>
      <c r="BW14" s="333"/>
      <c r="BX14" s="336"/>
      <c r="BY14" s="340"/>
      <c r="BZ14" s="333"/>
      <c r="CA14" s="333"/>
      <c r="CB14" s="333"/>
      <c r="CC14" s="334"/>
      <c r="CD14" s="335"/>
      <c r="CE14" s="333"/>
      <c r="CF14" s="333"/>
      <c r="CG14" s="333"/>
      <c r="CH14" s="334"/>
      <c r="CI14" s="335"/>
      <c r="CJ14" s="333"/>
      <c r="CK14" s="333"/>
      <c r="CL14" s="333"/>
      <c r="CM14" s="336"/>
      <c r="CN14" s="45"/>
      <c r="CO14" s="45"/>
      <c r="CP14" s="45"/>
      <c r="CQ14" s="45"/>
      <c r="CR14" s="45"/>
      <c r="CS14" s="45"/>
      <c r="CT14" s="45"/>
      <c r="CU14" s="45"/>
      <c r="CV14" s="45"/>
      <c r="CW14" s="45"/>
      <c r="CX14" s="45"/>
      <c r="CY14" s="45"/>
      <c r="CZ14" s="45"/>
      <c r="DA14" s="45"/>
      <c r="DB14" s="45"/>
      <c r="DC14" s="45"/>
      <c r="DD14" s="45"/>
      <c r="DE14" s="45"/>
      <c r="DF14" s="45"/>
      <c r="DG14" s="46"/>
      <c r="DH14" s="45"/>
      <c r="DI14" s="45"/>
      <c r="DJ14" s="45"/>
      <c r="DK14" s="45"/>
      <c r="DL14" s="45"/>
      <c r="DM14" s="45"/>
      <c r="DN14" s="45"/>
    </row>
    <row r="15" spans="1:121" ht="25.5" customHeight="1">
      <c r="A15" s="341">
        <v>4108</v>
      </c>
      <c r="B15" s="342" t="s">
        <v>11</v>
      </c>
      <c r="C15" s="342" t="s">
        <v>44</v>
      </c>
      <c r="D15" s="342" t="s">
        <v>76</v>
      </c>
      <c r="E15" s="343" t="s">
        <v>53</v>
      </c>
      <c r="F15" s="342"/>
      <c r="G15" s="343" t="s">
        <v>784</v>
      </c>
      <c r="H15" s="344" t="s">
        <v>54</v>
      </c>
      <c r="I15" s="345"/>
      <c r="J15" s="343"/>
      <c r="K15" s="346"/>
      <c r="L15" s="347" t="s">
        <v>78</v>
      </c>
      <c r="M15" s="342" t="s">
        <v>77</v>
      </c>
      <c r="N15" s="342"/>
      <c r="O15" s="342" t="s">
        <v>77</v>
      </c>
      <c r="P15" s="348" t="s">
        <v>77</v>
      </c>
      <c r="Q15" s="347"/>
      <c r="R15" s="342"/>
      <c r="S15" s="342"/>
      <c r="T15" s="342"/>
      <c r="U15" s="349" t="s">
        <v>80</v>
      </c>
      <c r="V15" s="341"/>
      <c r="W15" s="343"/>
      <c r="X15" s="343"/>
      <c r="Y15" s="343"/>
      <c r="Z15" s="346"/>
      <c r="AA15" s="350"/>
      <c r="AB15" s="343"/>
      <c r="AC15" s="343"/>
      <c r="AD15" s="343"/>
      <c r="AE15" s="344"/>
      <c r="AF15" s="345"/>
      <c r="AG15" s="343"/>
      <c r="AH15" s="343"/>
      <c r="AI15" s="343"/>
      <c r="AJ15" s="346"/>
      <c r="AK15" s="350"/>
      <c r="AL15" s="343"/>
      <c r="AM15" s="343"/>
      <c r="AN15" s="343"/>
      <c r="AO15" s="344"/>
      <c r="AP15" s="345"/>
      <c r="AQ15" s="343"/>
      <c r="AR15" s="343"/>
      <c r="AS15" s="343"/>
      <c r="AT15" s="346"/>
      <c r="AU15" s="350"/>
      <c r="AV15" s="343"/>
      <c r="AW15" s="343"/>
      <c r="AX15" s="343"/>
      <c r="AY15" s="344"/>
      <c r="AZ15" s="345"/>
      <c r="BA15" s="343"/>
      <c r="BB15" s="343"/>
      <c r="BC15" s="343"/>
      <c r="BD15" s="346"/>
      <c r="BE15" s="350"/>
      <c r="BF15" s="343"/>
      <c r="BG15" s="343"/>
      <c r="BH15" s="343"/>
      <c r="BI15" s="344"/>
      <c r="BJ15" s="345"/>
      <c r="BK15" s="343"/>
      <c r="BL15" s="343"/>
      <c r="BM15" s="343"/>
      <c r="BN15" s="346"/>
      <c r="BO15" s="350"/>
      <c r="BP15" s="343"/>
      <c r="BQ15" s="343"/>
      <c r="BR15" s="343"/>
      <c r="BS15" s="344"/>
      <c r="BT15" s="345"/>
      <c r="BU15" s="343"/>
      <c r="BV15" s="343"/>
      <c r="BW15" s="343"/>
      <c r="BX15" s="346"/>
      <c r="BY15" s="350"/>
      <c r="BZ15" s="343"/>
      <c r="CA15" s="343"/>
      <c r="CB15" s="343"/>
      <c r="CC15" s="344"/>
      <c r="CD15" s="345"/>
      <c r="CE15" s="343"/>
      <c r="CF15" s="343"/>
      <c r="CG15" s="343"/>
      <c r="CH15" s="344"/>
      <c r="CI15" s="345"/>
      <c r="CJ15" s="343"/>
      <c r="CK15" s="343"/>
      <c r="CL15" s="343"/>
      <c r="CM15" s="346"/>
      <c r="CN15" s="45"/>
      <c r="CO15" s="45"/>
      <c r="CP15" s="46"/>
      <c r="CQ15" s="45"/>
      <c r="CR15" s="45"/>
      <c r="CS15" s="45"/>
      <c r="CT15" s="45"/>
      <c r="CU15" s="45"/>
      <c r="CV15" s="45"/>
      <c r="CW15" s="45"/>
      <c r="CX15" s="46"/>
      <c r="CY15" s="45"/>
      <c r="CZ15" s="45"/>
      <c r="DA15" s="46"/>
      <c r="DB15" s="45"/>
      <c r="DC15" s="46"/>
      <c r="DD15" s="46"/>
      <c r="DE15" s="45"/>
      <c r="DF15" s="46"/>
      <c r="DG15" s="46"/>
      <c r="DH15" s="45"/>
      <c r="DI15" s="46"/>
      <c r="DJ15" s="46"/>
      <c r="DK15" s="45"/>
      <c r="DL15" s="46"/>
      <c r="DM15" s="45"/>
      <c r="DN15" s="45"/>
    </row>
    <row r="16" spans="1:121" ht="25.5" customHeight="1">
      <c r="A16" s="321">
        <v>4109</v>
      </c>
      <c r="B16" s="322" t="s">
        <v>11</v>
      </c>
      <c r="C16" s="322" t="s">
        <v>44</v>
      </c>
      <c r="D16" s="322" t="s">
        <v>76</v>
      </c>
      <c r="E16" s="323" t="s">
        <v>53</v>
      </c>
      <c r="F16" s="322"/>
      <c r="G16" s="323" t="s">
        <v>786</v>
      </c>
      <c r="H16" s="324" t="s">
        <v>54</v>
      </c>
      <c r="I16" s="325"/>
      <c r="J16" s="323"/>
      <c r="K16" s="326"/>
      <c r="L16" s="327" t="s">
        <v>78</v>
      </c>
      <c r="M16" s="322" t="s">
        <v>77</v>
      </c>
      <c r="N16" s="322"/>
      <c r="O16" s="322" t="s">
        <v>77</v>
      </c>
      <c r="P16" s="328" t="s">
        <v>77</v>
      </c>
      <c r="Q16" s="327"/>
      <c r="R16" s="322"/>
      <c r="S16" s="322"/>
      <c r="T16" s="322"/>
      <c r="U16" s="329" t="s">
        <v>80</v>
      </c>
      <c r="V16" s="321"/>
      <c r="W16" s="323"/>
      <c r="X16" s="323"/>
      <c r="Y16" s="323"/>
      <c r="Z16" s="326"/>
      <c r="AA16" s="330"/>
      <c r="AB16" s="323"/>
      <c r="AC16" s="323"/>
      <c r="AD16" s="323"/>
      <c r="AE16" s="324"/>
      <c r="AF16" s="325"/>
      <c r="AG16" s="323"/>
      <c r="AH16" s="323"/>
      <c r="AI16" s="323"/>
      <c r="AJ16" s="326"/>
      <c r="AK16" s="330"/>
      <c r="AL16" s="323"/>
      <c r="AM16" s="323"/>
      <c r="AN16" s="323"/>
      <c r="AO16" s="324"/>
      <c r="AP16" s="325"/>
      <c r="AQ16" s="323"/>
      <c r="AR16" s="323"/>
      <c r="AS16" s="323"/>
      <c r="AT16" s="326"/>
      <c r="AU16" s="330"/>
      <c r="AV16" s="323"/>
      <c r="AW16" s="323"/>
      <c r="AX16" s="323"/>
      <c r="AY16" s="324"/>
      <c r="AZ16" s="325"/>
      <c r="BA16" s="323"/>
      <c r="BB16" s="323"/>
      <c r="BC16" s="323"/>
      <c r="BD16" s="326"/>
      <c r="BE16" s="330"/>
      <c r="BF16" s="323"/>
      <c r="BG16" s="323"/>
      <c r="BH16" s="323"/>
      <c r="BI16" s="324"/>
      <c r="BJ16" s="325"/>
      <c r="BK16" s="323"/>
      <c r="BL16" s="323"/>
      <c r="BM16" s="323"/>
      <c r="BN16" s="326"/>
      <c r="BO16" s="330"/>
      <c r="BP16" s="323"/>
      <c r="BQ16" s="323"/>
      <c r="BR16" s="323"/>
      <c r="BS16" s="324"/>
      <c r="BT16" s="325"/>
      <c r="BU16" s="323"/>
      <c r="BV16" s="323"/>
      <c r="BW16" s="323"/>
      <c r="BX16" s="326"/>
      <c r="BY16" s="330"/>
      <c r="BZ16" s="323"/>
      <c r="CA16" s="323"/>
      <c r="CB16" s="323"/>
      <c r="CC16" s="324"/>
      <c r="CD16" s="325"/>
      <c r="CE16" s="323"/>
      <c r="CF16" s="323"/>
      <c r="CG16" s="323"/>
      <c r="CH16" s="324"/>
      <c r="CI16" s="325"/>
      <c r="CJ16" s="323"/>
      <c r="CK16" s="323"/>
      <c r="CL16" s="323"/>
      <c r="CM16" s="326"/>
      <c r="CN16" s="45"/>
      <c r="CO16" s="45"/>
      <c r="CP16" s="45"/>
      <c r="CQ16" s="45"/>
      <c r="CR16" s="45"/>
      <c r="CS16" s="45"/>
      <c r="CT16" s="45"/>
      <c r="CU16" s="45"/>
      <c r="CV16" s="45"/>
      <c r="CW16" s="45"/>
      <c r="CX16" s="45"/>
      <c r="CY16" s="45"/>
      <c r="CZ16" s="45"/>
      <c r="DA16" s="45"/>
      <c r="DB16" s="45"/>
      <c r="DC16" s="45"/>
      <c r="DD16" s="45"/>
      <c r="DE16" s="45"/>
      <c r="DF16" s="45"/>
      <c r="DG16" s="45"/>
      <c r="DH16" s="45"/>
      <c r="DI16" s="45"/>
      <c r="DJ16" s="45"/>
      <c r="DK16" s="45"/>
      <c r="DL16" s="45"/>
      <c r="DM16" s="45"/>
      <c r="DN16" s="45"/>
    </row>
    <row r="17" spans="1:118" ht="25.5" customHeight="1">
      <c r="A17" s="321">
        <v>4110</v>
      </c>
      <c r="B17" s="322" t="s">
        <v>11</v>
      </c>
      <c r="C17" s="322" t="s">
        <v>44</v>
      </c>
      <c r="D17" s="322" t="s">
        <v>76</v>
      </c>
      <c r="E17" s="323" t="s">
        <v>53</v>
      </c>
      <c r="F17" s="322"/>
      <c r="G17" s="323" t="s">
        <v>788</v>
      </c>
      <c r="H17" s="324" t="s">
        <v>54</v>
      </c>
      <c r="I17" s="325"/>
      <c r="J17" s="323"/>
      <c r="K17" s="326"/>
      <c r="L17" s="327" t="s">
        <v>78</v>
      </c>
      <c r="M17" s="322" t="s">
        <v>77</v>
      </c>
      <c r="N17" s="322"/>
      <c r="O17" s="322" t="s">
        <v>77</v>
      </c>
      <c r="P17" s="328" t="s">
        <v>77</v>
      </c>
      <c r="Q17" s="327"/>
      <c r="R17" s="322"/>
      <c r="S17" s="322"/>
      <c r="T17" s="322"/>
      <c r="U17" s="329" t="s">
        <v>80</v>
      </c>
      <c r="V17" s="321"/>
      <c r="W17" s="323"/>
      <c r="X17" s="323"/>
      <c r="Y17" s="323"/>
      <c r="Z17" s="326"/>
      <c r="AA17" s="330"/>
      <c r="AB17" s="323"/>
      <c r="AC17" s="323"/>
      <c r="AD17" s="323"/>
      <c r="AE17" s="324"/>
      <c r="AF17" s="325"/>
      <c r="AG17" s="323"/>
      <c r="AH17" s="323"/>
      <c r="AI17" s="323"/>
      <c r="AJ17" s="326"/>
      <c r="AK17" s="330"/>
      <c r="AL17" s="323"/>
      <c r="AM17" s="323"/>
      <c r="AN17" s="323"/>
      <c r="AO17" s="324"/>
      <c r="AP17" s="325"/>
      <c r="AQ17" s="323"/>
      <c r="AR17" s="323"/>
      <c r="AS17" s="323"/>
      <c r="AT17" s="326"/>
      <c r="AU17" s="330"/>
      <c r="AV17" s="323"/>
      <c r="AW17" s="323"/>
      <c r="AX17" s="323"/>
      <c r="AY17" s="324"/>
      <c r="AZ17" s="325"/>
      <c r="BA17" s="323"/>
      <c r="BB17" s="323"/>
      <c r="BC17" s="323"/>
      <c r="BD17" s="326"/>
      <c r="BE17" s="330"/>
      <c r="BF17" s="323"/>
      <c r="BG17" s="323"/>
      <c r="BH17" s="323"/>
      <c r="BI17" s="324"/>
      <c r="BJ17" s="325"/>
      <c r="BK17" s="323"/>
      <c r="BL17" s="323"/>
      <c r="BM17" s="323"/>
      <c r="BN17" s="326"/>
      <c r="BO17" s="330"/>
      <c r="BP17" s="323"/>
      <c r="BQ17" s="323"/>
      <c r="BR17" s="323"/>
      <c r="BS17" s="324"/>
      <c r="BT17" s="325"/>
      <c r="BU17" s="323"/>
      <c r="BV17" s="323"/>
      <c r="BW17" s="323"/>
      <c r="BX17" s="326"/>
      <c r="BY17" s="330"/>
      <c r="BZ17" s="323"/>
      <c r="CA17" s="323"/>
      <c r="CB17" s="323"/>
      <c r="CC17" s="324"/>
      <c r="CD17" s="325"/>
      <c r="CE17" s="323"/>
      <c r="CF17" s="323"/>
      <c r="CG17" s="323"/>
      <c r="CH17" s="324"/>
      <c r="CI17" s="325"/>
      <c r="CJ17" s="323"/>
      <c r="CK17" s="323"/>
      <c r="CL17" s="323"/>
      <c r="CM17" s="326"/>
      <c r="CN17" s="45"/>
      <c r="CO17" s="45"/>
      <c r="CP17" s="45"/>
      <c r="CQ17" s="45"/>
      <c r="CR17" s="45"/>
      <c r="CS17" s="45"/>
      <c r="CT17" s="45"/>
      <c r="CU17" s="45"/>
      <c r="CV17" s="45"/>
      <c r="CW17" s="45"/>
      <c r="CX17" s="45"/>
      <c r="CY17" s="45"/>
      <c r="CZ17" s="45"/>
      <c r="DA17" s="45"/>
      <c r="DB17" s="45"/>
      <c r="DC17" s="45"/>
      <c r="DD17" s="45"/>
      <c r="DE17" s="45"/>
      <c r="DF17" s="45"/>
      <c r="DG17" s="45"/>
      <c r="DH17" s="45"/>
      <c r="DI17" s="45"/>
      <c r="DJ17" s="45"/>
      <c r="DK17" s="45"/>
      <c r="DL17" s="45"/>
      <c r="DM17" s="45"/>
      <c r="DN17" s="45"/>
    </row>
    <row r="18" spans="1:118" ht="25.5" customHeight="1">
      <c r="A18" s="321">
        <v>4111</v>
      </c>
      <c r="B18" s="322" t="s">
        <v>11</v>
      </c>
      <c r="C18" s="322" t="s">
        <v>44</v>
      </c>
      <c r="D18" s="322" t="s">
        <v>76</v>
      </c>
      <c r="E18" s="323" t="s">
        <v>53</v>
      </c>
      <c r="F18" s="322"/>
      <c r="G18" s="323" t="s">
        <v>790</v>
      </c>
      <c r="H18" s="324" t="s">
        <v>54</v>
      </c>
      <c r="I18" s="325"/>
      <c r="J18" s="323"/>
      <c r="K18" s="326"/>
      <c r="L18" s="327" t="s">
        <v>78</v>
      </c>
      <c r="M18" s="322" t="s">
        <v>77</v>
      </c>
      <c r="N18" s="322"/>
      <c r="O18" s="322" t="s">
        <v>77</v>
      </c>
      <c r="P18" s="328" t="s">
        <v>77</v>
      </c>
      <c r="Q18" s="327"/>
      <c r="R18" s="322"/>
      <c r="S18" s="322"/>
      <c r="T18" s="322"/>
      <c r="U18" s="329" t="s">
        <v>80</v>
      </c>
      <c r="V18" s="321"/>
      <c r="W18" s="323"/>
      <c r="X18" s="323"/>
      <c r="Y18" s="323"/>
      <c r="Z18" s="326"/>
      <c r="AA18" s="330"/>
      <c r="AB18" s="323"/>
      <c r="AC18" s="323"/>
      <c r="AD18" s="323"/>
      <c r="AE18" s="324"/>
      <c r="AF18" s="325"/>
      <c r="AG18" s="323"/>
      <c r="AH18" s="323"/>
      <c r="AI18" s="323"/>
      <c r="AJ18" s="326"/>
      <c r="AK18" s="330"/>
      <c r="AL18" s="323"/>
      <c r="AM18" s="323"/>
      <c r="AN18" s="323"/>
      <c r="AO18" s="324"/>
      <c r="AP18" s="325"/>
      <c r="AQ18" s="323"/>
      <c r="AR18" s="323"/>
      <c r="AS18" s="323"/>
      <c r="AT18" s="326"/>
      <c r="AU18" s="330"/>
      <c r="AV18" s="323"/>
      <c r="AW18" s="323"/>
      <c r="AX18" s="323"/>
      <c r="AY18" s="324"/>
      <c r="AZ18" s="325"/>
      <c r="BA18" s="323"/>
      <c r="BB18" s="323"/>
      <c r="BC18" s="323"/>
      <c r="BD18" s="326"/>
      <c r="BE18" s="330"/>
      <c r="BF18" s="323"/>
      <c r="BG18" s="323"/>
      <c r="BH18" s="323"/>
      <c r="BI18" s="324"/>
      <c r="BJ18" s="325"/>
      <c r="BK18" s="323"/>
      <c r="BL18" s="323"/>
      <c r="BM18" s="323"/>
      <c r="BN18" s="326"/>
      <c r="BO18" s="330"/>
      <c r="BP18" s="323"/>
      <c r="BQ18" s="323"/>
      <c r="BR18" s="323"/>
      <c r="BS18" s="324"/>
      <c r="BT18" s="325"/>
      <c r="BU18" s="323"/>
      <c r="BV18" s="323"/>
      <c r="BW18" s="323"/>
      <c r="BX18" s="326"/>
      <c r="BY18" s="330"/>
      <c r="BZ18" s="323"/>
      <c r="CA18" s="323"/>
      <c r="CB18" s="323"/>
      <c r="CC18" s="324"/>
      <c r="CD18" s="325"/>
      <c r="CE18" s="323"/>
      <c r="CF18" s="323"/>
      <c r="CG18" s="323"/>
      <c r="CH18" s="324"/>
      <c r="CI18" s="325"/>
      <c r="CJ18" s="323"/>
      <c r="CK18" s="323"/>
      <c r="CL18" s="323"/>
      <c r="CM18" s="326"/>
      <c r="CN18" s="45"/>
      <c r="CO18" s="45"/>
      <c r="CP18" s="45"/>
      <c r="CQ18" s="45"/>
      <c r="CR18" s="45"/>
      <c r="CS18" s="45"/>
      <c r="CT18" s="45"/>
      <c r="CU18" s="45"/>
      <c r="CV18" s="45"/>
      <c r="CW18" s="45"/>
      <c r="CX18" s="45"/>
      <c r="CY18" s="45"/>
      <c r="CZ18" s="45"/>
      <c r="DA18" s="45"/>
      <c r="DB18" s="45"/>
      <c r="DC18" s="45"/>
      <c r="DD18" s="45"/>
      <c r="DE18" s="45"/>
      <c r="DF18" s="45"/>
      <c r="DG18" s="45"/>
      <c r="DH18" s="45"/>
      <c r="DI18" s="45"/>
      <c r="DJ18" s="45"/>
      <c r="DK18" s="45"/>
      <c r="DL18" s="45"/>
      <c r="DM18" s="45"/>
      <c r="DN18" s="45"/>
    </row>
    <row r="19" spans="1:118" ht="25.5" customHeight="1" thickBot="1">
      <c r="A19" s="351">
        <v>4112</v>
      </c>
      <c r="B19" s="352" t="s">
        <v>11</v>
      </c>
      <c r="C19" s="352" t="s">
        <v>44</v>
      </c>
      <c r="D19" s="352" t="s">
        <v>76</v>
      </c>
      <c r="E19" s="353" t="s">
        <v>53</v>
      </c>
      <c r="F19" s="352"/>
      <c r="G19" s="353" t="s">
        <v>792</v>
      </c>
      <c r="H19" s="354" t="s">
        <v>54</v>
      </c>
      <c r="I19" s="355"/>
      <c r="J19" s="353"/>
      <c r="K19" s="356"/>
      <c r="L19" s="357" t="s">
        <v>78</v>
      </c>
      <c r="M19" s="352" t="s">
        <v>77</v>
      </c>
      <c r="N19" s="352"/>
      <c r="O19" s="352" t="s">
        <v>77</v>
      </c>
      <c r="P19" s="358" t="s">
        <v>77</v>
      </c>
      <c r="Q19" s="357"/>
      <c r="R19" s="352"/>
      <c r="S19" s="352"/>
      <c r="T19" s="352"/>
      <c r="U19" s="359" t="s">
        <v>80</v>
      </c>
      <c r="V19" s="351"/>
      <c r="W19" s="353"/>
      <c r="X19" s="353"/>
      <c r="Y19" s="353"/>
      <c r="Z19" s="356"/>
      <c r="AA19" s="360"/>
      <c r="AB19" s="353"/>
      <c r="AC19" s="353"/>
      <c r="AD19" s="353"/>
      <c r="AE19" s="354"/>
      <c r="AF19" s="355"/>
      <c r="AG19" s="353"/>
      <c r="AH19" s="353"/>
      <c r="AI19" s="353"/>
      <c r="AJ19" s="356"/>
      <c r="AK19" s="360"/>
      <c r="AL19" s="353"/>
      <c r="AM19" s="353"/>
      <c r="AN19" s="353"/>
      <c r="AO19" s="354"/>
      <c r="AP19" s="355"/>
      <c r="AQ19" s="353"/>
      <c r="AR19" s="353"/>
      <c r="AS19" s="353"/>
      <c r="AT19" s="356"/>
      <c r="AU19" s="360"/>
      <c r="AV19" s="353"/>
      <c r="AW19" s="353"/>
      <c r="AX19" s="353"/>
      <c r="AY19" s="354"/>
      <c r="AZ19" s="355"/>
      <c r="BA19" s="353"/>
      <c r="BB19" s="353"/>
      <c r="BC19" s="353"/>
      <c r="BD19" s="356"/>
      <c r="BE19" s="360"/>
      <c r="BF19" s="353"/>
      <c r="BG19" s="353"/>
      <c r="BH19" s="353"/>
      <c r="BI19" s="354"/>
      <c r="BJ19" s="355"/>
      <c r="BK19" s="353"/>
      <c r="BL19" s="353"/>
      <c r="BM19" s="353"/>
      <c r="BN19" s="356"/>
      <c r="BO19" s="360"/>
      <c r="BP19" s="353"/>
      <c r="BQ19" s="353"/>
      <c r="BR19" s="353"/>
      <c r="BS19" s="354"/>
      <c r="BT19" s="355"/>
      <c r="BU19" s="353"/>
      <c r="BV19" s="353"/>
      <c r="BW19" s="353"/>
      <c r="BX19" s="356"/>
      <c r="BY19" s="360"/>
      <c r="BZ19" s="353"/>
      <c r="CA19" s="353"/>
      <c r="CB19" s="353"/>
      <c r="CC19" s="354"/>
      <c r="CD19" s="355"/>
      <c r="CE19" s="353"/>
      <c r="CF19" s="353"/>
      <c r="CG19" s="353"/>
      <c r="CH19" s="354"/>
      <c r="CI19" s="355"/>
      <c r="CJ19" s="353"/>
      <c r="CK19" s="353"/>
      <c r="CL19" s="353"/>
      <c r="CM19" s="356"/>
      <c r="CN19" s="45"/>
      <c r="CO19" s="45"/>
      <c r="CP19" s="45"/>
      <c r="CQ19" s="45"/>
      <c r="CR19" s="45"/>
      <c r="CS19" s="45"/>
      <c r="CT19" s="45"/>
      <c r="CU19" s="45"/>
      <c r="CV19" s="45"/>
      <c r="CW19" s="45"/>
      <c r="CX19" s="45"/>
      <c r="CY19" s="45"/>
      <c r="CZ19" s="45"/>
      <c r="DA19" s="45"/>
      <c r="DB19" s="45"/>
      <c r="DC19" s="45"/>
      <c r="DD19" s="45"/>
      <c r="DE19" s="45"/>
      <c r="DF19" s="45"/>
      <c r="DG19" s="45"/>
      <c r="DH19" s="45"/>
      <c r="DI19" s="45"/>
      <c r="DJ19" s="45"/>
      <c r="DK19" s="45"/>
      <c r="DL19" s="45"/>
      <c r="DM19" s="45"/>
      <c r="DN19" s="45"/>
    </row>
    <row r="20" spans="1:118" ht="25.5" customHeight="1">
      <c r="A20" s="361">
        <v>4113</v>
      </c>
      <c r="B20" s="362" t="s">
        <v>11</v>
      </c>
      <c r="C20" s="362" t="s">
        <v>44</v>
      </c>
      <c r="D20" s="362" t="s">
        <v>76</v>
      </c>
      <c r="E20" s="363" t="s">
        <v>53</v>
      </c>
      <c r="F20" s="362"/>
      <c r="G20" s="363" t="s">
        <v>794</v>
      </c>
      <c r="H20" s="364" t="s">
        <v>54</v>
      </c>
      <c r="I20" s="365"/>
      <c r="J20" s="363"/>
      <c r="K20" s="366"/>
      <c r="L20" s="367" t="s">
        <v>78</v>
      </c>
      <c r="M20" s="362" t="s">
        <v>77</v>
      </c>
      <c r="N20" s="362"/>
      <c r="O20" s="362" t="s">
        <v>77</v>
      </c>
      <c r="P20" s="368" t="s">
        <v>77</v>
      </c>
      <c r="Q20" s="367"/>
      <c r="R20" s="362"/>
      <c r="S20" s="362"/>
      <c r="T20" s="362"/>
      <c r="U20" s="369" t="s">
        <v>80</v>
      </c>
      <c r="V20" s="361"/>
      <c r="W20" s="363"/>
      <c r="X20" s="363"/>
      <c r="Y20" s="363"/>
      <c r="Z20" s="366"/>
      <c r="AA20" s="370"/>
      <c r="AB20" s="363"/>
      <c r="AC20" s="363"/>
      <c r="AD20" s="363"/>
      <c r="AE20" s="364"/>
      <c r="AF20" s="365"/>
      <c r="AG20" s="363"/>
      <c r="AH20" s="363"/>
      <c r="AI20" s="363"/>
      <c r="AJ20" s="366"/>
      <c r="AK20" s="370"/>
      <c r="AL20" s="363"/>
      <c r="AM20" s="363"/>
      <c r="AN20" s="363"/>
      <c r="AO20" s="364"/>
      <c r="AP20" s="365"/>
      <c r="AQ20" s="363"/>
      <c r="AR20" s="363"/>
      <c r="AS20" s="363"/>
      <c r="AT20" s="366"/>
      <c r="AU20" s="370"/>
      <c r="AV20" s="363"/>
      <c r="AW20" s="363"/>
      <c r="AX20" s="363"/>
      <c r="AY20" s="364"/>
      <c r="AZ20" s="365"/>
      <c r="BA20" s="363"/>
      <c r="BB20" s="363"/>
      <c r="BC20" s="363"/>
      <c r="BD20" s="366"/>
      <c r="BE20" s="370"/>
      <c r="BF20" s="363"/>
      <c r="BG20" s="363"/>
      <c r="BH20" s="363"/>
      <c r="BI20" s="364"/>
      <c r="BJ20" s="365"/>
      <c r="BK20" s="363"/>
      <c r="BL20" s="363"/>
      <c r="BM20" s="363"/>
      <c r="BN20" s="366"/>
      <c r="BO20" s="370"/>
      <c r="BP20" s="363"/>
      <c r="BQ20" s="363"/>
      <c r="BR20" s="363"/>
      <c r="BS20" s="364"/>
      <c r="BT20" s="365"/>
      <c r="BU20" s="363"/>
      <c r="BV20" s="363"/>
      <c r="BW20" s="363"/>
      <c r="BX20" s="366"/>
      <c r="BY20" s="370"/>
      <c r="BZ20" s="363"/>
      <c r="CA20" s="363"/>
      <c r="CB20" s="363"/>
      <c r="CC20" s="364"/>
      <c r="CD20" s="365"/>
      <c r="CE20" s="363"/>
      <c r="CF20" s="363"/>
      <c r="CG20" s="363"/>
      <c r="CH20" s="364"/>
      <c r="CI20" s="365"/>
      <c r="CJ20" s="363"/>
      <c r="CK20" s="363"/>
      <c r="CL20" s="363"/>
      <c r="CM20" s="366"/>
      <c r="CN20" s="45"/>
      <c r="CO20" s="45"/>
      <c r="CP20" s="45"/>
      <c r="CQ20" s="45"/>
      <c r="CR20" s="45"/>
      <c r="CS20" s="45"/>
      <c r="CT20" s="45"/>
      <c r="CU20" s="45"/>
      <c r="CV20" s="45"/>
      <c r="CW20" s="45"/>
      <c r="CX20" s="46"/>
      <c r="CY20" s="45"/>
      <c r="CZ20" s="45"/>
      <c r="DA20" s="46"/>
      <c r="DB20" s="45"/>
      <c r="DC20" s="45"/>
      <c r="DD20" s="45"/>
      <c r="DE20" s="45"/>
      <c r="DF20" s="46"/>
      <c r="DG20" s="45"/>
      <c r="DH20" s="45"/>
      <c r="DI20" s="45"/>
      <c r="DJ20" s="45"/>
      <c r="DK20" s="45"/>
      <c r="DL20" s="45"/>
      <c r="DM20" s="45"/>
      <c r="DN20" s="45"/>
    </row>
    <row r="21" spans="1:118" ht="25.5" customHeight="1">
      <c r="A21" s="321">
        <v>4114</v>
      </c>
      <c r="B21" s="322" t="s">
        <v>11</v>
      </c>
      <c r="C21" s="322" t="s">
        <v>44</v>
      </c>
      <c r="D21" s="322" t="s">
        <v>76</v>
      </c>
      <c r="E21" s="323" t="s">
        <v>53</v>
      </c>
      <c r="F21" s="322"/>
      <c r="G21" s="323" t="s">
        <v>796</v>
      </c>
      <c r="H21" s="324" t="s">
        <v>54</v>
      </c>
      <c r="I21" s="325"/>
      <c r="J21" s="323"/>
      <c r="K21" s="326"/>
      <c r="L21" s="327" t="s">
        <v>78</v>
      </c>
      <c r="M21" s="322" t="s">
        <v>77</v>
      </c>
      <c r="N21" s="322"/>
      <c r="O21" s="322" t="s">
        <v>77</v>
      </c>
      <c r="P21" s="328" t="s">
        <v>77</v>
      </c>
      <c r="Q21" s="327"/>
      <c r="R21" s="322"/>
      <c r="S21" s="322"/>
      <c r="T21" s="322"/>
      <c r="U21" s="329" t="s">
        <v>80</v>
      </c>
      <c r="V21" s="321"/>
      <c r="W21" s="323"/>
      <c r="X21" s="323"/>
      <c r="Y21" s="323"/>
      <c r="Z21" s="326"/>
      <c r="AA21" s="330"/>
      <c r="AB21" s="323"/>
      <c r="AC21" s="323"/>
      <c r="AD21" s="323"/>
      <c r="AE21" s="324"/>
      <c r="AF21" s="325"/>
      <c r="AG21" s="323"/>
      <c r="AH21" s="323"/>
      <c r="AI21" s="323"/>
      <c r="AJ21" s="326"/>
      <c r="AK21" s="330"/>
      <c r="AL21" s="323"/>
      <c r="AM21" s="323"/>
      <c r="AN21" s="323"/>
      <c r="AO21" s="324"/>
      <c r="AP21" s="325"/>
      <c r="AQ21" s="323"/>
      <c r="AR21" s="323"/>
      <c r="AS21" s="323"/>
      <c r="AT21" s="326"/>
      <c r="AU21" s="330"/>
      <c r="AV21" s="323"/>
      <c r="AW21" s="323"/>
      <c r="AX21" s="323"/>
      <c r="AY21" s="324"/>
      <c r="AZ21" s="325"/>
      <c r="BA21" s="323"/>
      <c r="BB21" s="323"/>
      <c r="BC21" s="323"/>
      <c r="BD21" s="326"/>
      <c r="BE21" s="330"/>
      <c r="BF21" s="323"/>
      <c r="BG21" s="323"/>
      <c r="BH21" s="323"/>
      <c r="BI21" s="324"/>
      <c r="BJ21" s="325"/>
      <c r="BK21" s="323"/>
      <c r="BL21" s="323"/>
      <c r="BM21" s="323"/>
      <c r="BN21" s="326"/>
      <c r="BO21" s="330"/>
      <c r="BP21" s="323"/>
      <c r="BQ21" s="323"/>
      <c r="BR21" s="323"/>
      <c r="BS21" s="324"/>
      <c r="BT21" s="325"/>
      <c r="BU21" s="323"/>
      <c r="BV21" s="323"/>
      <c r="BW21" s="323"/>
      <c r="BX21" s="326"/>
      <c r="BY21" s="330"/>
      <c r="BZ21" s="323"/>
      <c r="CA21" s="323"/>
      <c r="CB21" s="323"/>
      <c r="CC21" s="324"/>
      <c r="CD21" s="325"/>
      <c r="CE21" s="323"/>
      <c r="CF21" s="323"/>
      <c r="CG21" s="323"/>
      <c r="CH21" s="324"/>
      <c r="CI21" s="325"/>
      <c r="CJ21" s="323"/>
      <c r="CK21" s="323"/>
      <c r="CL21" s="323"/>
      <c r="CM21" s="326"/>
    </row>
    <row r="22" spans="1:118" ht="25.5" customHeight="1">
      <c r="A22" s="321">
        <v>4115</v>
      </c>
      <c r="B22" s="322" t="s">
        <v>11</v>
      </c>
      <c r="C22" s="322" t="s">
        <v>44</v>
      </c>
      <c r="D22" s="322" t="s">
        <v>76</v>
      </c>
      <c r="E22" s="323" t="s">
        <v>53</v>
      </c>
      <c r="F22" s="322"/>
      <c r="G22" s="323" t="s">
        <v>798</v>
      </c>
      <c r="H22" s="371" t="s">
        <v>54</v>
      </c>
      <c r="I22" s="325"/>
      <c r="J22" s="323"/>
      <c r="K22" s="326"/>
      <c r="L22" s="327" t="s">
        <v>78</v>
      </c>
      <c r="M22" s="322" t="s">
        <v>77</v>
      </c>
      <c r="N22" s="322"/>
      <c r="O22" s="322" t="s">
        <v>77</v>
      </c>
      <c r="P22" s="328" t="s">
        <v>77</v>
      </c>
      <c r="Q22" s="327"/>
      <c r="R22" s="322"/>
      <c r="S22" s="322"/>
      <c r="T22" s="322"/>
      <c r="U22" s="329" t="s">
        <v>80</v>
      </c>
      <c r="V22" s="321"/>
      <c r="W22" s="372"/>
      <c r="X22" s="372"/>
      <c r="Y22" s="372"/>
      <c r="Z22" s="373"/>
      <c r="AA22" s="374"/>
      <c r="AB22" s="372"/>
      <c r="AC22" s="372"/>
      <c r="AD22" s="372"/>
      <c r="AE22" s="371"/>
      <c r="AF22" s="375"/>
      <c r="AG22" s="372"/>
      <c r="AH22" s="372"/>
      <c r="AI22" s="372"/>
      <c r="AJ22" s="373"/>
      <c r="AK22" s="374"/>
      <c r="AL22" s="372"/>
      <c r="AM22" s="372"/>
      <c r="AN22" s="372"/>
      <c r="AO22" s="371"/>
      <c r="AP22" s="375"/>
      <c r="AQ22" s="372"/>
      <c r="AR22" s="372"/>
      <c r="AS22" s="372"/>
      <c r="AT22" s="373"/>
      <c r="AU22" s="374"/>
      <c r="AV22" s="372"/>
      <c r="AW22" s="372"/>
      <c r="AX22" s="372"/>
      <c r="AY22" s="371"/>
      <c r="AZ22" s="375"/>
      <c r="BA22" s="372"/>
      <c r="BB22" s="372"/>
      <c r="BC22" s="372"/>
      <c r="BD22" s="373"/>
      <c r="BE22" s="374"/>
      <c r="BF22" s="372"/>
      <c r="BG22" s="372"/>
      <c r="BH22" s="372"/>
      <c r="BI22" s="371"/>
      <c r="BJ22" s="375"/>
      <c r="BK22" s="372"/>
      <c r="BL22" s="372"/>
      <c r="BM22" s="372"/>
      <c r="BN22" s="373"/>
      <c r="BO22" s="374"/>
      <c r="BP22" s="372"/>
      <c r="BQ22" s="372"/>
      <c r="BR22" s="372"/>
      <c r="BS22" s="371"/>
      <c r="BT22" s="375"/>
      <c r="BU22" s="372"/>
      <c r="BV22" s="372"/>
      <c r="BW22" s="372"/>
      <c r="BX22" s="373"/>
      <c r="BY22" s="374"/>
      <c r="BZ22" s="372"/>
      <c r="CA22" s="372"/>
      <c r="CB22" s="372"/>
      <c r="CC22" s="371"/>
      <c r="CD22" s="375"/>
      <c r="CE22" s="372"/>
      <c r="CF22" s="372"/>
      <c r="CG22" s="372"/>
      <c r="CH22" s="371"/>
      <c r="CI22" s="375"/>
      <c r="CJ22" s="372"/>
      <c r="CK22" s="372"/>
      <c r="CL22" s="372"/>
      <c r="CM22" s="373"/>
    </row>
    <row r="23" spans="1:118" ht="25.5" customHeight="1">
      <c r="A23" s="321">
        <v>4116</v>
      </c>
      <c r="B23" s="322" t="s">
        <v>11</v>
      </c>
      <c r="C23" s="322" t="s">
        <v>44</v>
      </c>
      <c r="D23" s="322" t="s">
        <v>76</v>
      </c>
      <c r="E23" s="323" t="s">
        <v>53</v>
      </c>
      <c r="F23" s="322"/>
      <c r="G23" s="323" t="s">
        <v>800</v>
      </c>
      <c r="H23" s="371" t="s">
        <v>54</v>
      </c>
      <c r="I23" s="325"/>
      <c r="J23" s="323"/>
      <c r="K23" s="326"/>
      <c r="L23" s="327" t="s">
        <v>78</v>
      </c>
      <c r="M23" s="322" t="s">
        <v>77</v>
      </c>
      <c r="N23" s="322"/>
      <c r="O23" s="322" t="s">
        <v>77</v>
      </c>
      <c r="P23" s="328" t="s">
        <v>77</v>
      </c>
      <c r="Q23" s="327"/>
      <c r="R23" s="322"/>
      <c r="S23" s="322"/>
      <c r="T23" s="322"/>
      <c r="U23" s="329" t="s">
        <v>80</v>
      </c>
      <c r="V23" s="321"/>
      <c r="W23" s="372"/>
      <c r="X23" s="372"/>
      <c r="Y23" s="372"/>
      <c r="Z23" s="373"/>
      <c r="AA23" s="374"/>
      <c r="AB23" s="372"/>
      <c r="AC23" s="372"/>
      <c r="AD23" s="372"/>
      <c r="AE23" s="371"/>
      <c r="AF23" s="375"/>
      <c r="AG23" s="372"/>
      <c r="AH23" s="372"/>
      <c r="AI23" s="372"/>
      <c r="AJ23" s="373"/>
      <c r="AK23" s="374"/>
      <c r="AL23" s="372"/>
      <c r="AM23" s="372"/>
      <c r="AN23" s="372"/>
      <c r="AO23" s="371"/>
      <c r="AP23" s="375"/>
      <c r="AQ23" s="372"/>
      <c r="AR23" s="372"/>
      <c r="AS23" s="372"/>
      <c r="AT23" s="373"/>
      <c r="AU23" s="374"/>
      <c r="AV23" s="372"/>
      <c r="AW23" s="372"/>
      <c r="AX23" s="372"/>
      <c r="AY23" s="371"/>
      <c r="AZ23" s="375"/>
      <c r="BA23" s="372"/>
      <c r="BB23" s="372"/>
      <c r="BC23" s="372"/>
      <c r="BD23" s="373"/>
      <c r="BE23" s="374"/>
      <c r="BF23" s="372"/>
      <c r="BG23" s="372"/>
      <c r="BH23" s="372"/>
      <c r="BI23" s="371"/>
      <c r="BJ23" s="375"/>
      <c r="BK23" s="372"/>
      <c r="BL23" s="372"/>
      <c r="BM23" s="372"/>
      <c r="BN23" s="373"/>
      <c r="BO23" s="374"/>
      <c r="BP23" s="372"/>
      <c r="BQ23" s="372"/>
      <c r="BR23" s="372"/>
      <c r="BS23" s="371"/>
      <c r="BT23" s="375"/>
      <c r="BU23" s="372"/>
      <c r="BV23" s="372"/>
      <c r="BW23" s="372"/>
      <c r="BX23" s="373"/>
      <c r="BY23" s="374"/>
      <c r="BZ23" s="372"/>
      <c r="CA23" s="372"/>
      <c r="CB23" s="372"/>
      <c r="CC23" s="371"/>
      <c r="CD23" s="375"/>
      <c r="CE23" s="372"/>
      <c r="CF23" s="372"/>
      <c r="CG23" s="372"/>
      <c r="CH23" s="371"/>
      <c r="CI23" s="375"/>
      <c r="CJ23" s="372"/>
      <c r="CK23" s="372"/>
      <c r="CL23" s="372"/>
      <c r="CM23" s="373"/>
    </row>
    <row r="24" spans="1:118" ht="25.5" customHeight="1" thickBot="1">
      <c r="A24" s="331">
        <v>4117</v>
      </c>
      <c r="B24" s="332" t="s">
        <v>11</v>
      </c>
      <c r="C24" s="332" t="s">
        <v>44</v>
      </c>
      <c r="D24" s="332" t="s">
        <v>76</v>
      </c>
      <c r="E24" s="333" t="s">
        <v>53</v>
      </c>
      <c r="F24" s="332"/>
      <c r="G24" s="333" t="s">
        <v>802</v>
      </c>
      <c r="H24" s="376" t="s">
        <v>54</v>
      </c>
      <c r="I24" s="335"/>
      <c r="J24" s="333"/>
      <c r="K24" s="336"/>
      <c r="L24" s="337" t="s">
        <v>78</v>
      </c>
      <c r="M24" s="332" t="s">
        <v>77</v>
      </c>
      <c r="N24" s="332"/>
      <c r="O24" s="332" t="s">
        <v>77</v>
      </c>
      <c r="P24" s="338" t="s">
        <v>77</v>
      </c>
      <c r="Q24" s="337"/>
      <c r="R24" s="332"/>
      <c r="S24" s="332"/>
      <c r="T24" s="332"/>
      <c r="U24" s="339" t="s">
        <v>80</v>
      </c>
      <c r="V24" s="331"/>
      <c r="W24" s="377"/>
      <c r="X24" s="377"/>
      <c r="Y24" s="377"/>
      <c r="Z24" s="378"/>
      <c r="AA24" s="379"/>
      <c r="AB24" s="377"/>
      <c r="AC24" s="377"/>
      <c r="AD24" s="377"/>
      <c r="AE24" s="376"/>
      <c r="AF24" s="380"/>
      <c r="AG24" s="377"/>
      <c r="AH24" s="377"/>
      <c r="AI24" s="377"/>
      <c r="AJ24" s="378"/>
      <c r="AK24" s="379"/>
      <c r="AL24" s="377"/>
      <c r="AM24" s="377"/>
      <c r="AN24" s="377"/>
      <c r="AO24" s="376"/>
      <c r="AP24" s="380"/>
      <c r="AQ24" s="377"/>
      <c r="AR24" s="377"/>
      <c r="AS24" s="377"/>
      <c r="AT24" s="378"/>
      <c r="AU24" s="379"/>
      <c r="AV24" s="377"/>
      <c r="AW24" s="377"/>
      <c r="AX24" s="377"/>
      <c r="AY24" s="376"/>
      <c r="AZ24" s="380"/>
      <c r="BA24" s="377"/>
      <c r="BB24" s="377"/>
      <c r="BC24" s="377"/>
      <c r="BD24" s="378"/>
      <c r="BE24" s="379"/>
      <c r="BF24" s="377"/>
      <c r="BG24" s="377"/>
      <c r="BH24" s="377"/>
      <c r="BI24" s="376"/>
      <c r="BJ24" s="380"/>
      <c r="BK24" s="377"/>
      <c r="BL24" s="377"/>
      <c r="BM24" s="377"/>
      <c r="BN24" s="378"/>
      <c r="BO24" s="379"/>
      <c r="BP24" s="377"/>
      <c r="BQ24" s="377"/>
      <c r="BR24" s="377"/>
      <c r="BS24" s="376"/>
      <c r="BT24" s="380"/>
      <c r="BU24" s="377"/>
      <c r="BV24" s="377"/>
      <c r="BW24" s="377"/>
      <c r="BX24" s="378"/>
      <c r="BY24" s="379"/>
      <c r="BZ24" s="377"/>
      <c r="CA24" s="377"/>
      <c r="CB24" s="377"/>
      <c r="CC24" s="376"/>
      <c r="CD24" s="380"/>
      <c r="CE24" s="377"/>
      <c r="CF24" s="377"/>
      <c r="CG24" s="377"/>
      <c r="CH24" s="376"/>
      <c r="CI24" s="380"/>
      <c r="CJ24" s="377"/>
      <c r="CK24" s="377"/>
      <c r="CL24" s="377"/>
      <c r="CM24" s="378"/>
    </row>
    <row r="25" spans="1:118" ht="25.5" customHeight="1">
      <c r="A25" s="341">
        <v>4118</v>
      </c>
      <c r="B25" s="342" t="s">
        <v>11</v>
      </c>
      <c r="C25" s="342" t="s">
        <v>44</v>
      </c>
      <c r="D25" s="342" t="s">
        <v>76</v>
      </c>
      <c r="E25" s="343" t="s">
        <v>53</v>
      </c>
      <c r="F25" s="342"/>
      <c r="G25" s="343" t="s">
        <v>804</v>
      </c>
      <c r="H25" s="344" t="s">
        <v>54</v>
      </c>
      <c r="I25" s="345"/>
      <c r="J25" s="343"/>
      <c r="K25" s="346"/>
      <c r="L25" s="347" t="s">
        <v>78</v>
      </c>
      <c r="M25" s="342" t="s">
        <v>77</v>
      </c>
      <c r="N25" s="342"/>
      <c r="O25" s="342" t="s">
        <v>77</v>
      </c>
      <c r="P25" s="348" t="s">
        <v>77</v>
      </c>
      <c r="Q25" s="347"/>
      <c r="R25" s="342"/>
      <c r="S25" s="342"/>
      <c r="T25" s="342"/>
      <c r="U25" s="349" t="s">
        <v>80</v>
      </c>
      <c r="V25" s="341"/>
      <c r="W25" s="381"/>
      <c r="X25" s="381"/>
      <c r="Y25" s="381"/>
      <c r="Z25" s="382"/>
      <c r="AA25" s="383"/>
      <c r="AB25" s="381"/>
      <c r="AC25" s="381"/>
      <c r="AD25" s="381"/>
      <c r="AE25" s="384"/>
      <c r="AF25" s="385"/>
      <c r="AG25" s="381"/>
      <c r="AH25" s="381"/>
      <c r="AI25" s="381"/>
      <c r="AJ25" s="382"/>
      <c r="AK25" s="383"/>
      <c r="AL25" s="381"/>
      <c r="AM25" s="381"/>
      <c r="AN25" s="381"/>
      <c r="AO25" s="384"/>
      <c r="AP25" s="385"/>
      <c r="AQ25" s="381"/>
      <c r="AR25" s="381"/>
      <c r="AS25" s="381"/>
      <c r="AT25" s="382"/>
      <c r="AU25" s="383"/>
      <c r="AV25" s="381"/>
      <c r="AW25" s="381"/>
      <c r="AX25" s="381"/>
      <c r="AY25" s="384"/>
      <c r="AZ25" s="385"/>
      <c r="BA25" s="381"/>
      <c r="BB25" s="381"/>
      <c r="BC25" s="381"/>
      <c r="BD25" s="382"/>
      <c r="BE25" s="383"/>
      <c r="BF25" s="381"/>
      <c r="BG25" s="381"/>
      <c r="BH25" s="381"/>
      <c r="BI25" s="384"/>
      <c r="BJ25" s="385"/>
      <c r="BK25" s="381"/>
      <c r="BL25" s="381"/>
      <c r="BM25" s="381"/>
      <c r="BN25" s="382"/>
      <c r="BO25" s="383"/>
      <c r="BP25" s="381"/>
      <c r="BQ25" s="381"/>
      <c r="BR25" s="381"/>
      <c r="BS25" s="384"/>
      <c r="BT25" s="385"/>
      <c r="BU25" s="381"/>
      <c r="BV25" s="381"/>
      <c r="BW25" s="381"/>
      <c r="BX25" s="382"/>
      <c r="BY25" s="383"/>
      <c r="BZ25" s="381"/>
      <c r="CA25" s="381"/>
      <c r="CB25" s="381"/>
      <c r="CC25" s="384"/>
      <c r="CD25" s="385"/>
      <c r="CE25" s="381"/>
      <c r="CF25" s="381"/>
      <c r="CG25" s="381"/>
      <c r="CH25" s="384"/>
      <c r="CI25" s="385"/>
      <c r="CJ25" s="381"/>
      <c r="CK25" s="381"/>
      <c r="CL25" s="381"/>
      <c r="CM25" s="382"/>
    </row>
    <row r="26" spans="1:118" ht="25.5" customHeight="1">
      <c r="A26" s="386">
        <v>4119</v>
      </c>
      <c r="B26" s="387" t="s">
        <v>11</v>
      </c>
      <c r="C26" s="387" t="s">
        <v>44</v>
      </c>
      <c r="D26" s="387" t="s">
        <v>76</v>
      </c>
      <c r="E26" s="372" t="s">
        <v>53</v>
      </c>
      <c r="F26" s="387"/>
      <c r="G26" s="372" t="s">
        <v>806</v>
      </c>
      <c r="H26" s="371" t="s">
        <v>54</v>
      </c>
      <c r="I26" s="375"/>
      <c r="J26" s="372"/>
      <c r="K26" s="373"/>
      <c r="L26" s="388" t="s">
        <v>78</v>
      </c>
      <c r="M26" s="387" t="s">
        <v>77</v>
      </c>
      <c r="N26" s="387"/>
      <c r="O26" s="387" t="s">
        <v>77</v>
      </c>
      <c r="P26" s="389" t="s">
        <v>77</v>
      </c>
      <c r="Q26" s="388"/>
      <c r="R26" s="387"/>
      <c r="S26" s="387"/>
      <c r="T26" s="387"/>
      <c r="U26" s="390" t="s">
        <v>80</v>
      </c>
      <c r="V26" s="386"/>
      <c r="W26" s="372"/>
      <c r="X26" s="372"/>
      <c r="Y26" s="372"/>
      <c r="Z26" s="373"/>
      <c r="AA26" s="374"/>
      <c r="AB26" s="372"/>
      <c r="AC26" s="372"/>
      <c r="AD26" s="372"/>
      <c r="AE26" s="371"/>
      <c r="AF26" s="375"/>
      <c r="AG26" s="372"/>
      <c r="AH26" s="372"/>
      <c r="AI26" s="372"/>
      <c r="AJ26" s="373"/>
      <c r="AK26" s="374"/>
      <c r="AL26" s="372"/>
      <c r="AM26" s="372"/>
      <c r="AN26" s="372"/>
      <c r="AO26" s="371"/>
      <c r="AP26" s="375"/>
      <c r="AQ26" s="372"/>
      <c r="AR26" s="372"/>
      <c r="AS26" s="372"/>
      <c r="AT26" s="373"/>
      <c r="AU26" s="374"/>
      <c r="AV26" s="372"/>
      <c r="AW26" s="372"/>
      <c r="AX26" s="372"/>
      <c r="AY26" s="371"/>
      <c r="AZ26" s="375"/>
      <c r="BA26" s="372"/>
      <c r="BB26" s="372"/>
      <c r="BC26" s="372"/>
      <c r="BD26" s="373"/>
      <c r="BE26" s="374"/>
      <c r="BF26" s="372"/>
      <c r="BG26" s="372"/>
      <c r="BH26" s="372"/>
      <c r="BI26" s="371"/>
      <c r="BJ26" s="375"/>
      <c r="BK26" s="372"/>
      <c r="BL26" s="372"/>
      <c r="BM26" s="372"/>
      <c r="BN26" s="373"/>
      <c r="BO26" s="374"/>
      <c r="BP26" s="372"/>
      <c r="BQ26" s="372"/>
      <c r="BR26" s="372"/>
      <c r="BS26" s="371"/>
      <c r="BT26" s="375"/>
      <c r="BU26" s="372"/>
      <c r="BV26" s="372"/>
      <c r="BW26" s="372"/>
      <c r="BX26" s="373"/>
      <c r="BY26" s="374"/>
      <c r="BZ26" s="372"/>
      <c r="CA26" s="372"/>
      <c r="CB26" s="372"/>
      <c r="CC26" s="371"/>
      <c r="CD26" s="375"/>
      <c r="CE26" s="372"/>
      <c r="CF26" s="372"/>
      <c r="CG26" s="372"/>
      <c r="CH26" s="371"/>
      <c r="CI26" s="375"/>
      <c r="CJ26" s="372"/>
      <c r="CK26" s="372"/>
      <c r="CL26" s="372"/>
      <c r="CM26" s="373"/>
    </row>
    <row r="27" spans="1:118" ht="25.5" customHeight="1">
      <c r="A27" s="386">
        <v>4120</v>
      </c>
      <c r="B27" s="387" t="s">
        <v>11</v>
      </c>
      <c r="C27" s="387" t="s">
        <v>44</v>
      </c>
      <c r="D27" s="387" t="s">
        <v>76</v>
      </c>
      <c r="E27" s="372" t="s">
        <v>53</v>
      </c>
      <c r="F27" s="387"/>
      <c r="G27" s="372" t="s">
        <v>808</v>
      </c>
      <c r="H27" s="371" t="s">
        <v>54</v>
      </c>
      <c r="I27" s="375"/>
      <c r="J27" s="372"/>
      <c r="K27" s="373"/>
      <c r="L27" s="388" t="s">
        <v>78</v>
      </c>
      <c r="M27" s="387" t="s">
        <v>77</v>
      </c>
      <c r="N27" s="387"/>
      <c r="O27" s="387" t="s">
        <v>77</v>
      </c>
      <c r="P27" s="389" t="s">
        <v>77</v>
      </c>
      <c r="Q27" s="388"/>
      <c r="R27" s="387"/>
      <c r="S27" s="387"/>
      <c r="T27" s="387"/>
      <c r="U27" s="390" t="s">
        <v>80</v>
      </c>
      <c r="V27" s="386"/>
      <c r="W27" s="372"/>
      <c r="X27" s="372"/>
      <c r="Y27" s="372"/>
      <c r="Z27" s="373"/>
      <c r="AA27" s="374"/>
      <c r="AB27" s="372"/>
      <c r="AC27" s="372"/>
      <c r="AD27" s="372"/>
      <c r="AE27" s="371"/>
      <c r="AF27" s="375"/>
      <c r="AG27" s="372"/>
      <c r="AH27" s="372"/>
      <c r="AI27" s="372"/>
      <c r="AJ27" s="373"/>
      <c r="AK27" s="374"/>
      <c r="AL27" s="372"/>
      <c r="AM27" s="372"/>
      <c r="AN27" s="372"/>
      <c r="AO27" s="371"/>
      <c r="AP27" s="375"/>
      <c r="AQ27" s="372"/>
      <c r="AR27" s="372"/>
      <c r="AS27" s="372"/>
      <c r="AT27" s="373"/>
      <c r="AU27" s="374"/>
      <c r="AV27" s="372"/>
      <c r="AW27" s="372"/>
      <c r="AX27" s="372"/>
      <c r="AY27" s="371"/>
      <c r="AZ27" s="375"/>
      <c r="BA27" s="372"/>
      <c r="BB27" s="372"/>
      <c r="BC27" s="372"/>
      <c r="BD27" s="373"/>
      <c r="BE27" s="374"/>
      <c r="BF27" s="372"/>
      <c r="BG27" s="372"/>
      <c r="BH27" s="372"/>
      <c r="BI27" s="371"/>
      <c r="BJ27" s="375"/>
      <c r="BK27" s="372"/>
      <c r="BL27" s="372"/>
      <c r="BM27" s="372"/>
      <c r="BN27" s="373"/>
      <c r="BO27" s="374"/>
      <c r="BP27" s="372"/>
      <c r="BQ27" s="372"/>
      <c r="BR27" s="372"/>
      <c r="BS27" s="371"/>
      <c r="BT27" s="375"/>
      <c r="BU27" s="372"/>
      <c r="BV27" s="372"/>
      <c r="BW27" s="372"/>
      <c r="BX27" s="373"/>
      <c r="BY27" s="374"/>
      <c r="BZ27" s="372"/>
      <c r="CA27" s="372"/>
      <c r="CB27" s="372"/>
      <c r="CC27" s="371"/>
      <c r="CD27" s="375"/>
      <c r="CE27" s="372"/>
      <c r="CF27" s="372"/>
      <c r="CG27" s="372"/>
      <c r="CH27" s="371"/>
      <c r="CI27" s="375"/>
      <c r="CJ27" s="372"/>
      <c r="CK27" s="372"/>
      <c r="CL27" s="372"/>
      <c r="CM27" s="373"/>
    </row>
    <row r="28" spans="1:118" ht="25.5" customHeight="1">
      <c r="A28" s="386">
        <v>4121</v>
      </c>
      <c r="B28" s="387" t="s">
        <v>11</v>
      </c>
      <c r="C28" s="387" t="s">
        <v>44</v>
      </c>
      <c r="D28" s="387" t="s">
        <v>76</v>
      </c>
      <c r="E28" s="372" t="s">
        <v>53</v>
      </c>
      <c r="F28" s="387"/>
      <c r="G28" s="372" t="s">
        <v>810</v>
      </c>
      <c r="H28" s="371" t="s">
        <v>54</v>
      </c>
      <c r="I28" s="375"/>
      <c r="J28" s="372"/>
      <c r="K28" s="373"/>
      <c r="L28" s="388" t="s">
        <v>78</v>
      </c>
      <c r="M28" s="387" t="s">
        <v>77</v>
      </c>
      <c r="N28" s="387"/>
      <c r="O28" s="387" t="s">
        <v>77</v>
      </c>
      <c r="P28" s="389" t="s">
        <v>77</v>
      </c>
      <c r="Q28" s="388"/>
      <c r="R28" s="387"/>
      <c r="S28" s="387"/>
      <c r="T28" s="387"/>
      <c r="U28" s="390" t="s">
        <v>80</v>
      </c>
      <c r="V28" s="386"/>
      <c r="W28" s="372"/>
      <c r="X28" s="372"/>
      <c r="Y28" s="372"/>
      <c r="Z28" s="373"/>
      <c r="AA28" s="374"/>
      <c r="AB28" s="372"/>
      <c r="AC28" s="372"/>
      <c r="AD28" s="372"/>
      <c r="AE28" s="371"/>
      <c r="AF28" s="375"/>
      <c r="AG28" s="372"/>
      <c r="AH28" s="372"/>
      <c r="AI28" s="372"/>
      <c r="AJ28" s="373"/>
      <c r="AK28" s="374"/>
      <c r="AL28" s="372"/>
      <c r="AM28" s="372"/>
      <c r="AN28" s="372"/>
      <c r="AO28" s="371"/>
      <c r="AP28" s="375"/>
      <c r="AQ28" s="372"/>
      <c r="AR28" s="372"/>
      <c r="AS28" s="372"/>
      <c r="AT28" s="373"/>
      <c r="AU28" s="374"/>
      <c r="AV28" s="372"/>
      <c r="AW28" s="372"/>
      <c r="AX28" s="372"/>
      <c r="AY28" s="371"/>
      <c r="AZ28" s="375"/>
      <c r="BA28" s="372"/>
      <c r="BB28" s="372"/>
      <c r="BC28" s="372"/>
      <c r="BD28" s="373"/>
      <c r="BE28" s="374"/>
      <c r="BF28" s="372"/>
      <c r="BG28" s="372"/>
      <c r="BH28" s="372"/>
      <c r="BI28" s="371"/>
      <c r="BJ28" s="375"/>
      <c r="BK28" s="372"/>
      <c r="BL28" s="372"/>
      <c r="BM28" s="372"/>
      <c r="BN28" s="373"/>
      <c r="BO28" s="374"/>
      <c r="BP28" s="372"/>
      <c r="BQ28" s="372"/>
      <c r="BR28" s="372"/>
      <c r="BS28" s="371"/>
      <c r="BT28" s="375"/>
      <c r="BU28" s="372"/>
      <c r="BV28" s="372"/>
      <c r="BW28" s="372"/>
      <c r="BX28" s="373"/>
      <c r="BY28" s="374"/>
      <c r="BZ28" s="372"/>
      <c r="CA28" s="372"/>
      <c r="CB28" s="372"/>
      <c r="CC28" s="371"/>
      <c r="CD28" s="375"/>
      <c r="CE28" s="372"/>
      <c r="CF28" s="372"/>
      <c r="CG28" s="372"/>
      <c r="CH28" s="371"/>
      <c r="CI28" s="375"/>
      <c r="CJ28" s="372"/>
      <c r="CK28" s="372"/>
      <c r="CL28" s="372"/>
      <c r="CM28" s="373"/>
    </row>
    <row r="29" spans="1:118" ht="25.5" customHeight="1" thickBot="1">
      <c r="A29" s="391">
        <v>4122</v>
      </c>
      <c r="B29" s="392" t="s">
        <v>11</v>
      </c>
      <c r="C29" s="392" t="s">
        <v>44</v>
      </c>
      <c r="D29" s="392" t="s">
        <v>76</v>
      </c>
      <c r="E29" s="393" t="s">
        <v>53</v>
      </c>
      <c r="F29" s="392"/>
      <c r="G29" s="393" t="s">
        <v>812</v>
      </c>
      <c r="H29" s="394" t="s">
        <v>54</v>
      </c>
      <c r="I29" s="395"/>
      <c r="J29" s="393"/>
      <c r="K29" s="396"/>
      <c r="L29" s="397" t="s">
        <v>78</v>
      </c>
      <c r="M29" s="392" t="s">
        <v>77</v>
      </c>
      <c r="N29" s="392"/>
      <c r="O29" s="392" t="s">
        <v>77</v>
      </c>
      <c r="P29" s="398" t="s">
        <v>77</v>
      </c>
      <c r="Q29" s="397"/>
      <c r="R29" s="392"/>
      <c r="S29" s="392"/>
      <c r="T29" s="392"/>
      <c r="U29" s="399" t="s">
        <v>80</v>
      </c>
      <c r="V29" s="391"/>
      <c r="W29" s="393"/>
      <c r="X29" s="393"/>
      <c r="Y29" s="393"/>
      <c r="Z29" s="396"/>
      <c r="AA29" s="400"/>
      <c r="AB29" s="393"/>
      <c r="AC29" s="393"/>
      <c r="AD29" s="393"/>
      <c r="AE29" s="394"/>
      <c r="AF29" s="395"/>
      <c r="AG29" s="393"/>
      <c r="AH29" s="393"/>
      <c r="AI29" s="393"/>
      <c r="AJ29" s="396"/>
      <c r="AK29" s="400"/>
      <c r="AL29" s="393"/>
      <c r="AM29" s="393"/>
      <c r="AN29" s="393"/>
      <c r="AO29" s="394"/>
      <c r="AP29" s="395"/>
      <c r="AQ29" s="393"/>
      <c r="AR29" s="393"/>
      <c r="AS29" s="393"/>
      <c r="AT29" s="396"/>
      <c r="AU29" s="400"/>
      <c r="AV29" s="393"/>
      <c r="AW29" s="393"/>
      <c r="AX29" s="393"/>
      <c r="AY29" s="394"/>
      <c r="AZ29" s="395"/>
      <c r="BA29" s="393"/>
      <c r="BB29" s="393"/>
      <c r="BC29" s="393"/>
      <c r="BD29" s="396"/>
      <c r="BE29" s="400"/>
      <c r="BF29" s="393"/>
      <c r="BG29" s="393"/>
      <c r="BH29" s="393"/>
      <c r="BI29" s="394"/>
      <c r="BJ29" s="395"/>
      <c r="BK29" s="393"/>
      <c r="BL29" s="393"/>
      <c r="BM29" s="393"/>
      <c r="BN29" s="396"/>
      <c r="BO29" s="400"/>
      <c r="BP29" s="393"/>
      <c r="BQ29" s="393"/>
      <c r="BR29" s="393"/>
      <c r="BS29" s="394"/>
      <c r="BT29" s="395"/>
      <c r="BU29" s="393"/>
      <c r="BV29" s="393"/>
      <c r="BW29" s="393"/>
      <c r="BX29" s="396"/>
      <c r="BY29" s="400"/>
      <c r="BZ29" s="393"/>
      <c r="CA29" s="393"/>
      <c r="CB29" s="393"/>
      <c r="CC29" s="394"/>
      <c r="CD29" s="395"/>
      <c r="CE29" s="393"/>
      <c r="CF29" s="393"/>
      <c r="CG29" s="393"/>
      <c r="CH29" s="394"/>
      <c r="CI29" s="395"/>
      <c r="CJ29" s="393"/>
      <c r="CK29" s="393"/>
      <c r="CL29" s="393"/>
      <c r="CM29" s="396"/>
    </row>
    <row r="30" spans="1:118" ht="25.5" customHeight="1">
      <c r="A30" s="401">
        <v>4123</v>
      </c>
      <c r="B30" s="402" t="s">
        <v>11</v>
      </c>
      <c r="C30" s="402" t="s">
        <v>44</v>
      </c>
      <c r="D30" s="402" t="s">
        <v>76</v>
      </c>
      <c r="E30" s="403" t="s">
        <v>53</v>
      </c>
      <c r="F30" s="402"/>
      <c r="G30" s="403" t="s">
        <v>814</v>
      </c>
      <c r="H30" s="404" t="s">
        <v>54</v>
      </c>
      <c r="I30" s="405"/>
      <c r="J30" s="403"/>
      <c r="K30" s="406"/>
      <c r="L30" s="407" t="s">
        <v>78</v>
      </c>
      <c r="M30" s="402" t="s">
        <v>77</v>
      </c>
      <c r="N30" s="402"/>
      <c r="O30" s="402" t="s">
        <v>77</v>
      </c>
      <c r="P30" s="408" t="s">
        <v>77</v>
      </c>
      <c r="Q30" s="407"/>
      <c r="R30" s="402"/>
      <c r="S30" s="402"/>
      <c r="T30" s="402"/>
      <c r="U30" s="409" t="s">
        <v>80</v>
      </c>
      <c r="V30" s="401"/>
      <c r="W30" s="403"/>
      <c r="X30" s="403"/>
      <c r="Y30" s="403"/>
      <c r="Z30" s="406"/>
      <c r="AA30" s="410"/>
      <c r="AB30" s="403"/>
      <c r="AC30" s="403"/>
      <c r="AD30" s="403"/>
      <c r="AE30" s="404"/>
      <c r="AF30" s="405"/>
      <c r="AG30" s="403"/>
      <c r="AH30" s="403"/>
      <c r="AI30" s="403"/>
      <c r="AJ30" s="406"/>
      <c r="AK30" s="410"/>
      <c r="AL30" s="403"/>
      <c r="AM30" s="403"/>
      <c r="AN30" s="403"/>
      <c r="AO30" s="404"/>
      <c r="AP30" s="405"/>
      <c r="AQ30" s="403"/>
      <c r="AR30" s="403"/>
      <c r="AS30" s="403"/>
      <c r="AT30" s="406"/>
      <c r="AU30" s="410"/>
      <c r="AV30" s="403"/>
      <c r="AW30" s="403"/>
      <c r="AX30" s="403"/>
      <c r="AY30" s="404"/>
      <c r="AZ30" s="405"/>
      <c r="BA30" s="403"/>
      <c r="BB30" s="403"/>
      <c r="BC30" s="403"/>
      <c r="BD30" s="406"/>
      <c r="BE30" s="410"/>
      <c r="BF30" s="403"/>
      <c r="BG30" s="403"/>
      <c r="BH30" s="403"/>
      <c r="BI30" s="404"/>
      <c r="BJ30" s="405"/>
      <c r="BK30" s="403"/>
      <c r="BL30" s="403"/>
      <c r="BM30" s="403"/>
      <c r="BN30" s="406"/>
      <c r="BO30" s="410"/>
      <c r="BP30" s="403"/>
      <c r="BQ30" s="403"/>
      <c r="BR30" s="403"/>
      <c r="BS30" s="404"/>
      <c r="BT30" s="405"/>
      <c r="BU30" s="403"/>
      <c r="BV30" s="403"/>
      <c r="BW30" s="403"/>
      <c r="BX30" s="406"/>
      <c r="BY30" s="410"/>
      <c r="BZ30" s="403"/>
      <c r="CA30" s="403"/>
      <c r="CB30" s="403"/>
      <c r="CC30" s="404"/>
      <c r="CD30" s="405"/>
      <c r="CE30" s="403"/>
      <c r="CF30" s="403"/>
      <c r="CG30" s="403"/>
      <c r="CH30" s="404"/>
      <c r="CI30" s="405"/>
      <c r="CJ30" s="403"/>
      <c r="CK30" s="403"/>
      <c r="CL30" s="403"/>
      <c r="CM30" s="406"/>
    </row>
    <row r="31" spans="1:118" ht="25.5" customHeight="1">
      <c r="A31" s="386">
        <v>4124</v>
      </c>
      <c r="B31" s="387" t="s">
        <v>11</v>
      </c>
      <c r="C31" s="387" t="s">
        <v>44</v>
      </c>
      <c r="D31" s="387" t="s">
        <v>76</v>
      </c>
      <c r="E31" s="372" t="s">
        <v>53</v>
      </c>
      <c r="F31" s="387"/>
      <c r="G31" s="372" t="s">
        <v>816</v>
      </c>
      <c r="H31" s="371" t="s">
        <v>54</v>
      </c>
      <c r="I31" s="375"/>
      <c r="J31" s="372"/>
      <c r="K31" s="373"/>
      <c r="L31" s="388" t="s">
        <v>78</v>
      </c>
      <c r="M31" s="387" t="s">
        <v>77</v>
      </c>
      <c r="N31" s="387"/>
      <c r="O31" s="387" t="s">
        <v>77</v>
      </c>
      <c r="P31" s="389" t="s">
        <v>77</v>
      </c>
      <c r="Q31" s="388"/>
      <c r="R31" s="387"/>
      <c r="S31" s="387"/>
      <c r="T31" s="387"/>
      <c r="U31" s="390" t="s">
        <v>80</v>
      </c>
      <c r="V31" s="386"/>
      <c r="W31" s="372"/>
      <c r="X31" s="372"/>
      <c r="Y31" s="372"/>
      <c r="Z31" s="373"/>
      <c r="AA31" s="374"/>
      <c r="AB31" s="372"/>
      <c r="AC31" s="372"/>
      <c r="AD31" s="372"/>
      <c r="AE31" s="371"/>
      <c r="AF31" s="375"/>
      <c r="AG31" s="372"/>
      <c r="AH31" s="372"/>
      <c r="AI31" s="372"/>
      <c r="AJ31" s="373"/>
      <c r="AK31" s="374"/>
      <c r="AL31" s="372"/>
      <c r="AM31" s="372"/>
      <c r="AN31" s="372"/>
      <c r="AO31" s="371"/>
      <c r="AP31" s="375"/>
      <c r="AQ31" s="372"/>
      <c r="AR31" s="372"/>
      <c r="AS31" s="372"/>
      <c r="AT31" s="373"/>
      <c r="AU31" s="374"/>
      <c r="AV31" s="372"/>
      <c r="AW31" s="372"/>
      <c r="AX31" s="372"/>
      <c r="AY31" s="371"/>
      <c r="AZ31" s="375"/>
      <c r="BA31" s="372"/>
      <c r="BB31" s="372"/>
      <c r="BC31" s="372"/>
      <c r="BD31" s="373"/>
      <c r="BE31" s="374"/>
      <c r="BF31" s="372"/>
      <c r="BG31" s="372"/>
      <c r="BH31" s="372"/>
      <c r="BI31" s="371"/>
      <c r="BJ31" s="375"/>
      <c r="BK31" s="372"/>
      <c r="BL31" s="372"/>
      <c r="BM31" s="372"/>
      <c r="BN31" s="373"/>
      <c r="BO31" s="374"/>
      <c r="BP31" s="372"/>
      <c r="BQ31" s="372"/>
      <c r="BR31" s="372"/>
      <c r="BS31" s="371"/>
      <c r="BT31" s="375"/>
      <c r="BU31" s="372"/>
      <c r="BV31" s="372"/>
      <c r="BW31" s="372"/>
      <c r="BX31" s="373"/>
      <c r="BY31" s="374"/>
      <c r="BZ31" s="372"/>
      <c r="CA31" s="372"/>
      <c r="CB31" s="372"/>
      <c r="CC31" s="371"/>
      <c r="CD31" s="375"/>
      <c r="CE31" s="372"/>
      <c r="CF31" s="372"/>
      <c r="CG31" s="372"/>
      <c r="CH31" s="371"/>
      <c r="CI31" s="375"/>
      <c r="CJ31" s="372"/>
      <c r="CK31" s="372"/>
      <c r="CL31" s="372"/>
      <c r="CM31" s="373"/>
    </row>
    <row r="32" spans="1:118" ht="25.5" customHeight="1">
      <c r="A32" s="386">
        <v>4125</v>
      </c>
      <c r="B32" s="387" t="s">
        <v>11</v>
      </c>
      <c r="C32" s="387" t="s">
        <v>44</v>
      </c>
      <c r="D32" s="387" t="s">
        <v>76</v>
      </c>
      <c r="E32" s="372" t="s">
        <v>53</v>
      </c>
      <c r="F32" s="387"/>
      <c r="G32" s="372" t="s">
        <v>818</v>
      </c>
      <c r="H32" s="371" t="s">
        <v>54</v>
      </c>
      <c r="I32" s="375"/>
      <c r="J32" s="372"/>
      <c r="K32" s="373"/>
      <c r="L32" s="388" t="s">
        <v>78</v>
      </c>
      <c r="M32" s="387" t="s">
        <v>77</v>
      </c>
      <c r="N32" s="387"/>
      <c r="O32" s="387" t="s">
        <v>77</v>
      </c>
      <c r="P32" s="389" t="s">
        <v>77</v>
      </c>
      <c r="Q32" s="388"/>
      <c r="R32" s="387"/>
      <c r="S32" s="387"/>
      <c r="T32" s="387"/>
      <c r="U32" s="390" t="s">
        <v>80</v>
      </c>
      <c r="V32" s="386"/>
      <c r="W32" s="372"/>
      <c r="X32" s="372"/>
      <c r="Y32" s="372"/>
      <c r="Z32" s="373"/>
      <c r="AA32" s="374"/>
      <c r="AB32" s="372"/>
      <c r="AC32" s="372"/>
      <c r="AD32" s="372"/>
      <c r="AE32" s="371"/>
      <c r="AF32" s="375"/>
      <c r="AG32" s="372"/>
      <c r="AH32" s="372"/>
      <c r="AI32" s="372"/>
      <c r="AJ32" s="373"/>
      <c r="AK32" s="374"/>
      <c r="AL32" s="372"/>
      <c r="AM32" s="372"/>
      <c r="AN32" s="372"/>
      <c r="AO32" s="371"/>
      <c r="AP32" s="375"/>
      <c r="AQ32" s="372"/>
      <c r="AR32" s="372"/>
      <c r="AS32" s="372"/>
      <c r="AT32" s="373"/>
      <c r="AU32" s="374"/>
      <c r="AV32" s="372"/>
      <c r="AW32" s="372"/>
      <c r="AX32" s="372"/>
      <c r="AY32" s="371"/>
      <c r="AZ32" s="375"/>
      <c r="BA32" s="372"/>
      <c r="BB32" s="372"/>
      <c r="BC32" s="372"/>
      <c r="BD32" s="373"/>
      <c r="BE32" s="374"/>
      <c r="BF32" s="372"/>
      <c r="BG32" s="372"/>
      <c r="BH32" s="372"/>
      <c r="BI32" s="371"/>
      <c r="BJ32" s="375"/>
      <c r="BK32" s="372"/>
      <c r="BL32" s="372"/>
      <c r="BM32" s="372"/>
      <c r="BN32" s="373"/>
      <c r="BO32" s="374"/>
      <c r="BP32" s="372"/>
      <c r="BQ32" s="372"/>
      <c r="BR32" s="372"/>
      <c r="BS32" s="371"/>
      <c r="BT32" s="375"/>
      <c r="BU32" s="372"/>
      <c r="BV32" s="372"/>
      <c r="BW32" s="372"/>
      <c r="BX32" s="373"/>
      <c r="BY32" s="374"/>
      <c r="BZ32" s="372"/>
      <c r="CA32" s="372"/>
      <c r="CB32" s="372"/>
      <c r="CC32" s="371"/>
      <c r="CD32" s="375"/>
      <c r="CE32" s="372"/>
      <c r="CF32" s="372"/>
      <c r="CG32" s="372"/>
      <c r="CH32" s="371"/>
      <c r="CI32" s="375"/>
      <c r="CJ32" s="372"/>
      <c r="CK32" s="372"/>
      <c r="CL32" s="372"/>
      <c r="CM32" s="373"/>
    </row>
    <row r="33" spans="1:91" ht="25.5" customHeight="1">
      <c r="A33" s="386">
        <v>4126</v>
      </c>
      <c r="B33" s="387" t="s">
        <v>11</v>
      </c>
      <c r="C33" s="387" t="s">
        <v>44</v>
      </c>
      <c r="D33" s="387" t="s">
        <v>76</v>
      </c>
      <c r="E33" s="372" t="s">
        <v>53</v>
      </c>
      <c r="F33" s="387"/>
      <c r="G33" s="372" t="s">
        <v>820</v>
      </c>
      <c r="H33" s="371" t="s">
        <v>54</v>
      </c>
      <c r="I33" s="375"/>
      <c r="J33" s="372"/>
      <c r="K33" s="373"/>
      <c r="L33" s="388" t="s">
        <v>78</v>
      </c>
      <c r="M33" s="387" t="s">
        <v>77</v>
      </c>
      <c r="N33" s="387"/>
      <c r="O33" s="387" t="s">
        <v>77</v>
      </c>
      <c r="P33" s="389" t="s">
        <v>77</v>
      </c>
      <c r="Q33" s="388"/>
      <c r="R33" s="387"/>
      <c r="S33" s="387"/>
      <c r="T33" s="387"/>
      <c r="U33" s="390" t="s">
        <v>80</v>
      </c>
      <c r="V33" s="386"/>
      <c r="W33" s="372"/>
      <c r="X33" s="372"/>
      <c r="Y33" s="372"/>
      <c r="Z33" s="373"/>
      <c r="AA33" s="374"/>
      <c r="AB33" s="372"/>
      <c r="AC33" s="372"/>
      <c r="AD33" s="372"/>
      <c r="AE33" s="371"/>
      <c r="AF33" s="375"/>
      <c r="AG33" s="372"/>
      <c r="AH33" s="372"/>
      <c r="AI33" s="372"/>
      <c r="AJ33" s="373"/>
      <c r="AK33" s="374"/>
      <c r="AL33" s="372"/>
      <c r="AM33" s="372"/>
      <c r="AN33" s="372"/>
      <c r="AO33" s="371"/>
      <c r="AP33" s="375"/>
      <c r="AQ33" s="372"/>
      <c r="AR33" s="372"/>
      <c r="AS33" s="372"/>
      <c r="AT33" s="373"/>
      <c r="AU33" s="374"/>
      <c r="AV33" s="372"/>
      <c r="AW33" s="372"/>
      <c r="AX33" s="372"/>
      <c r="AY33" s="371"/>
      <c r="AZ33" s="375"/>
      <c r="BA33" s="372"/>
      <c r="BB33" s="372"/>
      <c r="BC33" s="372"/>
      <c r="BD33" s="373"/>
      <c r="BE33" s="374"/>
      <c r="BF33" s="372"/>
      <c r="BG33" s="372"/>
      <c r="BH33" s="372"/>
      <c r="BI33" s="371"/>
      <c r="BJ33" s="375"/>
      <c r="BK33" s="372"/>
      <c r="BL33" s="372"/>
      <c r="BM33" s="372"/>
      <c r="BN33" s="373"/>
      <c r="BO33" s="374"/>
      <c r="BP33" s="372"/>
      <c r="BQ33" s="372"/>
      <c r="BR33" s="372"/>
      <c r="BS33" s="371"/>
      <c r="BT33" s="375"/>
      <c r="BU33" s="372"/>
      <c r="BV33" s="372"/>
      <c r="BW33" s="372"/>
      <c r="BX33" s="373"/>
      <c r="BY33" s="374"/>
      <c r="BZ33" s="372"/>
      <c r="CA33" s="372"/>
      <c r="CB33" s="372"/>
      <c r="CC33" s="371"/>
      <c r="CD33" s="375"/>
      <c r="CE33" s="372"/>
      <c r="CF33" s="372"/>
      <c r="CG33" s="372"/>
      <c r="CH33" s="371"/>
      <c r="CI33" s="375"/>
      <c r="CJ33" s="372"/>
      <c r="CK33" s="372"/>
      <c r="CL33" s="372"/>
      <c r="CM33" s="373"/>
    </row>
    <row r="34" spans="1:91" ht="25.5" customHeight="1" thickBot="1">
      <c r="A34" s="411">
        <v>4127</v>
      </c>
      <c r="B34" s="412" t="s">
        <v>11</v>
      </c>
      <c r="C34" s="412" t="s">
        <v>44</v>
      </c>
      <c r="D34" s="412" t="s">
        <v>76</v>
      </c>
      <c r="E34" s="377" t="s">
        <v>53</v>
      </c>
      <c r="F34" s="412"/>
      <c r="G34" s="377" t="s">
        <v>822</v>
      </c>
      <c r="H34" s="376" t="s">
        <v>54</v>
      </c>
      <c r="I34" s="380"/>
      <c r="J34" s="377"/>
      <c r="K34" s="378"/>
      <c r="L34" s="413" t="s">
        <v>78</v>
      </c>
      <c r="M34" s="412" t="s">
        <v>77</v>
      </c>
      <c r="N34" s="412"/>
      <c r="O34" s="412" t="s">
        <v>77</v>
      </c>
      <c r="P34" s="414" t="s">
        <v>77</v>
      </c>
      <c r="Q34" s="413"/>
      <c r="R34" s="412"/>
      <c r="S34" s="412"/>
      <c r="T34" s="412"/>
      <c r="U34" s="415" t="s">
        <v>80</v>
      </c>
      <c r="V34" s="411"/>
      <c r="W34" s="377"/>
      <c r="X34" s="377"/>
      <c r="Y34" s="377"/>
      <c r="Z34" s="378"/>
      <c r="AA34" s="379"/>
      <c r="AB34" s="377"/>
      <c r="AC34" s="377"/>
      <c r="AD34" s="377"/>
      <c r="AE34" s="376"/>
      <c r="AF34" s="380"/>
      <c r="AG34" s="377"/>
      <c r="AH34" s="377"/>
      <c r="AI34" s="377"/>
      <c r="AJ34" s="378"/>
      <c r="AK34" s="379"/>
      <c r="AL34" s="377"/>
      <c r="AM34" s="377"/>
      <c r="AN34" s="377"/>
      <c r="AO34" s="376"/>
      <c r="AP34" s="380"/>
      <c r="AQ34" s="377"/>
      <c r="AR34" s="377"/>
      <c r="AS34" s="377"/>
      <c r="AT34" s="378"/>
      <c r="AU34" s="379"/>
      <c r="AV34" s="377"/>
      <c r="AW34" s="377"/>
      <c r="AX34" s="377"/>
      <c r="AY34" s="376"/>
      <c r="AZ34" s="380"/>
      <c r="BA34" s="377"/>
      <c r="BB34" s="377"/>
      <c r="BC34" s="377"/>
      <c r="BD34" s="378"/>
      <c r="BE34" s="379"/>
      <c r="BF34" s="377"/>
      <c r="BG34" s="377"/>
      <c r="BH34" s="377"/>
      <c r="BI34" s="376"/>
      <c r="BJ34" s="380"/>
      <c r="BK34" s="377"/>
      <c r="BL34" s="377"/>
      <c r="BM34" s="377"/>
      <c r="BN34" s="378"/>
      <c r="BO34" s="379"/>
      <c r="BP34" s="377"/>
      <c r="BQ34" s="377"/>
      <c r="BR34" s="377"/>
      <c r="BS34" s="376"/>
      <c r="BT34" s="380"/>
      <c r="BU34" s="377"/>
      <c r="BV34" s="377"/>
      <c r="BW34" s="377"/>
      <c r="BX34" s="378"/>
      <c r="BY34" s="379"/>
      <c r="BZ34" s="377"/>
      <c r="CA34" s="377"/>
      <c r="CB34" s="377"/>
      <c r="CC34" s="376"/>
      <c r="CD34" s="380"/>
      <c r="CE34" s="377"/>
      <c r="CF34" s="377"/>
      <c r="CG34" s="377"/>
      <c r="CH34" s="376"/>
      <c r="CI34" s="380"/>
      <c r="CJ34" s="377"/>
      <c r="CK34" s="377"/>
      <c r="CL34" s="377"/>
      <c r="CM34" s="378"/>
    </row>
    <row r="35" spans="1:91" ht="25.5" customHeight="1">
      <c r="A35" s="416">
        <v>4128</v>
      </c>
      <c r="B35" s="417" t="s">
        <v>11</v>
      </c>
      <c r="C35" s="417" t="s">
        <v>44</v>
      </c>
      <c r="D35" s="417" t="s">
        <v>76</v>
      </c>
      <c r="E35" s="381" t="s">
        <v>53</v>
      </c>
      <c r="F35" s="417"/>
      <c r="G35" s="381" t="s">
        <v>824</v>
      </c>
      <c r="H35" s="384" t="s">
        <v>54</v>
      </c>
      <c r="I35" s="385"/>
      <c r="J35" s="381"/>
      <c r="K35" s="382"/>
      <c r="L35" s="418" t="s">
        <v>78</v>
      </c>
      <c r="M35" s="417" t="s">
        <v>77</v>
      </c>
      <c r="N35" s="417"/>
      <c r="O35" s="417" t="s">
        <v>77</v>
      </c>
      <c r="P35" s="419" t="s">
        <v>77</v>
      </c>
      <c r="Q35" s="418"/>
      <c r="R35" s="417"/>
      <c r="S35" s="417"/>
      <c r="T35" s="417"/>
      <c r="U35" s="420" t="s">
        <v>80</v>
      </c>
      <c r="V35" s="416"/>
      <c r="W35" s="381"/>
      <c r="X35" s="381"/>
      <c r="Y35" s="381"/>
      <c r="Z35" s="382"/>
      <c r="AA35" s="383"/>
      <c r="AB35" s="381"/>
      <c r="AC35" s="381"/>
      <c r="AD35" s="381"/>
      <c r="AE35" s="384"/>
      <c r="AF35" s="385"/>
      <c r="AG35" s="381"/>
      <c r="AH35" s="381"/>
      <c r="AI35" s="381"/>
      <c r="AJ35" s="382"/>
      <c r="AK35" s="383"/>
      <c r="AL35" s="381"/>
      <c r="AM35" s="381"/>
      <c r="AN35" s="381"/>
      <c r="AO35" s="384"/>
      <c r="AP35" s="385"/>
      <c r="AQ35" s="381"/>
      <c r="AR35" s="381"/>
      <c r="AS35" s="381"/>
      <c r="AT35" s="382"/>
      <c r="AU35" s="383"/>
      <c r="AV35" s="381"/>
      <c r="AW35" s="381"/>
      <c r="AX35" s="381"/>
      <c r="AY35" s="384"/>
      <c r="AZ35" s="385"/>
      <c r="BA35" s="381"/>
      <c r="BB35" s="381"/>
      <c r="BC35" s="381"/>
      <c r="BD35" s="382"/>
      <c r="BE35" s="383"/>
      <c r="BF35" s="381"/>
      <c r="BG35" s="381"/>
      <c r="BH35" s="381"/>
      <c r="BI35" s="384"/>
      <c r="BJ35" s="385"/>
      <c r="BK35" s="381"/>
      <c r="BL35" s="381"/>
      <c r="BM35" s="381"/>
      <c r="BN35" s="382"/>
      <c r="BO35" s="383"/>
      <c r="BP35" s="381"/>
      <c r="BQ35" s="381"/>
      <c r="BR35" s="381"/>
      <c r="BS35" s="384"/>
      <c r="BT35" s="385"/>
      <c r="BU35" s="381"/>
      <c r="BV35" s="381"/>
      <c r="BW35" s="381"/>
      <c r="BX35" s="382"/>
      <c r="BY35" s="383"/>
      <c r="BZ35" s="381"/>
      <c r="CA35" s="381"/>
      <c r="CB35" s="381"/>
      <c r="CC35" s="384"/>
      <c r="CD35" s="385"/>
      <c r="CE35" s="381"/>
      <c r="CF35" s="381"/>
      <c r="CG35" s="381"/>
      <c r="CH35" s="384"/>
      <c r="CI35" s="385"/>
      <c r="CJ35" s="381"/>
      <c r="CK35" s="381"/>
      <c r="CL35" s="381"/>
      <c r="CM35" s="382"/>
    </row>
    <row r="36" spans="1:91" ht="25.5" customHeight="1">
      <c r="A36" s="386">
        <v>4129</v>
      </c>
      <c r="B36" s="387" t="s">
        <v>11</v>
      </c>
      <c r="C36" s="387" t="s">
        <v>44</v>
      </c>
      <c r="D36" s="387" t="s">
        <v>76</v>
      </c>
      <c r="E36" s="372" t="s">
        <v>53</v>
      </c>
      <c r="F36" s="387"/>
      <c r="G36" s="372" t="s">
        <v>826</v>
      </c>
      <c r="H36" s="371" t="s">
        <v>54</v>
      </c>
      <c r="I36" s="375"/>
      <c r="J36" s="372"/>
      <c r="K36" s="373"/>
      <c r="L36" s="388" t="s">
        <v>78</v>
      </c>
      <c r="M36" s="387" t="s">
        <v>77</v>
      </c>
      <c r="N36" s="387"/>
      <c r="O36" s="387" t="s">
        <v>77</v>
      </c>
      <c r="P36" s="389" t="s">
        <v>77</v>
      </c>
      <c r="Q36" s="388"/>
      <c r="R36" s="387"/>
      <c r="S36" s="387"/>
      <c r="T36" s="387"/>
      <c r="U36" s="390" t="s">
        <v>80</v>
      </c>
      <c r="V36" s="386"/>
      <c r="W36" s="372"/>
      <c r="X36" s="372"/>
      <c r="Y36" s="372"/>
      <c r="Z36" s="373"/>
      <c r="AA36" s="374"/>
      <c r="AB36" s="372"/>
      <c r="AC36" s="372"/>
      <c r="AD36" s="372"/>
      <c r="AE36" s="371"/>
      <c r="AF36" s="375"/>
      <c r="AG36" s="372"/>
      <c r="AH36" s="372"/>
      <c r="AI36" s="372"/>
      <c r="AJ36" s="373"/>
      <c r="AK36" s="374"/>
      <c r="AL36" s="372"/>
      <c r="AM36" s="372"/>
      <c r="AN36" s="372"/>
      <c r="AO36" s="371"/>
      <c r="AP36" s="375"/>
      <c r="AQ36" s="372"/>
      <c r="AR36" s="372"/>
      <c r="AS36" s="372"/>
      <c r="AT36" s="373"/>
      <c r="AU36" s="374"/>
      <c r="AV36" s="372"/>
      <c r="AW36" s="372"/>
      <c r="AX36" s="372"/>
      <c r="AY36" s="371"/>
      <c r="AZ36" s="375"/>
      <c r="BA36" s="372"/>
      <c r="BB36" s="372"/>
      <c r="BC36" s="372"/>
      <c r="BD36" s="373"/>
      <c r="BE36" s="374"/>
      <c r="BF36" s="372"/>
      <c r="BG36" s="372"/>
      <c r="BH36" s="372"/>
      <c r="BI36" s="371"/>
      <c r="BJ36" s="375"/>
      <c r="BK36" s="372"/>
      <c r="BL36" s="372"/>
      <c r="BM36" s="372"/>
      <c r="BN36" s="373"/>
      <c r="BO36" s="374"/>
      <c r="BP36" s="372"/>
      <c r="BQ36" s="372"/>
      <c r="BR36" s="372"/>
      <c r="BS36" s="371"/>
      <c r="BT36" s="375"/>
      <c r="BU36" s="372"/>
      <c r="BV36" s="372"/>
      <c r="BW36" s="372"/>
      <c r="BX36" s="373"/>
      <c r="BY36" s="374"/>
      <c r="BZ36" s="372"/>
      <c r="CA36" s="372"/>
      <c r="CB36" s="372"/>
      <c r="CC36" s="371"/>
      <c r="CD36" s="375"/>
      <c r="CE36" s="372"/>
      <c r="CF36" s="372"/>
      <c r="CG36" s="372"/>
      <c r="CH36" s="371"/>
      <c r="CI36" s="375"/>
      <c r="CJ36" s="372"/>
      <c r="CK36" s="372"/>
      <c r="CL36" s="372"/>
      <c r="CM36" s="373"/>
    </row>
    <row r="37" spans="1:91" ht="25.5" customHeight="1">
      <c r="A37" s="386">
        <v>4130</v>
      </c>
      <c r="B37" s="387" t="s">
        <v>11</v>
      </c>
      <c r="C37" s="387" t="s">
        <v>44</v>
      </c>
      <c r="D37" s="387" t="s">
        <v>76</v>
      </c>
      <c r="E37" s="372" t="s">
        <v>53</v>
      </c>
      <c r="F37" s="387"/>
      <c r="G37" s="372" t="s">
        <v>828</v>
      </c>
      <c r="H37" s="371" t="s">
        <v>54</v>
      </c>
      <c r="I37" s="375"/>
      <c r="J37" s="372"/>
      <c r="K37" s="373"/>
      <c r="L37" s="388" t="s">
        <v>78</v>
      </c>
      <c r="M37" s="387" t="s">
        <v>77</v>
      </c>
      <c r="N37" s="387"/>
      <c r="O37" s="387" t="s">
        <v>77</v>
      </c>
      <c r="P37" s="389" t="s">
        <v>77</v>
      </c>
      <c r="Q37" s="388"/>
      <c r="R37" s="387"/>
      <c r="S37" s="387"/>
      <c r="T37" s="387"/>
      <c r="U37" s="390" t="s">
        <v>80</v>
      </c>
      <c r="V37" s="386"/>
      <c r="W37" s="372"/>
      <c r="X37" s="372"/>
      <c r="Y37" s="372"/>
      <c r="Z37" s="373"/>
      <c r="AA37" s="374"/>
      <c r="AB37" s="372"/>
      <c r="AC37" s="372"/>
      <c r="AD37" s="372"/>
      <c r="AE37" s="371"/>
      <c r="AF37" s="375"/>
      <c r="AG37" s="372"/>
      <c r="AH37" s="372"/>
      <c r="AI37" s="372"/>
      <c r="AJ37" s="373"/>
      <c r="AK37" s="374"/>
      <c r="AL37" s="372"/>
      <c r="AM37" s="372"/>
      <c r="AN37" s="372"/>
      <c r="AO37" s="371"/>
      <c r="AP37" s="375"/>
      <c r="AQ37" s="372"/>
      <c r="AR37" s="372"/>
      <c r="AS37" s="372"/>
      <c r="AT37" s="373"/>
      <c r="AU37" s="374"/>
      <c r="AV37" s="372"/>
      <c r="AW37" s="372"/>
      <c r="AX37" s="372"/>
      <c r="AY37" s="371"/>
      <c r="AZ37" s="375"/>
      <c r="BA37" s="372"/>
      <c r="BB37" s="372"/>
      <c r="BC37" s="372"/>
      <c r="BD37" s="373"/>
      <c r="BE37" s="374"/>
      <c r="BF37" s="372"/>
      <c r="BG37" s="372"/>
      <c r="BH37" s="372"/>
      <c r="BI37" s="371"/>
      <c r="BJ37" s="375"/>
      <c r="BK37" s="372"/>
      <c r="BL37" s="372"/>
      <c r="BM37" s="372"/>
      <c r="BN37" s="373"/>
      <c r="BO37" s="374"/>
      <c r="BP37" s="372"/>
      <c r="BQ37" s="372"/>
      <c r="BR37" s="372"/>
      <c r="BS37" s="371"/>
      <c r="BT37" s="375"/>
      <c r="BU37" s="372"/>
      <c r="BV37" s="372"/>
      <c r="BW37" s="372"/>
      <c r="BX37" s="373"/>
      <c r="BY37" s="374"/>
      <c r="BZ37" s="372"/>
      <c r="CA37" s="372"/>
      <c r="CB37" s="372"/>
      <c r="CC37" s="371"/>
      <c r="CD37" s="375"/>
      <c r="CE37" s="372"/>
      <c r="CF37" s="372"/>
      <c r="CG37" s="372"/>
      <c r="CH37" s="371"/>
      <c r="CI37" s="375"/>
      <c r="CJ37" s="372"/>
      <c r="CK37" s="372"/>
      <c r="CL37" s="372"/>
      <c r="CM37" s="373"/>
    </row>
    <row r="38" spans="1:91" ht="25.5" customHeight="1">
      <c r="A38" s="386">
        <v>4131</v>
      </c>
      <c r="B38" s="387" t="s">
        <v>11</v>
      </c>
      <c r="C38" s="387" t="s">
        <v>44</v>
      </c>
      <c r="D38" s="387" t="s">
        <v>76</v>
      </c>
      <c r="E38" s="372" t="s">
        <v>53</v>
      </c>
      <c r="F38" s="387"/>
      <c r="G38" s="372" t="s">
        <v>830</v>
      </c>
      <c r="H38" s="371" t="s">
        <v>54</v>
      </c>
      <c r="I38" s="375"/>
      <c r="J38" s="372"/>
      <c r="K38" s="373"/>
      <c r="L38" s="388" t="s">
        <v>78</v>
      </c>
      <c r="M38" s="387" t="s">
        <v>77</v>
      </c>
      <c r="N38" s="387"/>
      <c r="O38" s="387" t="s">
        <v>77</v>
      </c>
      <c r="P38" s="389" t="s">
        <v>77</v>
      </c>
      <c r="Q38" s="388"/>
      <c r="R38" s="387"/>
      <c r="S38" s="387"/>
      <c r="T38" s="387"/>
      <c r="U38" s="390" t="s">
        <v>80</v>
      </c>
      <c r="V38" s="386"/>
      <c r="W38" s="372"/>
      <c r="X38" s="372"/>
      <c r="Y38" s="372"/>
      <c r="Z38" s="373"/>
      <c r="AA38" s="374"/>
      <c r="AB38" s="372"/>
      <c r="AC38" s="372"/>
      <c r="AD38" s="372"/>
      <c r="AE38" s="371"/>
      <c r="AF38" s="375"/>
      <c r="AG38" s="372"/>
      <c r="AH38" s="372"/>
      <c r="AI38" s="372"/>
      <c r="AJ38" s="373"/>
      <c r="AK38" s="374"/>
      <c r="AL38" s="372"/>
      <c r="AM38" s="372"/>
      <c r="AN38" s="372"/>
      <c r="AO38" s="371"/>
      <c r="AP38" s="375"/>
      <c r="AQ38" s="372"/>
      <c r="AR38" s="372"/>
      <c r="AS38" s="372"/>
      <c r="AT38" s="373"/>
      <c r="AU38" s="374"/>
      <c r="AV38" s="372"/>
      <c r="AW38" s="372"/>
      <c r="AX38" s="372"/>
      <c r="AY38" s="371"/>
      <c r="AZ38" s="375"/>
      <c r="BA38" s="372"/>
      <c r="BB38" s="372"/>
      <c r="BC38" s="372"/>
      <c r="BD38" s="373"/>
      <c r="BE38" s="374"/>
      <c r="BF38" s="372"/>
      <c r="BG38" s="372"/>
      <c r="BH38" s="372"/>
      <c r="BI38" s="371"/>
      <c r="BJ38" s="375"/>
      <c r="BK38" s="372"/>
      <c r="BL38" s="372"/>
      <c r="BM38" s="372"/>
      <c r="BN38" s="373"/>
      <c r="BO38" s="374"/>
      <c r="BP38" s="372"/>
      <c r="BQ38" s="372"/>
      <c r="BR38" s="372"/>
      <c r="BS38" s="371"/>
      <c r="BT38" s="375"/>
      <c r="BU38" s="372"/>
      <c r="BV38" s="372"/>
      <c r="BW38" s="372"/>
      <c r="BX38" s="373"/>
      <c r="BY38" s="374"/>
      <c r="BZ38" s="372"/>
      <c r="CA38" s="372"/>
      <c r="CB38" s="372"/>
      <c r="CC38" s="371"/>
      <c r="CD38" s="375"/>
      <c r="CE38" s="372"/>
      <c r="CF38" s="372"/>
      <c r="CG38" s="372"/>
      <c r="CH38" s="371"/>
      <c r="CI38" s="375"/>
      <c r="CJ38" s="372"/>
      <c r="CK38" s="372"/>
      <c r="CL38" s="372"/>
      <c r="CM38" s="373"/>
    </row>
    <row r="39" spans="1:91" ht="25.5" customHeight="1" thickBot="1">
      <c r="A39" s="391">
        <v>4132</v>
      </c>
      <c r="B39" s="392" t="s">
        <v>11</v>
      </c>
      <c r="C39" s="392" t="s">
        <v>44</v>
      </c>
      <c r="D39" s="392" t="s">
        <v>76</v>
      </c>
      <c r="E39" s="393" t="s">
        <v>53</v>
      </c>
      <c r="F39" s="392"/>
      <c r="G39" s="393" t="s">
        <v>832</v>
      </c>
      <c r="H39" s="394" t="s">
        <v>54</v>
      </c>
      <c r="I39" s="395"/>
      <c r="J39" s="393"/>
      <c r="K39" s="396"/>
      <c r="L39" s="397" t="s">
        <v>78</v>
      </c>
      <c r="M39" s="392" t="s">
        <v>77</v>
      </c>
      <c r="N39" s="392"/>
      <c r="O39" s="392" t="s">
        <v>77</v>
      </c>
      <c r="P39" s="398" t="s">
        <v>77</v>
      </c>
      <c r="Q39" s="397"/>
      <c r="R39" s="392"/>
      <c r="S39" s="392"/>
      <c r="T39" s="392"/>
      <c r="U39" s="399" t="s">
        <v>80</v>
      </c>
      <c r="V39" s="391"/>
      <c r="W39" s="393"/>
      <c r="X39" s="393"/>
      <c r="Y39" s="393"/>
      <c r="Z39" s="396"/>
      <c r="AA39" s="400"/>
      <c r="AB39" s="393"/>
      <c r="AC39" s="393"/>
      <c r="AD39" s="393"/>
      <c r="AE39" s="394"/>
      <c r="AF39" s="395"/>
      <c r="AG39" s="393"/>
      <c r="AH39" s="393"/>
      <c r="AI39" s="393"/>
      <c r="AJ39" s="396"/>
      <c r="AK39" s="400"/>
      <c r="AL39" s="393"/>
      <c r="AM39" s="393"/>
      <c r="AN39" s="393"/>
      <c r="AO39" s="394"/>
      <c r="AP39" s="395"/>
      <c r="AQ39" s="393"/>
      <c r="AR39" s="393"/>
      <c r="AS39" s="393"/>
      <c r="AT39" s="396"/>
      <c r="AU39" s="400"/>
      <c r="AV39" s="393"/>
      <c r="AW39" s="393"/>
      <c r="AX39" s="393"/>
      <c r="AY39" s="394"/>
      <c r="AZ39" s="395"/>
      <c r="BA39" s="393"/>
      <c r="BB39" s="393"/>
      <c r="BC39" s="393"/>
      <c r="BD39" s="396"/>
      <c r="BE39" s="400"/>
      <c r="BF39" s="393"/>
      <c r="BG39" s="393"/>
      <c r="BH39" s="393"/>
      <c r="BI39" s="394"/>
      <c r="BJ39" s="395"/>
      <c r="BK39" s="393"/>
      <c r="BL39" s="393"/>
      <c r="BM39" s="393"/>
      <c r="BN39" s="396"/>
      <c r="BO39" s="400"/>
      <c r="BP39" s="393"/>
      <c r="BQ39" s="393"/>
      <c r="BR39" s="393"/>
      <c r="BS39" s="394"/>
      <c r="BT39" s="395"/>
      <c r="BU39" s="393"/>
      <c r="BV39" s="393"/>
      <c r="BW39" s="393"/>
      <c r="BX39" s="396"/>
      <c r="BY39" s="400"/>
      <c r="BZ39" s="393"/>
      <c r="CA39" s="393"/>
      <c r="CB39" s="393"/>
      <c r="CC39" s="394"/>
      <c r="CD39" s="395"/>
      <c r="CE39" s="393"/>
      <c r="CF39" s="393"/>
      <c r="CG39" s="393"/>
      <c r="CH39" s="394"/>
      <c r="CI39" s="395"/>
      <c r="CJ39" s="393"/>
      <c r="CK39" s="393"/>
      <c r="CL39" s="393"/>
      <c r="CM39" s="396"/>
    </row>
    <row r="40" spans="1:91" ht="25.5" customHeight="1">
      <c r="A40" s="401">
        <v>4133</v>
      </c>
      <c r="B40" s="402" t="s">
        <v>11</v>
      </c>
      <c r="C40" s="402" t="s">
        <v>44</v>
      </c>
      <c r="D40" s="402" t="s">
        <v>76</v>
      </c>
      <c r="E40" s="403" t="s">
        <v>53</v>
      </c>
      <c r="F40" s="402"/>
      <c r="G40" s="403" t="s">
        <v>834</v>
      </c>
      <c r="H40" s="404" t="s">
        <v>54</v>
      </c>
      <c r="I40" s="405"/>
      <c r="J40" s="403"/>
      <c r="K40" s="406"/>
      <c r="L40" s="407" t="s">
        <v>78</v>
      </c>
      <c r="M40" s="402" t="s">
        <v>77</v>
      </c>
      <c r="N40" s="402"/>
      <c r="O40" s="402" t="s">
        <v>77</v>
      </c>
      <c r="P40" s="408" t="s">
        <v>77</v>
      </c>
      <c r="Q40" s="407"/>
      <c r="R40" s="402"/>
      <c r="S40" s="402"/>
      <c r="T40" s="402"/>
      <c r="U40" s="409" t="s">
        <v>80</v>
      </c>
      <c r="V40" s="401"/>
      <c r="W40" s="403"/>
      <c r="X40" s="403"/>
      <c r="Y40" s="403"/>
      <c r="Z40" s="406"/>
      <c r="AA40" s="410"/>
      <c r="AB40" s="403"/>
      <c r="AC40" s="403"/>
      <c r="AD40" s="403"/>
      <c r="AE40" s="404"/>
      <c r="AF40" s="405"/>
      <c r="AG40" s="403"/>
      <c r="AH40" s="403"/>
      <c r="AI40" s="403"/>
      <c r="AJ40" s="406"/>
      <c r="AK40" s="410"/>
      <c r="AL40" s="403"/>
      <c r="AM40" s="403"/>
      <c r="AN40" s="403"/>
      <c r="AO40" s="404"/>
      <c r="AP40" s="405"/>
      <c r="AQ40" s="403"/>
      <c r="AR40" s="403"/>
      <c r="AS40" s="403"/>
      <c r="AT40" s="406"/>
      <c r="AU40" s="410"/>
      <c r="AV40" s="403"/>
      <c r="AW40" s="403"/>
      <c r="AX40" s="403"/>
      <c r="AY40" s="404"/>
      <c r="AZ40" s="405"/>
      <c r="BA40" s="403"/>
      <c r="BB40" s="403"/>
      <c r="BC40" s="403"/>
      <c r="BD40" s="406"/>
      <c r="BE40" s="410"/>
      <c r="BF40" s="403"/>
      <c r="BG40" s="403"/>
      <c r="BH40" s="403"/>
      <c r="BI40" s="404"/>
      <c r="BJ40" s="405"/>
      <c r="BK40" s="403"/>
      <c r="BL40" s="403"/>
      <c r="BM40" s="403"/>
      <c r="BN40" s="406"/>
      <c r="BO40" s="410"/>
      <c r="BP40" s="403"/>
      <c r="BQ40" s="403"/>
      <c r="BR40" s="403"/>
      <c r="BS40" s="404"/>
      <c r="BT40" s="405"/>
      <c r="BU40" s="403"/>
      <c r="BV40" s="403"/>
      <c r="BW40" s="403"/>
      <c r="BX40" s="406"/>
      <c r="BY40" s="410"/>
      <c r="BZ40" s="403"/>
      <c r="CA40" s="403"/>
      <c r="CB40" s="403"/>
      <c r="CC40" s="404"/>
      <c r="CD40" s="405"/>
      <c r="CE40" s="403"/>
      <c r="CF40" s="403"/>
      <c r="CG40" s="403"/>
      <c r="CH40" s="404"/>
      <c r="CI40" s="405"/>
      <c r="CJ40" s="403"/>
      <c r="CK40" s="403"/>
      <c r="CL40" s="403"/>
      <c r="CM40" s="406"/>
    </row>
    <row r="41" spans="1:91" ht="25.5" customHeight="1">
      <c r="A41" s="386">
        <v>4134</v>
      </c>
      <c r="B41" s="387" t="s">
        <v>11</v>
      </c>
      <c r="C41" s="387" t="s">
        <v>44</v>
      </c>
      <c r="D41" s="387" t="s">
        <v>76</v>
      </c>
      <c r="E41" s="372" t="s">
        <v>53</v>
      </c>
      <c r="F41" s="387"/>
      <c r="G41" s="372" t="s">
        <v>836</v>
      </c>
      <c r="H41" s="371" t="s">
        <v>54</v>
      </c>
      <c r="I41" s="375"/>
      <c r="J41" s="372"/>
      <c r="K41" s="373"/>
      <c r="L41" s="388" t="s">
        <v>78</v>
      </c>
      <c r="M41" s="387" t="s">
        <v>77</v>
      </c>
      <c r="N41" s="387"/>
      <c r="O41" s="387" t="s">
        <v>77</v>
      </c>
      <c r="P41" s="389" t="s">
        <v>77</v>
      </c>
      <c r="Q41" s="388"/>
      <c r="R41" s="387"/>
      <c r="S41" s="387"/>
      <c r="T41" s="387"/>
      <c r="U41" s="390" t="s">
        <v>80</v>
      </c>
      <c r="V41" s="386"/>
      <c r="W41" s="372"/>
      <c r="X41" s="372"/>
      <c r="Y41" s="372"/>
      <c r="Z41" s="373"/>
      <c r="AA41" s="374"/>
      <c r="AB41" s="372"/>
      <c r="AC41" s="372"/>
      <c r="AD41" s="372"/>
      <c r="AE41" s="371"/>
      <c r="AF41" s="375"/>
      <c r="AG41" s="372"/>
      <c r="AH41" s="372"/>
      <c r="AI41" s="372"/>
      <c r="AJ41" s="373"/>
      <c r="AK41" s="374"/>
      <c r="AL41" s="372"/>
      <c r="AM41" s="372"/>
      <c r="AN41" s="372"/>
      <c r="AO41" s="371"/>
      <c r="AP41" s="375"/>
      <c r="AQ41" s="372"/>
      <c r="AR41" s="372"/>
      <c r="AS41" s="372"/>
      <c r="AT41" s="373"/>
      <c r="AU41" s="374"/>
      <c r="AV41" s="372"/>
      <c r="AW41" s="372"/>
      <c r="AX41" s="372"/>
      <c r="AY41" s="371"/>
      <c r="AZ41" s="375"/>
      <c r="BA41" s="372"/>
      <c r="BB41" s="372"/>
      <c r="BC41" s="372"/>
      <c r="BD41" s="373"/>
      <c r="BE41" s="374"/>
      <c r="BF41" s="372"/>
      <c r="BG41" s="372"/>
      <c r="BH41" s="372"/>
      <c r="BI41" s="371"/>
      <c r="BJ41" s="375"/>
      <c r="BK41" s="372"/>
      <c r="BL41" s="372"/>
      <c r="BM41" s="372"/>
      <c r="BN41" s="373"/>
      <c r="BO41" s="374"/>
      <c r="BP41" s="372"/>
      <c r="BQ41" s="372"/>
      <c r="BR41" s="372"/>
      <c r="BS41" s="371"/>
      <c r="BT41" s="375"/>
      <c r="BU41" s="372"/>
      <c r="BV41" s="372"/>
      <c r="BW41" s="372"/>
      <c r="BX41" s="373"/>
      <c r="BY41" s="374"/>
      <c r="BZ41" s="372"/>
      <c r="CA41" s="372"/>
      <c r="CB41" s="372"/>
      <c r="CC41" s="371"/>
      <c r="CD41" s="375"/>
      <c r="CE41" s="372"/>
      <c r="CF41" s="372"/>
      <c r="CG41" s="372"/>
      <c r="CH41" s="371"/>
      <c r="CI41" s="375"/>
      <c r="CJ41" s="372"/>
      <c r="CK41" s="372"/>
      <c r="CL41" s="372"/>
      <c r="CM41" s="373"/>
    </row>
    <row r="42" spans="1:91" ht="25.5" customHeight="1">
      <c r="A42" s="386">
        <v>4135</v>
      </c>
      <c r="B42" s="387" t="s">
        <v>11</v>
      </c>
      <c r="C42" s="387" t="s">
        <v>44</v>
      </c>
      <c r="D42" s="387" t="s">
        <v>76</v>
      </c>
      <c r="E42" s="372" t="s">
        <v>53</v>
      </c>
      <c r="F42" s="387"/>
      <c r="G42" s="372" t="s">
        <v>838</v>
      </c>
      <c r="H42" s="371" t="s">
        <v>54</v>
      </c>
      <c r="I42" s="375"/>
      <c r="J42" s="372"/>
      <c r="K42" s="373"/>
      <c r="L42" s="388" t="s">
        <v>78</v>
      </c>
      <c r="M42" s="387" t="s">
        <v>77</v>
      </c>
      <c r="N42" s="387"/>
      <c r="O42" s="387" t="s">
        <v>77</v>
      </c>
      <c r="P42" s="389" t="s">
        <v>77</v>
      </c>
      <c r="Q42" s="388"/>
      <c r="R42" s="387"/>
      <c r="S42" s="387"/>
      <c r="T42" s="387"/>
      <c r="U42" s="390" t="s">
        <v>80</v>
      </c>
      <c r="V42" s="386"/>
      <c r="W42" s="372"/>
      <c r="X42" s="372"/>
      <c r="Y42" s="372"/>
      <c r="Z42" s="373"/>
      <c r="AA42" s="374"/>
      <c r="AB42" s="372"/>
      <c r="AC42" s="372"/>
      <c r="AD42" s="372"/>
      <c r="AE42" s="371"/>
      <c r="AF42" s="375"/>
      <c r="AG42" s="372"/>
      <c r="AH42" s="372"/>
      <c r="AI42" s="372"/>
      <c r="AJ42" s="373"/>
      <c r="AK42" s="374"/>
      <c r="AL42" s="372"/>
      <c r="AM42" s="372"/>
      <c r="AN42" s="372"/>
      <c r="AO42" s="371"/>
      <c r="AP42" s="375"/>
      <c r="AQ42" s="372"/>
      <c r="AR42" s="372"/>
      <c r="AS42" s="372"/>
      <c r="AT42" s="373"/>
      <c r="AU42" s="374"/>
      <c r="AV42" s="372"/>
      <c r="AW42" s="372"/>
      <c r="AX42" s="372"/>
      <c r="AY42" s="371"/>
      <c r="AZ42" s="375"/>
      <c r="BA42" s="372"/>
      <c r="BB42" s="372"/>
      <c r="BC42" s="372"/>
      <c r="BD42" s="373"/>
      <c r="BE42" s="374"/>
      <c r="BF42" s="372"/>
      <c r="BG42" s="372"/>
      <c r="BH42" s="372"/>
      <c r="BI42" s="371"/>
      <c r="BJ42" s="375"/>
      <c r="BK42" s="372"/>
      <c r="BL42" s="372"/>
      <c r="BM42" s="372"/>
      <c r="BN42" s="373"/>
      <c r="BO42" s="374"/>
      <c r="BP42" s="372"/>
      <c r="BQ42" s="372"/>
      <c r="BR42" s="372"/>
      <c r="BS42" s="371"/>
      <c r="BT42" s="375"/>
      <c r="BU42" s="372"/>
      <c r="BV42" s="372"/>
      <c r="BW42" s="372"/>
      <c r="BX42" s="373"/>
      <c r="BY42" s="374"/>
      <c r="BZ42" s="372"/>
      <c r="CA42" s="372"/>
      <c r="CB42" s="372"/>
      <c r="CC42" s="371"/>
      <c r="CD42" s="375"/>
      <c r="CE42" s="372"/>
      <c r="CF42" s="372"/>
      <c r="CG42" s="372"/>
      <c r="CH42" s="371"/>
      <c r="CI42" s="375"/>
      <c r="CJ42" s="372"/>
      <c r="CK42" s="372"/>
      <c r="CL42" s="372"/>
      <c r="CM42" s="373"/>
    </row>
    <row r="43" spans="1:91" ht="25.5" customHeight="1">
      <c r="A43" s="386">
        <v>4136</v>
      </c>
      <c r="B43" s="387" t="s">
        <v>11</v>
      </c>
      <c r="C43" s="387" t="s">
        <v>44</v>
      </c>
      <c r="D43" s="387" t="s">
        <v>76</v>
      </c>
      <c r="E43" s="372" t="s">
        <v>53</v>
      </c>
      <c r="F43" s="387"/>
      <c r="G43" s="372" t="s">
        <v>840</v>
      </c>
      <c r="H43" s="371" t="s">
        <v>54</v>
      </c>
      <c r="I43" s="375"/>
      <c r="J43" s="372"/>
      <c r="K43" s="373"/>
      <c r="L43" s="388" t="s">
        <v>78</v>
      </c>
      <c r="M43" s="387" t="s">
        <v>77</v>
      </c>
      <c r="N43" s="387"/>
      <c r="O43" s="387" t="s">
        <v>77</v>
      </c>
      <c r="P43" s="389" t="s">
        <v>77</v>
      </c>
      <c r="Q43" s="388"/>
      <c r="R43" s="387"/>
      <c r="S43" s="387"/>
      <c r="T43" s="387"/>
      <c r="U43" s="390" t="s">
        <v>80</v>
      </c>
      <c r="V43" s="386"/>
      <c r="W43" s="372"/>
      <c r="X43" s="372"/>
      <c r="Y43" s="372"/>
      <c r="Z43" s="373"/>
      <c r="AA43" s="374"/>
      <c r="AB43" s="372"/>
      <c r="AC43" s="372"/>
      <c r="AD43" s="372"/>
      <c r="AE43" s="371"/>
      <c r="AF43" s="375"/>
      <c r="AG43" s="372"/>
      <c r="AH43" s="372"/>
      <c r="AI43" s="372"/>
      <c r="AJ43" s="373"/>
      <c r="AK43" s="374"/>
      <c r="AL43" s="372"/>
      <c r="AM43" s="372"/>
      <c r="AN43" s="372"/>
      <c r="AO43" s="371"/>
      <c r="AP43" s="375"/>
      <c r="AQ43" s="372"/>
      <c r="AR43" s="372"/>
      <c r="AS43" s="372"/>
      <c r="AT43" s="373"/>
      <c r="AU43" s="374"/>
      <c r="AV43" s="372"/>
      <c r="AW43" s="372"/>
      <c r="AX43" s="372"/>
      <c r="AY43" s="371"/>
      <c r="AZ43" s="375"/>
      <c r="BA43" s="372"/>
      <c r="BB43" s="372"/>
      <c r="BC43" s="372"/>
      <c r="BD43" s="373"/>
      <c r="BE43" s="374"/>
      <c r="BF43" s="372"/>
      <c r="BG43" s="372"/>
      <c r="BH43" s="372"/>
      <c r="BI43" s="371"/>
      <c r="BJ43" s="375"/>
      <c r="BK43" s="372"/>
      <c r="BL43" s="372"/>
      <c r="BM43" s="372"/>
      <c r="BN43" s="373"/>
      <c r="BO43" s="374"/>
      <c r="BP43" s="372"/>
      <c r="BQ43" s="372"/>
      <c r="BR43" s="372"/>
      <c r="BS43" s="371"/>
      <c r="BT43" s="375"/>
      <c r="BU43" s="372"/>
      <c r="BV43" s="372"/>
      <c r="BW43" s="372"/>
      <c r="BX43" s="373"/>
      <c r="BY43" s="374"/>
      <c r="BZ43" s="372"/>
      <c r="CA43" s="372"/>
      <c r="CB43" s="372"/>
      <c r="CC43" s="371"/>
      <c r="CD43" s="375"/>
      <c r="CE43" s="372"/>
      <c r="CF43" s="372"/>
      <c r="CG43" s="372"/>
      <c r="CH43" s="371"/>
      <c r="CI43" s="375"/>
      <c r="CJ43" s="372"/>
      <c r="CK43" s="372"/>
      <c r="CL43" s="372"/>
      <c r="CM43" s="373"/>
    </row>
    <row r="44" spans="1:91" ht="25.5" customHeight="1" thickBot="1">
      <c r="A44" s="411">
        <v>4137</v>
      </c>
      <c r="B44" s="412" t="s">
        <v>11</v>
      </c>
      <c r="C44" s="412" t="s">
        <v>44</v>
      </c>
      <c r="D44" s="412" t="s">
        <v>76</v>
      </c>
      <c r="E44" s="377" t="s">
        <v>53</v>
      </c>
      <c r="F44" s="412"/>
      <c r="G44" s="377" t="s">
        <v>842</v>
      </c>
      <c r="H44" s="376" t="s">
        <v>54</v>
      </c>
      <c r="I44" s="380"/>
      <c r="J44" s="377"/>
      <c r="K44" s="378"/>
      <c r="L44" s="413" t="s">
        <v>78</v>
      </c>
      <c r="M44" s="412" t="s">
        <v>77</v>
      </c>
      <c r="N44" s="412"/>
      <c r="O44" s="412" t="s">
        <v>77</v>
      </c>
      <c r="P44" s="414" t="s">
        <v>77</v>
      </c>
      <c r="Q44" s="413"/>
      <c r="R44" s="412"/>
      <c r="S44" s="412"/>
      <c r="T44" s="412"/>
      <c r="U44" s="415" t="s">
        <v>80</v>
      </c>
      <c r="V44" s="411"/>
      <c r="W44" s="377"/>
      <c r="X44" s="377"/>
      <c r="Y44" s="377"/>
      <c r="Z44" s="378"/>
      <c r="AA44" s="379"/>
      <c r="AB44" s="377"/>
      <c r="AC44" s="377"/>
      <c r="AD44" s="377"/>
      <c r="AE44" s="376"/>
      <c r="AF44" s="380"/>
      <c r="AG44" s="377"/>
      <c r="AH44" s="377"/>
      <c r="AI44" s="377"/>
      <c r="AJ44" s="378"/>
      <c r="AK44" s="379"/>
      <c r="AL44" s="377"/>
      <c r="AM44" s="377"/>
      <c r="AN44" s="377"/>
      <c r="AO44" s="376"/>
      <c r="AP44" s="380"/>
      <c r="AQ44" s="377"/>
      <c r="AR44" s="377"/>
      <c r="AS44" s="377"/>
      <c r="AT44" s="378"/>
      <c r="AU44" s="379"/>
      <c r="AV44" s="377"/>
      <c r="AW44" s="377"/>
      <c r="AX44" s="377"/>
      <c r="AY44" s="376"/>
      <c r="AZ44" s="380"/>
      <c r="BA44" s="377"/>
      <c r="BB44" s="377"/>
      <c r="BC44" s="377"/>
      <c r="BD44" s="378"/>
      <c r="BE44" s="379"/>
      <c r="BF44" s="377"/>
      <c r="BG44" s="377"/>
      <c r="BH44" s="377"/>
      <c r="BI44" s="376"/>
      <c r="BJ44" s="380"/>
      <c r="BK44" s="377"/>
      <c r="BL44" s="377"/>
      <c r="BM44" s="377"/>
      <c r="BN44" s="378"/>
      <c r="BO44" s="379"/>
      <c r="BP44" s="377"/>
      <c r="BQ44" s="377"/>
      <c r="BR44" s="377"/>
      <c r="BS44" s="376"/>
      <c r="BT44" s="380"/>
      <c r="BU44" s="377"/>
      <c r="BV44" s="377"/>
      <c r="BW44" s="377"/>
      <c r="BX44" s="378"/>
      <c r="BY44" s="379"/>
      <c r="BZ44" s="377"/>
      <c r="CA44" s="377"/>
      <c r="CB44" s="377"/>
      <c r="CC44" s="376"/>
      <c r="CD44" s="380"/>
      <c r="CE44" s="377"/>
      <c r="CF44" s="377"/>
      <c r="CG44" s="377"/>
      <c r="CH44" s="376"/>
      <c r="CI44" s="380"/>
      <c r="CJ44" s="377"/>
      <c r="CK44" s="377"/>
      <c r="CL44" s="377"/>
      <c r="CM44" s="378"/>
    </row>
    <row r="45" spans="1:91" ht="25.5" customHeight="1">
      <c r="A45" s="416">
        <v>4138</v>
      </c>
      <c r="B45" s="417" t="s">
        <v>11</v>
      </c>
      <c r="C45" s="417" t="s">
        <v>44</v>
      </c>
      <c r="D45" s="417" t="s">
        <v>76</v>
      </c>
      <c r="E45" s="381" t="s">
        <v>53</v>
      </c>
      <c r="F45" s="417"/>
      <c r="G45" s="381" t="s">
        <v>844</v>
      </c>
      <c r="H45" s="384" t="s">
        <v>54</v>
      </c>
      <c r="I45" s="385"/>
      <c r="J45" s="381"/>
      <c r="K45" s="382"/>
      <c r="L45" s="418" t="s">
        <v>78</v>
      </c>
      <c r="M45" s="417" t="s">
        <v>77</v>
      </c>
      <c r="N45" s="417"/>
      <c r="O45" s="417" t="s">
        <v>77</v>
      </c>
      <c r="P45" s="419" t="s">
        <v>77</v>
      </c>
      <c r="Q45" s="418"/>
      <c r="R45" s="417"/>
      <c r="S45" s="417"/>
      <c r="T45" s="417"/>
      <c r="U45" s="420" t="s">
        <v>80</v>
      </c>
      <c r="V45" s="416"/>
      <c r="W45" s="381"/>
      <c r="X45" s="381"/>
      <c r="Y45" s="381"/>
      <c r="Z45" s="382"/>
      <c r="AA45" s="383"/>
      <c r="AB45" s="381"/>
      <c r="AC45" s="381"/>
      <c r="AD45" s="381"/>
      <c r="AE45" s="384"/>
      <c r="AF45" s="385"/>
      <c r="AG45" s="381"/>
      <c r="AH45" s="381"/>
      <c r="AI45" s="381"/>
      <c r="AJ45" s="382"/>
      <c r="AK45" s="383"/>
      <c r="AL45" s="381"/>
      <c r="AM45" s="381"/>
      <c r="AN45" s="381"/>
      <c r="AO45" s="384"/>
      <c r="AP45" s="385"/>
      <c r="AQ45" s="381"/>
      <c r="AR45" s="381"/>
      <c r="AS45" s="381"/>
      <c r="AT45" s="382"/>
      <c r="AU45" s="383"/>
      <c r="AV45" s="381"/>
      <c r="AW45" s="381"/>
      <c r="AX45" s="381"/>
      <c r="AY45" s="384"/>
      <c r="AZ45" s="385"/>
      <c r="BA45" s="381"/>
      <c r="BB45" s="381"/>
      <c r="BC45" s="381"/>
      <c r="BD45" s="382"/>
      <c r="BE45" s="383"/>
      <c r="BF45" s="381"/>
      <c r="BG45" s="381"/>
      <c r="BH45" s="381"/>
      <c r="BI45" s="384"/>
      <c r="BJ45" s="385"/>
      <c r="BK45" s="381"/>
      <c r="BL45" s="381"/>
      <c r="BM45" s="381"/>
      <c r="BN45" s="382"/>
      <c r="BO45" s="383"/>
      <c r="BP45" s="381"/>
      <c r="BQ45" s="381"/>
      <c r="BR45" s="381"/>
      <c r="BS45" s="384"/>
      <c r="BT45" s="385"/>
      <c r="BU45" s="381"/>
      <c r="BV45" s="381"/>
      <c r="BW45" s="381"/>
      <c r="BX45" s="382"/>
      <c r="BY45" s="383"/>
      <c r="BZ45" s="381"/>
      <c r="CA45" s="381"/>
      <c r="CB45" s="381"/>
      <c r="CC45" s="384"/>
      <c r="CD45" s="385"/>
      <c r="CE45" s="381"/>
      <c r="CF45" s="381"/>
      <c r="CG45" s="381"/>
      <c r="CH45" s="384"/>
      <c r="CI45" s="385"/>
      <c r="CJ45" s="381"/>
      <c r="CK45" s="381"/>
      <c r="CL45" s="381"/>
      <c r="CM45" s="382"/>
    </row>
    <row r="46" spans="1:91" ht="25.5" customHeight="1">
      <c r="A46" s="386">
        <v>4139</v>
      </c>
      <c r="B46" s="387" t="s">
        <v>11</v>
      </c>
      <c r="C46" s="387" t="s">
        <v>44</v>
      </c>
      <c r="D46" s="387" t="s">
        <v>76</v>
      </c>
      <c r="E46" s="372" t="s">
        <v>53</v>
      </c>
      <c r="F46" s="387"/>
      <c r="G46" s="372" t="s">
        <v>846</v>
      </c>
      <c r="H46" s="371" t="s">
        <v>54</v>
      </c>
      <c r="I46" s="375"/>
      <c r="J46" s="372"/>
      <c r="K46" s="373"/>
      <c r="L46" s="388" t="s">
        <v>78</v>
      </c>
      <c r="M46" s="387" t="s">
        <v>77</v>
      </c>
      <c r="N46" s="387"/>
      <c r="O46" s="387" t="s">
        <v>77</v>
      </c>
      <c r="P46" s="389" t="s">
        <v>77</v>
      </c>
      <c r="Q46" s="388"/>
      <c r="R46" s="387"/>
      <c r="S46" s="387"/>
      <c r="T46" s="387"/>
      <c r="U46" s="390" t="s">
        <v>80</v>
      </c>
      <c r="V46" s="386"/>
      <c r="W46" s="372"/>
      <c r="X46" s="372"/>
      <c r="Y46" s="372"/>
      <c r="Z46" s="373"/>
      <c r="AA46" s="374"/>
      <c r="AB46" s="372"/>
      <c r="AC46" s="372"/>
      <c r="AD46" s="372"/>
      <c r="AE46" s="371"/>
      <c r="AF46" s="375"/>
      <c r="AG46" s="372"/>
      <c r="AH46" s="372"/>
      <c r="AI46" s="372"/>
      <c r="AJ46" s="373"/>
      <c r="AK46" s="374"/>
      <c r="AL46" s="372"/>
      <c r="AM46" s="372"/>
      <c r="AN46" s="372"/>
      <c r="AO46" s="371"/>
      <c r="AP46" s="375"/>
      <c r="AQ46" s="372"/>
      <c r="AR46" s="372"/>
      <c r="AS46" s="372"/>
      <c r="AT46" s="373"/>
      <c r="AU46" s="374"/>
      <c r="AV46" s="372"/>
      <c r="AW46" s="372"/>
      <c r="AX46" s="372"/>
      <c r="AY46" s="371"/>
      <c r="AZ46" s="375"/>
      <c r="BA46" s="372"/>
      <c r="BB46" s="372"/>
      <c r="BC46" s="372"/>
      <c r="BD46" s="373"/>
      <c r="BE46" s="374"/>
      <c r="BF46" s="372"/>
      <c r="BG46" s="372"/>
      <c r="BH46" s="372"/>
      <c r="BI46" s="371"/>
      <c r="BJ46" s="375"/>
      <c r="BK46" s="372"/>
      <c r="BL46" s="372"/>
      <c r="BM46" s="372"/>
      <c r="BN46" s="373"/>
      <c r="BO46" s="374"/>
      <c r="BP46" s="372"/>
      <c r="BQ46" s="372"/>
      <c r="BR46" s="372"/>
      <c r="BS46" s="371"/>
      <c r="BT46" s="375"/>
      <c r="BU46" s="372"/>
      <c r="BV46" s="372"/>
      <c r="BW46" s="372"/>
      <c r="BX46" s="373"/>
      <c r="BY46" s="374"/>
      <c r="BZ46" s="372"/>
      <c r="CA46" s="372"/>
      <c r="CB46" s="372"/>
      <c r="CC46" s="371"/>
      <c r="CD46" s="375"/>
      <c r="CE46" s="372"/>
      <c r="CF46" s="372"/>
      <c r="CG46" s="372"/>
      <c r="CH46" s="371"/>
      <c r="CI46" s="375"/>
      <c r="CJ46" s="372"/>
      <c r="CK46" s="372"/>
      <c r="CL46" s="372"/>
      <c r="CM46" s="373"/>
    </row>
    <row r="47" spans="1:91" ht="25.5" customHeight="1">
      <c r="A47" s="386">
        <v>4140</v>
      </c>
      <c r="B47" s="387" t="s">
        <v>11</v>
      </c>
      <c r="C47" s="387" t="s">
        <v>44</v>
      </c>
      <c r="D47" s="387" t="s">
        <v>76</v>
      </c>
      <c r="E47" s="372" t="s">
        <v>53</v>
      </c>
      <c r="F47" s="387"/>
      <c r="G47" s="372" t="s">
        <v>848</v>
      </c>
      <c r="H47" s="371" t="s">
        <v>54</v>
      </c>
      <c r="I47" s="375"/>
      <c r="J47" s="372"/>
      <c r="K47" s="373"/>
      <c r="L47" s="388" t="s">
        <v>78</v>
      </c>
      <c r="M47" s="387" t="s">
        <v>77</v>
      </c>
      <c r="N47" s="387"/>
      <c r="O47" s="387" t="s">
        <v>77</v>
      </c>
      <c r="P47" s="389" t="s">
        <v>77</v>
      </c>
      <c r="Q47" s="388"/>
      <c r="R47" s="387"/>
      <c r="S47" s="387"/>
      <c r="T47" s="387"/>
      <c r="U47" s="390" t="s">
        <v>80</v>
      </c>
      <c r="V47" s="386"/>
      <c r="W47" s="372"/>
      <c r="X47" s="372"/>
      <c r="Y47" s="372"/>
      <c r="Z47" s="373"/>
      <c r="AA47" s="374"/>
      <c r="AB47" s="372"/>
      <c r="AC47" s="372"/>
      <c r="AD47" s="372"/>
      <c r="AE47" s="371"/>
      <c r="AF47" s="375"/>
      <c r="AG47" s="372"/>
      <c r="AH47" s="372"/>
      <c r="AI47" s="372"/>
      <c r="AJ47" s="373"/>
      <c r="AK47" s="374"/>
      <c r="AL47" s="372"/>
      <c r="AM47" s="372"/>
      <c r="AN47" s="372"/>
      <c r="AO47" s="371"/>
      <c r="AP47" s="375"/>
      <c r="AQ47" s="372"/>
      <c r="AR47" s="372"/>
      <c r="AS47" s="372"/>
      <c r="AT47" s="373"/>
      <c r="AU47" s="374"/>
      <c r="AV47" s="372"/>
      <c r="AW47" s="372"/>
      <c r="AX47" s="372"/>
      <c r="AY47" s="371"/>
      <c r="AZ47" s="375"/>
      <c r="BA47" s="372"/>
      <c r="BB47" s="372"/>
      <c r="BC47" s="372"/>
      <c r="BD47" s="373"/>
      <c r="BE47" s="374"/>
      <c r="BF47" s="372"/>
      <c r="BG47" s="372"/>
      <c r="BH47" s="372"/>
      <c r="BI47" s="371"/>
      <c r="BJ47" s="375"/>
      <c r="BK47" s="372"/>
      <c r="BL47" s="372"/>
      <c r="BM47" s="372"/>
      <c r="BN47" s="373"/>
      <c r="BO47" s="374"/>
      <c r="BP47" s="372"/>
      <c r="BQ47" s="372"/>
      <c r="BR47" s="372"/>
      <c r="BS47" s="371"/>
      <c r="BT47" s="375"/>
      <c r="BU47" s="372"/>
      <c r="BV47" s="372"/>
      <c r="BW47" s="372"/>
      <c r="BX47" s="373"/>
      <c r="BY47" s="374"/>
      <c r="BZ47" s="372"/>
      <c r="CA47" s="372"/>
      <c r="CB47" s="372"/>
      <c r="CC47" s="371"/>
      <c r="CD47" s="375"/>
      <c r="CE47" s="372"/>
      <c r="CF47" s="372"/>
      <c r="CG47" s="372"/>
      <c r="CH47" s="371"/>
      <c r="CI47" s="375"/>
      <c r="CJ47" s="372"/>
      <c r="CK47" s="372"/>
      <c r="CL47" s="372"/>
      <c r="CM47" s="373"/>
    </row>
    <row r="48" spans="1:91" ht="25.5" customHeight="1">
      <c r="A48" s="386">
        <v>4141</v>
      </c>
      <c r="B48" s="387" t="s">
        <v>11</v>
      </c>
      <c r="C48" s="387" t="s">
        <v>44</v>
      </c>
      <c r="D48" s="387" t="s">
        <v>76</v>
      </c>
      <c r="E48" s="372" t="s">
        <v>53</v>
      </c>
      <c r="F48" s="387"/>
      <c r="G48" s="372" t="s">
        <v>850</v>
      </c>
      <c r="H48" s="371" t="s">
        <v>54</v>
      </c>
      <c r="I48" s="375"/>
      <c r="J48" s="372"/>
      <c r="K48" s="373"/>
      <c r="L48" s="388" t="s">
        <v>78</v>
      </c>
      <c r="M48" s="387" t="s">
        <v>77</v>
      </c>
      <c r="N48" s="387"/>
      <c r="O48" s="387" t="s">
        <v>77</v>
      </c>
      <c r="P48" s="389" t="s">
        <v>77</v>
      </c>
      <c r="Q48" s="388"/>
      <c r="R48" s="387"/>
      <c r="S48" s="387"/>
      <c r="T48" s="387"/>
      <c r="U48" s="390" t="s">
        <v>80</v>
      </c>
      <c r="V48" s="386"/>
      <c r="W48" s="372"/>
      <c r="X48" s="372"/>
      <c r="Y48" s="372"/>
      <c r="Z48" s="373"/>
      <c r="AA48" s="374"/>
      <c r="AB48" s="372"/>
      <c r="AC48" s="372"/>
      <c r="AD48" s="372"/>
      <c r="AE48" s="371"/>
      <c r="AF48" s="375"/>
      <c r="AG48" s="372"/>
      <c r="AH48" s="372"/>
      <c r="AI48" s="372"/>
      <c r="AJ48" s="373"/>
      <c r="AK48" s="374"/>
      <c r="AL48" s="372"/>
      <c r="AM48" s="372"/>
      <c r="AN48" s="372"/>
      <c r="AO48" s="371"/>
      <c r="AP48" s="375"/>
      <c r="AQ48" s="372"/>
      <c r="AR48" s="372"/>
      <c r="AS48" s="372"/>
      <c r="AT48" s="373"/>
      <c r="AU48" s="374"/>
      <c r="AV48" s="372"/>
      <c r="AW48" s="372"/>
      <c r="AX48" s="372"/>
      <c r="AY48" s="371"/>
      <c r="AZ48" s="375"/>
      <c r="BA48" s="372"/>
      <c r="BB48" s="372"/>
      <c r="BC48" s="372"/>
      <c r="BD48" s="373"/>
      <c r="BE48" s="374"/>
      <c r="BF48" s="372"/>
      <c r="BG48" s="372"/>
      <c r="BH48" s="372"/>
      <c r="BI48" s="371"/>
      <c r="BJ48" s="375"/>
      <c r="BK48" s="372"/>
      <c r="BL48" s="372"/>
      <c r="BM48" s="372"/>
      <c r="BN48" s="373"/>
      <c r="BO48" s="374"/>
      <c r="BP48" s="372"/>
      <c r="BQ48" s="372"/>
      <c r="BR48" s="372"/>
      <c r="BS48" s="371"/>
      <c r="BT48" s="375"/>
      <c r="BU48" s="372"/>
      <c r="BV48" s="372"/>
      <c r="BW48" s="372"/>
      <c r="BX48" s="373"/>
      <c r="BY48" s="374"/>
      <c r="BZ48" s="372"/>
      <c r="CA48" s="372"/>
      <c r="CB48" s="372"/>
      <c r="CC48" s="371"/>
      <c r="CD48" s="375"/>
      <c r="CE48" s="372"/>
      <c r="CF48" s="372"/>
      <c r="CG48" s="372"/>
      <c r="CH48" s="371"/>
      <c r="CI48" s="375"/>
      <c r="CJ48" s="372"/>
      <c r="CK48" s="372"/>
      <c r="CL48" s="372"/>
      <c r="CM48" s="373"/>
    </row>
    <row r="49" spans="1:91" ht="25.5" customHeight="1" thickBot="1">
      <c r="A49" s="391">
        <v>4142</v>
      </c>
      <c r="B49" s="392" t="s">
        <v>11</v>
      </c>
      <c r="C49" s="392" t="s">
        <v>44</v>
      </c>
      <c r="D49" s="392" t="s">
        <v>76</v>
      </c>
      <c r="E49" s="393" t="s">
        <v>53</v>
      </c>
      <c r="F49" s="392"/>
      <c r="G49" s="393" t="s">
        <v>852</v>
      </c>
      <c r="H49" s="394" t="s">
        <v>54</v>
      </c>
      <c r="I49" s="395"/>
      <c r="J49" s="393"/>
      <c r="K49" s="396"/>
      <c r="L49" s="397" t="s">
        <v>78</v>
      </c>
      <c r="M49" s="392" t="s">
        <v>77</v>
      </c>
      <c r="N49" s="392"/>
      <c r="O49" s="392" t="s">
        <v>77</v>
      </c>
      <c r="P49" s="398" t="s">
        <v>77</v>
      </c>
      <c r="Q49" s="397"/>
      <c r="R49" s="392"/>
      <c r="S49" s="392"/>
      <c r="T49" s="392"/>
      <c r="U49" s="399" t="s">
        <v>80</v>
      </c>
      <c r="V49" s="391"/>
      <c r="W49" s="393"/>
      <c r="X49" s="393"/>
      <c r="Y49" s="393"/>
      <c r="Z49" s="396"/>
      <c r="AA49" s="400"/>
      <c r="AB49" s="393"/>
      <c r="AC49" s="393"/>
      <c r="AD49" s="393"/>
      <c r="AE49" s="394"/>
      <c r="AF49" s="395"/>
      <c r="AG49" s="393"/>
      <c r="AH49" s="393"/>
      <c r="AI49" s="393"/>
      <c r="AJ49" s="396"/>
      <c r="AK49" s="400"/>
      <c r="AL49" s="393"/>
      <c r="AM49" s="393"/>
      <c r="AN49" s="393"/>
      <c r="AO49" s="394"/>
      <c r="AP49" s="395"/>
      <c r="AQ49" s="393"/>
      <c r="AR49" s="393"/>
      <c r="AS49" s="393"/>
      <c r="AT49" s="396"/>
      <c r="AU49" s="400"/>
      <c r="AV49" s="393"/>
      <c r="AW49" s="393"/>
      <c r="AX49" s="393"/>
      <c r="AY49" s="394"/>
      <c r="AZ49" s="395"/>
      <c r="BA49" s="393"/>
      <c r="BB49" s="393"/>
      <c r="BC49" s="393"/>
      <c r="BD49" s="396"/>
      <c r="BE49" s="400"/>
      <c r="BF49" s="393"/>
      <c r="BG49" s="393"/>
      <c r="BH49" s="393"/>
      <c r="BI49" s="394"/>
      <c r="BJ49" s="395"/>
      <c r="BK49" s="393"/>
      <c r="BL49" s="393"/>
      <c r="BM49" s="393"/>
      <c r="BN49" s="396"/>
      <c r="BO49" s="400"/>
      <c r="BP49" s="393"/>
      <c r="BQ49" s="393"/>
      <c r="BR49" s="393"/>
      <c r="BS49" s="394"/>
      <c r="BT49" s="395"/>
      <c r="BU49" s="393"/>
      <c r="BV49" s="393"/>
      <c r="BW49" s="393"/>
      <c r="BX49" s="396"/>
      <c r="BY49" s="400"/>
      <c r="BZ49" s="393"/>
      <c r="CA49" s="393"/>
      <c r="CB49" s="393"/>
      <c r="CC49" s="394"/>
      <c r="CD49" s="395"/>
      <c r="CE49" s="393"/>
      <c r="CF49" s="393"/>
      <c r="CG49" s="393"/>
      <c r="CH49" s="394"/>
      <c r="CI49" s="395"/>
      <c r="CJ49" s="393"/>
      <c r="CK49" s="393"/>
      <c r="CL49" s="393"/>
      <c r="CM49" s="396"/>
    </row>
    <row r="50" spans="1:91" ht="25.5" customHeight="1">
      <c r="A50" s="401">
        <v>4143</v>
      </c>
      <c r="B50" s="402" t="s">
        <v>11</v>
      </c>
      <c r="C50" s="402" t="s">
        <v>44</v>
      </c>
      <c r="D50" s="402" t="s">
        <v>76</v>
      </c>
      <c r="E50" s="403" t="s">
        <v>53</v>
      </c>
      <c r="F50" s="402"/>
      <c r="G50" s="403" t="s">
        <v>854</v>
      </c>
      <c r="H50" s="404" t="s">
        <v>54</v>
      </c>
      <c r="I50" s="405"/>
      <c r="J50" s="403"/>
      <c r="K50" s="406"/>
      <c r="L50" s="407" t="s">
        <v>78</v>
      </c>
      <c r="M50" s="402" t="s">
        <v>77</v>
      </c>
      <c r="N50" s="402"/>
      <c r="O50" s="402" t="s">
        <v>77</v>
      </c>
      <c r="P50" s="408" t="s">
        <v>77</v>
      </c>
      <c r="Q50" s="407"/>
      <c r="R50" s="402"/>
      <c r="S50" s="402"/>
      <c r="T50" s="402"/>
      <c r="U50" s="409" t="s">
        <v>80</v>
      </c>
      <c r="V50" s="401"/>
      <c r="W50" s="403"/>
      <c r="X50" s="403"/>
      <c r="Y50" s="403"/>
      <c r="Z50" s="406"/>
      <c r="AA50" s="410"/>
      <c r="AB50" s="403"/>
      <c r="AC50" s="403"/>
      <c r="AD50" s="403"/>
      <c r="AE50" s="404"/>
      <c r="AF50" s="405"/>
      <c r="AG50" s="403"/>
      <c r="AH50" s="403"/>
      <c r="AI50" s="403"/>
      <c r="AJ50" s="406"/>
      <c r="AK50" s="410"/>
      <c r="AL50" s="403"/>
      <c r="AM50" s="403"/>
      <c r="AN50" s="403"/>
      <c r="AO50" s="404"/>
      <c r="AP50" s="405"/>
      <c r="AQ50" s="403"/>
      <c r="AR50" s="403"/>
      <c r="AS50" s="403"/>
      <c r="AT50" s="406"/>
      <c r="AU50" s="410"/>
      <c r="AV50" s="403"/>
      <c r="AW50" s="403"/>
      <c r="AX50" s="403"/>
      <c r="AY50" s="404"/>
      <c r="AZ50" s="405"/>
      <c r="BA50" s="403"/>
      <c r="BB50" s="403"/>
      <c r="BC50" s="403"/>
      <c r="BD50" s="406"/>
      <c r="BE50" s="410"/>
      <c r="BF50" s="403"/>
      <c r="BG50" s="403"/>
      <c r="BH50" s="403"/>
      <c r="BI50" s="404"/>
      <c r="BJ50" s="405"/>
      <c r="BK50" s="403"/>
      <c r="BL50" s="403"/>
      <c r="BM50" s="403"/>
      <c r="BN50" s="406"/>
      <c r="BO50" s="410"/>
      <c r="BP50" s="403"/>
      <c r="BQ50" s="403"/>
      <c r="BR50" s="403"/>
      <c r="BS50" s="404"/>
      <c r="BT50" s="405"/>
      <c r="BU50" s="403"/>
      <c r="BV50" s="403"/>
      <c r="BW50" s="403"/>
      <c r="BX50" s="406"/>
      <c r="BY50" s="410"/>
      <c r="BZ50" s="403"/>
      <c r="CA50" s="403"/>
      <c r="CB50" s="403"/>
      <c r="CC50" s="404"/>
      <c r="CD50" s="405"/>
      <c r="CE50" s="403"/>
      <c r="CF50" s="403"/>
      <c r="CG50" s="403"/>
      <c r="CH50" s="404"/>
      <c r="CI50" s="405"/>
      <c r="CJ50" s="403"/>
      <c r="CK50" s="403"/>
      <c r="CL50" s="403"/>
      <c r="CM50" s="406"/>
    </row>
    <row r="51" spans="1:91" ht="25.5" customHeight="1">
      <c r="A51" s="386">
        <v>4144</v>
      </c>
      <c r="B51" s="387" t="s">
        <v>11</v>
      </c>
      <c r="C51" s="387" t="s">
        <v>44</v>
      </c>
      <c r="D51" s="387" t="s">
        <v>76</v>
      </c>
      <c r="E51" s="372" t="s">
        <v>53</v>
      </c>
      <c r="F51" s="387"/>
      <c r="G51" s="372" t="s">
        <v>856</v>
      </c>
      <c r="H51" s="371" t="s">
        <v>54</v>
      </c>
      <c r="I51" s="375"/>
      <c r="J51" s="372"/>
      <c r="K51" s="373"/>
      <c r="L51" s="388" t="s">
        <v>78</v>
      </c>
      <c r="M51" s="387" t="s">
        <v>77</v>
      </c>
      <c r="N51" s="387"/>
      <c r="O51" s="387" t="s">
        <v>77</v>
      </c>
      <c r="P51" s="389" t="s">
        <v>77</v>
      </c>
      <c r="Q51" s="388"/>
      <c r="R51" s="387"/>
      <c r="S51" s="387"/>
      <c r="T51" s="387"/>
      <c r="U51" s="390" t="s">
        <v>80</v>
      </c>
      <c r="V51" s="386"/>
      <c r="W51" s="372"/>
      <c r="X51" s="372"/>
      <c r="Y51" s="372"/>
      <c r="Z51" s="373"/>
      <c r="AA51" s="374"/>
      <c r="AB51" s="372"/>
      <c r="AC51" s="372"/>
      <c r="AD51" s="372"/>
      <c r="AE51" s="371"/>
      <c r="AF51" s="375"/>
      <c r="AG51" s="372"/>
      <c r="AH51" s="372"/>
      <c r="AI51" s="372"/>
      <c r="AJ51" s="373"/>
      <c r="AK51" s="374"/>
      <c r="AL51" s="372"/>
      <c r="AM51" s="372"/>
      <c r="AN51" s="372"/>
      <c r="AO51" s="371"/>
      <c r="AP51" s="375"/>
      <c r="AQ51" s="372"/>
      <c r="AR51" s="372"/>
      <c r="AS51" s="372"/>
      <c r="AT51" s="373"/>
      <c r="AU51" s="374"/>
      <c r="AV51" s="372"/>
      <c r="AW51" s="372"/>
      <c r="AX51" s="372"/>
      <c r="AY51" s="371"/>
      <c r="AZ51" s="375"/>
      <c r="BA51" s="372"/>
      <c r="BB51" s="372"/>
      <c r="BC51" s="372"/>
      <c r="BD51" s="373"/>
      <c r="BE51" s="374"/>
      <c r="BF51" s="372"/>
      <c r="BG51" s="372"/>
      <c r="BH51" s="372"/>
      <c r="BI51" s="371"/>
      <c r="BJ51" s="375"/>
      <c r="BK51" s="372"/>
      <c r="BL51" s="372"/>
      <c r="BM51" s="372"/>
      <c r="BN51" s="373"/>
      <c r="BO51" s="374"/>
      <c r="BP51" s="372"/>
      <c r="BQ51" s="372"/>
      <c r="BR51" s="372"/>
      <c r="BS51" s="371"/>
      <c r="BT51" s="375"/>
      <c r="BU51" s="372"/>
      <c r="BV51" s="372"/>
      <c r="BW51" s="372"/>
      <c r="BX51" s="373"/>
      <c r="BY51" s="374"/>
      <c r="BZ51" s="372"/>
      <c r="CA51" s="372"/>
      <c r="CB51" s="372"/>
      <c r="CC51" s="371"/>
      <c r="CD51" s="375"/>
      <c r="CE51" s="372"/>
      <c r="CF51" s="372"/>
      <c r="CG51" s="372"/>
      <c r="CH51" s="371"/>
      <c r="CI51" s="375"/>
      <c r="CJ51" s="372"/>
      <c r="CK51" s="372"/>
      <c r="CL51" s="372"/>
      <c r="CM51" s="373"/>
    </row>
    <row r="52" spans="1:91" ht="25.5" customHeight="1">
      <c r="A52" s="386">
        <v>4145</v>
      </c>
      <c r="B52" s="387" t="s">
        <v>11</v>
      </c>
      <c r="C52" s="387" t="s">
        <v>44</v>
      </c>
      <c r="D52" s="387" t="s">
        <v>76</v>
      </c>
      <c r="E52" s="372" t="s">
        <v>53</v>
      </c>
      <c r="F52" s="387"/>
      <c r="G52" s="372" t="s">
        <v>858</v>
      </c>
      <c r="H52" s="371" t="s">
        <v>54</v>
      </c>
      <c r="I52" s="375"/>
      <c r="J52" s="372"/>
      <c r="K52" s="373"/>
      <c r="L52" s="388" t="s">
        <v>78</v>
      </c>
      <c r="M52" s="387" t="s">
        <v>77</v>
      </c>
      <c r="N52" s="387"/>
      <c r="O52" s="387" t="s">
        <v>77</v>
      </c>
      <c r="P52" s="389" t="s">
        <v>77</v>
      </c>
      <c r="Q52" s="388"/>
      <c r="R52" s="387"/>
      <c r="S52" s="387"/>
      <c r="T52" s="387"/>
      <c r="U52" s="390" t="s">
        <v>80</v>
      </c>
      <c r="V52" s="386"/>
      <c r="W52" s="372"/>
      <c r="X52" s="372"/>
      <c r="Y52" s="372"/>
      <c r="Z52" s="373"/>
      <c r="AA52" s="374"/>
      <c r="AB52" s="372"/>
      <c r="AC52" s="372"/>
      <c r="AD52" s="372"/>
      <c r="AE52" s="371"/>
      <c r="AF52" s="375"/>
      <c r="AG52" s="372"/>
      <c r="AH52" s="372"/>
      <c r="AI52" s="372"/>
      <c r="AJ52" s="373"/>
      <c r="AK52" s="374"/>
      <c r="AL52" s="372"/>
      <c r="AM52" s="372"/>
      <c r="AN52" s="372"/>
      <c r="AO52" s="371"/>
      <c r="AP52" s="375"/>
      <c r="AQ52" s="372"/>
      <c r="AR52" s="372"/>
      <c r="AS52" s="372"/>
      <c r="AT52" s="373"/>
      <c r="AU52" s="374"/>
      <c r="AV52" s="372"/>
      <c r="AW52" s="372"/>
      <c r="AX52" s="372"/>
      <c r="AY52" s="371"/>
      <c r="AZ52" s="375"/>
      <c r="BA52" s="372"/>
      <c r="BB52" s="372"/>
      <c r="BC52" s="372"/>
      <c r="BD52" s="373"/>
      <c r="BE52" s="374"/>
      <c r="BF52" s="372"/>
      <c r="BG52" s="372"/>
      <c r="BH52" s="372"/>
      <c r="BI52" s="371"/>
      <c r="BJ52" s="375"/>
      <c r="BK52" s="372"/>
      <c r="BL52" s="372"/>
      <c r="BM52" s="372"/>
      <c r="BN52" s="373"/>
      <c r="BO52" s="374"/>
      <c r="BP52" s="372"/>
      <c r="BQ52" s="372"/>
      <c r="BR52" s="372"/>
      <c r="BS52" s="371"/>
      <c r="BT52" s="375"/>
      <c r="BU52" s="372"/>
      <c r="BV52" s="372"/>
      <c r="BW52" s="372"/>
      <c r="BX52" s="373"/>
      <c r="BY52" s="374"/>
      <c r="BZ52" s="372"/>
      <c r="CA52" s="372"/>
      <c r="CB52" s="372"/>
      <c r="CC52" s="371"/>
      <c r="CD52" s="375"/>
      <c r="CE52" s="372"/>
      <c r="CF52" s="372"/>
      <c r="CG52" s="372"/>
      <c r="CH52" s="371"/>
      <c r="CI52" s="375"/>
      <c r="CJ52" s="372"/>
      <c r="CK52" s="372"/>
      <c r="CL52" s="372"/>
      <c r="CM52" s="373"/>
    </row>
    <row r="53" spans="1:91" ht="25.5" customHeight="1">
      <c r="A53" s="386">
        <v>4146</v>
      </c>
      <c r="B53" s="387" t="s">
        <v>11</v>
      </c>
      <c r="C53" s="387" t="s">
        <v>44</v>
      </c>
      <c r="D53" s="387" t="s">
        <v>76</v>
      </c>
      <c r="E53" s="372" t="s">
        <v>53</v>
      </c>
      <c r="F53" s="387"/>
      <c r="G53" s="372" t="s">
        <v>860</v>
      </c>
      <c r="H53" s="371" t="s">
        <v>54</v>
      </c>
      <c r="I53" s="375"/>
      <c r="J53" s="372"/>
      <c r="K53" s="373"/>
      <c r="L53" s="388" t="s">
        <v>78</v>
      </c>
      <c r="M53" s="387" t="s">
        <v>77</v>
      </c>
      <c r="N53" s="387"/>
      <c r="O53" s="387" t="s">
        <v>77</v>
      </c>
      <c r="P53" s="389" t="s">
        <v>77</v>
      </c>
      <c r="Q53" s="388"/>
      <c r="R53" s="387"/>
      <c r="S53" s="387"/>
      <c r="T53" s="387"/>
      <c r="U53" s="390" t="s">
        <v>80</v>
      </c>
      <c r="V53" s="386"/>
      <c r="W53" s="372"/>
      <c r="X53" s="372"/>
      <c r="Y53" s="372"/>
      <c r="Z53" s="373"/>
      <c r="AA53" s="374"/>
      <c r="AB53" s="372"/>
      <c r="AC53" s="372"/>
      <c r="AD53" s="372"/>
      <c r="AE53" s="371"/>
      <c r="AF53" s="375"/>
      <c r="AG53" s="372"/>
      <c r="AH53" s="372"/>
      <c r="AI53" s="372"/>
      <c r="AJ53" s="373"/>
      <c r="AK53" s="374"/>
      <c r="AL53" s="372"/>
      <c r="AM53" s="372"/>
      <c r="AN53" s="372"/>
      <c r="AO53" s="371"/>
      <c r="AP53" s="375"/>
      <c r="AQ53" s="372"/>
      <c r="AR53" s="372"/>
      <c r="AS53" s="372"/>
      <c r="AT53" s="373"/>
      <c r="AU53" s="374"/>
      <c r="AV53" s="372"/>
      <c r="AW53" s="372"/>
      <c r="AX53" s="372"/>
      <c r="AY53" s="371"/>
      <c r="AZ53" s="375"/>
      <c r="BA53" s="372"/>
      <c r="BB53" s="372"/>
      <c r="BC53" s="372"/>
      <c r="BD53" s="373"/>
      <c r="BE53" s="374"/>
      <c r="BF53" s="372"/>
      <c r="BG53" s="372"/>
      <c r="BH53" s="372"/>
      <c r="BI53" s="371"/>
      <c r="BJ53" s="375"/>
      <c r="BK53" s="372"/>
      <c r="BL53" s="372"/>
      <c r="BM53" s="372"/>
      <c r="BN53" s="373"/>
      <c r="BO53" s="374"/>
      <c r="BP53" s="372"/>
      <c r="BQ53" s="372"/>
      <c r="BR53" s="372"/>
      <c r="BS53" s="371"/>
      <c r="BT53" s="375"/>
      <c r="BU53" s="372"/>
      <c r="BV53" s="372"/>
      <c r="BW53" s="372"/>
      <c r="BX53" s="373"/>
      <c r="BY53" s="374"/>
      <c r="BZ53" s="372"/>
      <c r="CA53" s="372"/>
      <c r="CB53" s="372"/>
      <c r="CC53" s="371"/>
      <c r="CD53" s="375"/>
      <c r="CE53" s="372"/>
      <c r="CF53" s="372"/>
      <c r="CG53" s="372"/>
      <c r="CH53" s="371"/>
      <c r="CI53" s="375"/>
      <c r="CJ53" s="372"/>
      <c r="CK53" s="372"/>
      <c r="CL53" s="372"/>
      <c r="CM53" s="373"/>
    </row>
    <row r="54" spans="1:91" ht="25.5" customHeight="1" thickBot="1">
      <c r="A54" s="411">
        <v>4147</v>
      </c>
      <c r="B54" s="412" t="s">
        <v>11</v>
      </c>
      <c r="C54" s="412" t="s">
        <v>44</v>
      </c>
      <c r="D54" s="412" t="s">
        <v>76</v>
      </c>
      <c r="E54" s="377" t="s">
        <v>53</v>
      </c>
      <c r="F54" s="412"/>
      <c r="G54" s="377" t="s">
        <v>862</v>
      </c>
      <c r="H54" s="376" t="s">
        <v>54</v>
      </c>
      <c r="I54" s="380"/>
      <c r="J54" s="377"/>
      <c r="K54" s="378"/>
      <c r="L54" s="413" t="s">
        <v>78</v>
      </c>
      <c r="M54" s="412" t="s">
        <v>77</v>
      </c>
      <c r="N54" s="412"/>
      <c r="O54" s="412" t="s">
        <v>77</v>
      </c>
      <c r="P54" s="414" t="s">
        <v>77</v>
      </c>
      <c r="Q54" s="413"/>
      <c r="R54" s="412"/>
      <c r="S54" s="412"/>
      <c r="T54" s="412"/>
      <c r="U54" s="415" t="s">
        <v>80</v>
      </c>
      <c r="V54" s="411"/>
      <c r="W54" s="377"/>
      <c r="X54" s="377"/>
      <c r="Y54" s="377"/>
      <c r="Z54" s="378"/>
      <c r="AA54" s="379"/>
      <c r="AB54" s="377"/>
      <c r="AC54" s="377"/>
      <c r="AD54" s="377"/>
      <c r="AE54" s="376"/>
      <c r="AF54" s="380"/>
      <c r="AG54" s="377"/>
      <c r="AH54" s="377"/>
      <c r="AI54" s="377"/>
      <c r="AJ54" s="378"/>
      <c r="AK54" s="379"/>
      <c r="AL54" s="377"/>
      <c r="AM54" s="377"/>
      <c r="AN54" s="377"/>
      <c r="AO54" s="376"/>
      <c r="AP54" s="380"/>
      <c r="AQ54" s="377"/>
      <c r="AR54" s="377"/>
      <c r="AS54" s="377"/>
      <c r="AT54" s="378"/>
      <c r="AU54" s="379"/>
      <c r="AV54" s="377"/>
      <c r="AW54" s="377"/>
      <c r="AX54" s="377"/>
      <c r="AY54" s="376"/>
      <c r="AZ54" s="380"/>
      <c r="BA54" s="377"/>
      <c r="BB54" s="377"/>
      <c r="BC54" s="377"/>
      <c r="BD54" s="378"/>
      <c r="BE54" s="379"/>
      <c r="BF54" s="377"/>
      <c r="BG54" s="377"/>
      <c r="BH54" s="377"/>
      <c r="BI54" s="376"/>
      <c r="BJ54" s="380"/>
      <c r="BK54" s="377"/>
      <c r="BL54" s="377"/>
      <c r="BM54" s="377"/>
      <c r="BN54" s="378"/>
      <c r="BO54" s="379"/>
      <c r="BP54" s="377"/>
      <c r="BQ54" s="377"/>
      <c r="BR54" s="377"/>
      <c r="BS54" s="376"/>
      <c r="BT54" s="380"/>
      <c r="BU54" s="377"/>
      <c r="BV54" s="377"/>
      <c r="BW54" s="377"/>
      <c r="BX54" s="378"/>
      <c r="BY54" s="379"/>
      <c r="BZ54" s="377"/>
      <c r="CA54" s="377"/>
      <c r="CB54" s="377"/>
      <c r="CC54" s="376"/>
      <c r="CD54" s="380"/>
      <c r="CE54" s="377"/>
      <c r="CF54" s="377"/>
      <c r="CG54" s="377"/>
      <c r="CH54" s="376"/>
      <c r="CI54" s="380"/>
      <c r="CJ54" s="377"/>
      <c r="CK54" s="377"/>
      <c r="CL54" s="377"/>
      <c r="CM54" s="378"/>
    </row>
    <row r="55" spans="1:91" ht="25.5" customHeight="1">
      <c r="A55" s="416">
        <v>4148</v>
      </c>
      <c r="B55" s="417" t="s">
        <v>11</v>
      </c>
      <c r="C55" s="417" t="s">
        <v>44</v>
      </c>
      <c r="D55" s="417" t="s">
        <v>76</v>
      </c>
      <c r="E55" s="381" t="s">
        <v>53</v>
      </c>
      <c r="F55" s="417"/>
      <c r="G55" s="381" t="s">
        <v>864</v>
      </c>
      <c r="H55" s="384" t="s">
        <v>54</v>
      </c>
      <c r="I55" s="385"/>
      <c r="J55" s="381"/>
      <c r="K55" s="382"/>
      <c r="L55" s="418" t="s">
        <v>78</v>
      </c>
      <c r="M55" s="417" t="s">
        <v>77</v>
      </c>
      <c r="N55" s="417"/>
      <c r="O55" s="417" t="s">
        <v>77</v>
      </c>
      <c r="P55" s="419" t="s">
        <v>77</v>
      </c>
      <c r="Q55" s="418"/>
      <c r="R55" s="417"/>
      <c r="S55" s="417"/>
      <c r="T55" s="417"/>
      <c r="U55" s="420" t="s">
        <v>80</v>
      </c>
      <c r="V55" s="416"/>
      <c r="W55" s="381"/>
      <c r="X55" s="381"/>
      <c r="Y55" s="381"/>
      <c r="Z55" s="382"/>
      <c r="AA55" s="383"/>
      <c r="AB55" s="381"/>
      <c r="AC55" s="381"/>
      <c r="AD55" s="381"/>
      <c r="AE55" s="384"/>
      <c r="AF55" s="385"/>
      <c r="AG55" s="381"/>
      <c r="AH55" s="381"/>
      <c r="AI55" s="381"/>
      <c r="AJ55" s="382"/>
      <c r="AK55" s="383"/>
      <c r="AL55" s="381"/>
      <c r="AM55" s="381"/>
      <c r="AN55" s="381"/>
      <c r="AO55" s="384"/>
      <c r="AP55" s="385"/>
      <c r="AQ55" s="381"/>
      <c r="AR55" s="381"/>
      <c r="AS55" s="381"/>
      <c r="AT55" s="382"/>
      <c r="AU55" s="383"/>
      <c r="AV55" s="381"/>
      <c r="AW55" s="381"/>
      <c r="AX55" s="381"/>
      <c r="AY55" s="384"/>
      <c r="AZ55" s="385"/>
      <c r="BA55" s="381"/>
      <c r="BB55" s="381"/>
      <c r="BC55" s="381"/>
      <c r="BD55" s="382"/>
      <c r="BE55" s="383"/>
      <c r="BF55" s="381"/>
      <c r="BG55" s="381"/>
      <c r="BH55" s="381"/>
      <c r="BI55" s="384"/>
      <c r="BJ55" s="385"/>
      <c r="BK55" s="381"/>
      <c r="BL55" s="381"/>
      <c r="BM55" s="381"/>
      <c r="BN55" s="382"/>
      <c r="BO55" s="383"/>
      <c r="BP55" s="381"/>
      <c r="BQ55" s="381"/>
      <c r="BR55" s="381"/>
      <c r="BS55" s="384"/>
      <c r="BT55" s="385"/>
      <c r="BU55" s="381"/>
      <c r="BV55" s="381"/>
      <c r="BW55" s="381"/>
      <c r="BX55" s="382"/>
      <c r="BY55" s="383"/>
      <c r="BZ55" s="381"/>
      <c r="CA55" s="381"/>
      <c r="CB55" s="381"/>
      <c r="CC55" s="384"/>
      <c r="CD55" s="385"/>
      <c r="CE55" s="381"/>
      <c r="CF55" s="381"/>
      <c r="CG55" s="381"/>
      <c r="CH55" s="384"/>
      <c r="CI55" s="385"/>
      <c r="CJ55" s="381"/>
      <c r="CK55" s="381"/>
      <c r="CL55" s="381"/>
      <c r="CM55" s="382"/>
    </row>
    <row r="56" spans="1:91" ht="25.5" customHeight="1">
      <c r="A56" s="386">
        <v>4149</v>
      </c>
      <c r="B56" s="387" t="s">
        <v>11</v>
      </c>
      <c r="C56" s="387" t="s">
        <v>44</v>
      </c>
      <c r="D56" s="387" t="s">
        <v>76</v>
      </c>
      <c r="E56" s="372" t="s">
        <v>53</v>
      </c>
      <c r="F56" s="387"/>
      <c r="G56" s="372" t="s">
        <v>866</v>
      </c>
      <c r="H56" s="371" t="s">
        <v>54</v>
      </c>
      <c r="I56" s="375"/>
      <c r="J56" s="372"/>
      <c r="K56" s="373"/>
      <c r="L56" s="388" t="s">
        <v>78</v>
      </c>
      <c r="M56" s="387" t="s">
        <v>77</v>
      </c>
      <c r="N56" s="387"/>
      <c r="O56" s="387" t="s">
        <v>77</v>
      </c>
      <c r="P56" s="389" t="s">
        <v>77</v>
      </c>
      <c r="Q56" s="388"/>
      <c r="R56" s="387"/>
      <c r="S56" s="387"/>
      <c r="T56" s="387"/>
      <c r="U56" s="390" t="s">
        <v>80</v>
      </c>
      <c r="V56" s="386"/>
      <c r="W56" s="372"/>
      <c r="X56" s="372"/>
      <c r="Y56" s="372"/>
      <c r="Z56" s="373"/>
      <c r="AA56" s="374"/>
      <c r="AB56" s="372"/>
      <c r="AC56" s="372"/>
      <c r="AD56" s="372"/>
      <c r="AE56" s="371"/>
      <c r="AF56" s="375"/>
      <c r="AG56" s="372"/>
      <c r="AH56" s="372"/>
      <c r="AI56" s="372"/>
      <c r="AJ56" s="373"/>
      <c r="AK56" s="374"/>
      <c r="AL56" s="372"/>
      <c r="AM56" s="372"/>
      <c r="AN56" s="372"/>
      <c r="AO56" s="371"/>
      <c r="AP56" s="375"/>
      <c r="AQ56" s="372"/>
      <c r="AR56" s="372"/>
      <c r="AS56" s="372"/>
      <c r="AT56" s="373"/>
      <c r="AU56" s="374"/>
      <c r="AV56" s="372"/>
      <c r="AW56" s="372"/>
      <c r="AX56" s="372"/>
      <c r="AY56" s="371"/>
      <c r="AZ56" s="375"/>
      <c r="BA56" s="372"/>
      <c r="BB56" s="372"/>
      <c r="BC56" s="372"/>
      <c r="BD56" s="373"/>
      <c r="BE56" s="374"/>
      <c r="BF56" s="372"/>
      <c r="BG56" s="372"/>
      <c r="BH56" s="372"/>
      <c r="BI56" s="371"/>
      <c r="BJ56" s="375"/>
      <c r="BK56" s="372"/>
      <c r="BL56" s="372"/>
      <c r="BM56" s="372"/>
      <c r="BN56" s="373"/>
      <c r="BO56" s="374"/>
      <c r="BP56" s="372"/>
      <c r="BQ56" s="372"/>
      <c r="BR56" s="372"/>
      <c r="BS56" s="371"/>
      <c r="BT56" s="375"/>
      <c r="BU56" s="372"/>
      <c r="BV56" s="372"/>
      <c r="BW56" s="372"/>
      <c r="BX56" s="373"/>
      <c r="BY56" s="374"/>
      <c r="BZ56" s="372"/>
      <c r="CA56" s="372"/>
      <c r="CB56" s="372"/>
      <c r="CC56" s="371"/>
      <c r="CD56" s="375"/>
      <c r="CE56" s="372"/>
      <c r="CF56" s="372"/>
      <c r="CG56" s="372"/>
      <c r="CH56" s="371"/>
      <c r="CI56" s="375"/>
      <c r="CJ56" s="372"/>
      <c r="CK56" s="372"/>
      <c r="CL56" s="372"/>
      <c r="CM56" s="373"/>
    </row>
    <row r="57" spans="1:91" ht="25.5" customHeight="1">
      <c r="A57" s="386">
        <v>4150</v>
      </c>
      <c r="B57" s="387" t="s">
        <v>11</v>
      </c>
      <c r="C57" s="387" t="s">
        <v>44</v>
      </c>
      <c r="D57" s="387" t="s">
        <v>76</v>
      </c>
      <c r="E57" s="372" t="s">
        <v>53</v>
      </c>
      <c r="F57" s="387"/>
      <c r="G57" s="372" t="s">
        <v>868</v>
      </c>
      <c r="H57" s="371" t="s">
        <v>54</v>
      </c>
      <c r="I57" s="375"/>
      <c r="J57" s="372"/>
      <c r="K57" s="373"/>
      <c r="L57" s="388" t="s">
        <v>78</v>
      </c>
      <c r="M57" s="387" t="s">
        <v>77</v>
      </c>
      <c r="N57" s="387"/>
      <c r="O57" s="387" t="s">
        <v>77</v>
      </c>
      <c r="P57" s="389" t="s">
        <v>77</v>
      </c>
      <c r="Q57" s="388"/>
      <c r="R57" s="387"/>
      <c r="S57" s="387"/>
      <c r="T57" s="387"/>
      <c r="U57" s="390" t="s">
        <v>80</v>
      </c>
      <c r="V57" s="386"/>
      <c r="W57" s="372"/>
      <c r="X57" s="372"/>
      <c r="Y57" s="372"/>
      <c r="Z57" s="373"/>
      <c r="AA57" s="374"/>
      <c r="AB57" s="372"/>
      <c r="AC57" s="372"/>
      <c r="AD57" s="372"/>
      <c r="AE57" s="371"/>
      <c r="AF57" s="375"/>
      <c r="AG57" s="372"/>
      <c r="AH57" s="372"/>
      <c r="AI57" s="372"/>
      <c r="AJ57" s="373"/>
      <c r="AK57" s="374"/>
      <c r="AL57" s="372"/>
      <c r="AM57" s="372"/>
      <c r="AN57" s="372"/>
      <c r="AO57" s="371"/>
      <c r="AP57" s="375"/>
      <c r="AQ57" s="372"/>
      <c r="AR57" s="372"/>
      <c r="AS57" s="372"/>
      <c r="AT57" s="373"/>
      <c r="AU57" s="374"/>
      <c r="AV57" s="372"/>
      <c r="AW57" s="372"/>
      <c r="AX57" s="372"/>
      <c r="AY57" s="371"/>
      <c r="AZ57" s="375"/>
      <c r="BA57" s="372"/>
      <c r="BB57" s="372"/>
      <c r="BC57" s="372"/>
      <c r="BD57" s="373"/>
      <c r="BE57" s="374"/>
      <c r="BF57" s="372"/>
      <c r="BG57" s="372"/>
      <c r="BH57" s="372"/>
      <c r="BI57" s="371"/>
      <c r="BJ57" s="375"/>
      <c r="BK57" s="372"/>
      <c r="BL57" s="372"/>
      <c r="BM57" s="372"/>
      <c r="BN57" s="373"/>
      <c r="BO57" s="374"/>
      <c r="BP57" s="372"/>
      <c r="BQ57" s="372"/>
      <c r="BR57" s="372"/>
      <c r="BS57" s="371"/>
      <c r="BT57" s="375"/>
      <c r="BU57" s="372"/>
      <c r="BV57" s="372"/>
      <c r="BW57" s="372"/>
      <c r="BX57" s="373"/>
      <c r="BY57" s="374"/>
      <c r="BZ57" s="372"/>
      <c r="CA57" s="372"/>
      <c r="CB57" s="372"/>
      <c r="CC57" s="371"/>
      <c r="CD57" s="375"/>
      <c r="CE57" s="372"/>
      <c r="CF57" s="372"/>
      <c r="CG57" s="372"/>
      <c r="CH57" s="371"/>
      <c r="CI57" s="375"/>
      <c r="CJ57" s="372"/>
      <c r="CK57" s="372"/>
      <c r="CL57" s="372"/>
      <c r="CM57" s="373"/>
    </row>
    <row r="58" spans="1:91" ht="25.5" customHeight="1">
      <c r="A58" s="386">
        <v>4151</v>
      </c>
      <c r="B58" s="387" t="s">
        <v>11</v>
      </c>
      <c r="C58" s="387" t="s">
        <v>44</v>
      </c>
      <c r="D58" s="387" t="s">
        <v>76</v>
      </c>
      <c r="E58" s="372" t="s">
        <v>53</v>
      </c>
      <c r="F58" s="387"/>
      <c r="G58" s="372" t="s">
        <v>870</v>
      </c>
      <c r="H58" s="371" t="s">
        <v>54</v>
      </c>
      <c r="I58" s="375"/>
      <c r="J58" s="372"/>
      <c r="K58" s="373"/>
      <c r="L58" s="388" t="s">
        <v>78</v>
      </c>
      <c r="M58" s="387" t="s">
        <v>77</v>
      </c>
      <c r="N58" s="387"/>
      <c r="O58" s="387" t="s">
        <v>77</v>
      </c>
      <c r="P58" s="389" t="s">
        <v>77</v>
      </c>
      <c r="Q58" s="388"/>
      <c r="R58" s="387"/>
      <c r="S58" s="387"/>
      <c r="T58" s="387"/>
      <c r="U58" s="390" t="s">
        <v>80</v>
      </c>
      <c r="V58" s="386"/>
      <c r="W58" s="372"/>
      <c r="X58" s="372"/>
      <c r="Y58" s="372"/>
      <c r="Z58" s="373"/>
      <c r="AA58" s="374"/>
      <c r="AB58" s="372"/>
      <c r="AC58" s="372"/>
      <c r="AD58" s="372"/>
      <c r="AE58" s="371"/>
      <c r="AF58" s="375"/>
      <c r="AG58" s="372"/>
      <c r="AH58" s="372"/>
      <c r="AI58" s="372"/>
      <c r="AJ58" s="373"/>
      <c r="AK58" s="374"/>
      <c r="AL58" s="372"/>
      <c r="AM58" s="372"/>
      <c r="AN58" s="372"/>
      <c r="AO58" s="371"/>
      <c r="AP58" s="375"/>
      <c r="AQ58" s="372"/>
      <c r="AR58" s="372"/>
      <c r="AS58" s="372"/>
      <c r="AT58" s="373"/>
      <c r="AU58" s="374"/>
      <c r="AV58" s="372"/>
      <c r="AW58" s="372"/>
      <c r="AX58" s="372"/>
      <c r="AY58" s="371"/>
      <c r="AZ58" s="375"/>
      <c r="BA58" s="372"/>
      <c r="BB58" s="372"/>
      <c r="BC58" s="372"/>
      <c r="BD58" s="373"/>
      <c r="BE58" s="374"/>
      <c r="BF58" s="372"/>
      <c r="BG58" s="372"/>
      <c r="BH58" s="372"/>
      <c r="BI58" s="371"/>
      <c r="BJ58" s="375"/>
      <c r="BK58" s="372"/>
      <c r="BL58" s="372"/>
      <c r="BM58" s="372"/>
      <c r="BN58" s="373"/>
      <c r="BO58" s="374"/>
      <c r="BP58" s="372"/>
      <c r="BQ58" s="372"/>
      <c r="BR58" s="372"/>
      <c r="BS58" s="371"/>
      <c r="BT58" s="375"/>
      <c r="BU58" s="372"/>
      <c r="BV58" s="372"/>
      <c r="BW58" s="372"/>
      <c r="BX58" s="373"/>
      <c r="BY58" s="374"/>
      <c r="BZ58" s="372"/>
      <c r="CA58" s="372"/>
      <c r="CB58" s="372"/>
      <c r="CC58" s="371"/>
      <c r="CD58" s="375"/>
      <c r="CE58" s="372"/>
      <c r="CF58" s="372"/>
      <c r="CG58" s="372"/>
      <c r="CH58" s="371"/>
      <c r="CI58" s="375"/>
      <c r="CJ58" s="372"/>
      <c r="CK58" s="372"/>
      <c r="CL58" s="372"/>
      <c r="CM58" s="373"/>
    </row>
    <row r="59" spans="1:91" ht="25.5" customHeight="1" thickBot="1">
      <c r="A59" s="411">
        <v>4152</v>
      </c>
      <c r="B59" s="412" t="s">
        <v>11</v>
      </c>
      <c r="C59" s="412" t="s">
        <v>44</v>
      </c>
      <c r="D59" s="412" t="s">
        <v>76</v>
      </c>
      <c r="E59" s="377" t="s">
        <v>53</v>
      </c>
      <c r="F59" s="412"/>
      <c r="G59" s="377" t="s">
        <v>872</v>
      </c>
      <c r="H59" s="376" t="s">
        <v>54</v>
      </c>
      <c r="I59" s="380"/>
      <c r="J59" s="377"/>
      <c r="K59" s="378"/>
      <c r="L59" s="413" t="s">
        <v>78</v>
      </c>
      <c r="M59" s="412" t="s">
        <v>77</v>
      </c>
      <c r="N59" s="412"/>
      <c r="O59" s="412" t="s">
        <v>77</v>
      </c>
      <c r="P59" s="414" t="s">
        <v>77</v>
      </c>
      <c r="Q59" s="413"/>
      <c r="R59" s="412"/>
      <c r="S59" s="412"/>
      <c r="T59" s="412"/>
      <c r="U59" s="415" t="s">
        <v>80</v>
      </c>
      <c r="V59" s="411"/>
      <c r="W59" s="377"/>
      <c r="X59" s="377"/>
      <c r="Y59" s="377"/>
      <c r="Z59" s="378"/>
      <c r="AA59" s="379"/>
      <c r="AB59" s="377"/>
      <c r="AC59" s="377"/>
      <c r="AD59" s="377"/>
      <c r="AE59" s="376"/>
      <c r="AF59" s="380"/>
      <c r="AG59" s="377"/>
      <c r="AH59" s="377"/>
      <c r="AI59" s="377"/>
      <c r="AJ59" s="378"/>
      <c r="AK59" s="379"/>
      <c r="AL59" s="377"/>
      <c r="AM59" s="377"/>
      <c r="AN59" s="377"/>
      <c r="AO59" s="376"/>
      <c r="AP59" s="380"/>
      <c r="AQ59" s="377"/>
      <c r="AR59" s="377"/>
      <c r="AS59" s="377"/>
      <c r="AT59" s="378"/>
      <c r="AU59" s="379"/>
      <c r="AV59" s="377"/>
      <c r="AW59" s="377"/>
      <c r="AX59" s="377"/>
      <c r="AY59" s="376"/>
      <c r="AZ59" s="380"/>
      <c r="BA59" s="377"/>
      <c r="BB59" s="377"/>
      <c r="BC59" s="377"/>
      <c r="BD59" s="378"/>
      <c r="BE59" s="379"/>
      <c r="BF59" s="377"/>
      <c r="BG59" s="377"/>
      <c r="BH59" s="377"/>
      <c r="BI59" s="376"/>
      <c r="BJ59" s="380"/>
      <c r="BK59" s="377"/>
      <c r="BL59" s="377"/>
      <c r="BM59" s="377"/>
      <c r="BN59" s="378"/>
      <c r="BO59" s="379"/>
      <c r="BP59" s="377"/>
      <c r="BQ59" s="377"/>
      <c r="BR59" s="377"/>
      <c r="BS59" s="376"/>
      <c r="BT59" s="380"/>
      <c r="BU59" s="377"/>
      <c r="BV59" s="377"/>
      <c r="BW59" s="377"/>
      <c r="BX59" s="378"/>
      <c r="BY59" s="379"/>
      <c r="BZ59" s="377"/>
      <c r="CA59" s="377"/>
      <c r="CB59" s="377"/>
      <c r="CC59" s="376"/>
      <c r="CD59" s="380"/>
      <c r="CE59" s="377"/>
      <c r="CF59" s="377"/>
      <c r="CG59" s="377"/>
      <c r="CH59" s="376"/>
      <c r="CI59" s="380"/>
      <c r="CJ59" s="377"/>
      <c r="CK59" s="377"/>
      <c r="CL59" s="377"/>
      <c r="CM59" s="378"/>
    </row>
    <row r="60" spans="1:91" ht="15" customHeight="1" thickBot="1">
      <c r="A60" s="48"/>
      <c r="B60" s="179"/>
      <c r="C60" s="180"/>
      <c r="D60" s="181"/>
      <c r="E60" s="17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50"/>
      <c r="CH60" s="50"/>
      <c r="CI60" s="50"/>
      <c r="CJ60" s="50"/>
      <c r="CK60" s="50"/>
      <c r="CL60" s="50"/>
      <c r="CM60" s="51"/>
    </row>
    <row r="61" spans="1:91" ht="25.5" customHeight="1" thickBot="1">
      <c r="A61" s="275" t="s">
        <v>31</v>
      </c>
      <c r="B61" s="276"/>
      <c r="C61" s="277"/>
      <c r="D61" s="192"/>
      <c r="E61" s="278" t="s">
        <v>32</v>
      </c>
      <c r="F61" s="276"/>
      <c r="G61" s="277"/>
      <c r="H61" s="193" t="s">
        <v>8</v>
      </c>
      <c r="I61" s="192" t="s">
        <v>9</v>
      </c>
      <c r="J61" s="192" t="s">
        <v>33</v>
      </c>
      <c r="K61" s="192" t="s">
        <v>10</v>
      </c>
      <c r="L61" s="291"/>
      <c r="M61" s="292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  <c r="AA61" s="292"/>
      <c r="AB61" s="292"/>
      <c r="AC61" s="292"/>
      <c r="AD61" s="292"/>
      <c r="AE61" s="292"/>
      <c r="AF61" s="292"/>
      <c r="AG61" s="292"/>
      <c r="AH61" s="292"/>
      <c r="AI61" s="292"/>
      <c r="AJ61" s="292"/>
      <c r="AK61" s="292"/>
      <c r="AL61" s="292"/>
      <c r="AM61" s="292"/>
      <c r="AN61" s="292"/>
      <c r="AO61" s="292"/>
      <c r="AP61" s="292"/>
      <c r="AQ61" s="292"/>
      <c r="AR61" s="292"/>
      <c r="AS61" s="292"/>
      <c r="AT61" s="292"/>
      <c r="AU61" s="292"/>
      <c r="AV61" s="292"/>
      <c r="AW61" s="292"/>
      <c r="AX61" s="292"/>
      <c r="AY61" s="292"/>
      <c r="AZ61" s="292"/>
      <c r="BA61" s="292"/>
      <c r="BB61" s="292"/>
      <c r="BC61" s="292"/>
      <c r="BD61" s="292"/>
      <c r="BE61" s="293"/>
      <c r="BF61" s="300"/>
      <c r="BG61" s="300"/>
      <c r="BH61" s="300"/>
      <c r="BI61" s="300"/>
      <c r="BJ61" s="300"/>
      <c r="BK61" s="300"/>
      <c r="BL61" s="300"/>
      <c r="BM61" s="300"/>
      <c r="BN61" s="300"/>
      <c r="BO61" s="300"/>
      <c r="BP61" s="300"/>
      <c r="BQ61" s="300"/>
      <c r="BR61" s="300"/>
      <c r="BS61" s="300"/>
      <c r="BT61" s="300"/>
      <c r="BU61" s="301"/>
      <c r="BV61" s="291"/>
      <c r="BW61" s="247"/>
      <c r="BX61" s="247"/>
      <c r="BY61" s="247"/>
      <c r="BZ61" s="247"/>
      <c r="CA61" s="247"/>
      <c r="CB61" s="247"/>
      <c r="CC61" s="247"/>
      <c r="CD61" s="247"/>
      <c r="CE61" s="247"/>
      <c r="CF61" s="247"/>
      <c r="CG61" s="247"/>
      <c r="CH61" s="247"/>
      <c r="CI61" s="247"/>
      <c r="CJ61" s="247"/>
      <c r="CK61" s="247"/>
      <c r="CL61" s="247"/>
      <c r="CM61" s="248"/>
    </row>
    <row r="62" spans="1:91" ht="25.5" customHeight="1">
      <c r="A62" s="288"/>
      <c r="B62" s="289"/>
      <c r="C62" s="289"/>
      <c r="D62" s="52"/>
      <c r="E62" s="290"/>
      <c r="F62" s="290"/>
      <c r="G62" s="290"/>
      <c r="H62" s="53"/>
      <c r="I62" s="53"/>
      <c r="J62" s="53"/>
      <c r="K62" s="54"/>
      <c r="L62" s="294"/>
      <c r="M62" s="295"/>
      <c r="N62" s="295"/>
      <c r="O62" s="295"/>
      <c r="P62" s="295"/>
      <c r="Q62" s="295"/>
      <c r="R62" s="295"/>
      <c r="S62" s="295"/>
      <c r="T62" s="295"/>
      <c r="U62" s="295"/>
      <c r="V62" s="295"/>
      <c r="W62" s="295"/>
      <c r="X62" s="295"/>
      <c r="Y62" s="295"/>
      <c r="Z62" s="295"/>
      <c r="AA62" s="295"/>
      <c r="AB62" s="295"/>
      <c r="AC62" s="295"/>
      <c r="AD62" s="295"/>
      <c r="AE62" s="295"/>
      <c r="AF62" s="295"/>
      <c r="AG62" s="295"/>
      <c r="AH62" s="295"/>
      <c r="AI62" s="295"/>
      <c r="AJ62" s="295"/>
      <c r="AK62" s="295"/>
      <c r="AL62" s="295"/>
      <c r="AM62" s="295"/>
      <c r="AN62" s="295"/>
      <c r="AO62" s="295"/>
      <c r="AP62" s="295"/>
      <c r="AQ62" s="295"/>
      <c r="AR62" s="295"/>
      <c r="AS62" s="295"/>
      <c r="AT62" s="295"/>
      <c r="AU62" s="295"/>
      <c r="AV62" s="295"/>
      <c r="AW62" s="295"/>
      <c r="AX62" s="295"/>
      <c r="AY62" s="295"/>
      <c r="AZ62" s="295"/>
      <c r="BA62" s="295"/>
      <c r="BB62" s="295"/>
      <c r="BC62" s="295"/>
      <c r="BD62" s="295"/>
      <c r="BE62" s="296"/>
      <c r="BF62" s="302"/>
      <c r="BG62" s="302"/>
      <c r="BH62" s="302"/>
      <c r="BI62" s="302"/>
      <c r="BJ62" s="302"/>
      <c r="BK62" s="302"/>
      <c r="BL62" s="302"/>
      <c r="BM62" s="302"/>
      <c r="BN62" s="302"/>
      <c r="BO62" s="302"/>
      <c r="BP62" s="302"/>
      <c r="BQ62" s="302"/>
      <c r="BR62" s="302"/>
      <c r="BS62" s="302"/>
      <c r="BT62" s="302"/>
      <c r="BU62" s="303"/>
      <c r="BV62" s="306"/>
      <c r="BW62" s="249"/>
      <c r="BX62" s="249"/>
      <c r="BY62" s="249"/>
      <c r="BZ62" s="249"/>
      <c r="CA62" s="249"/>
      <c r="CB62" s="249"/>
      <c r="CC62" s="249"/>
      <c r="CD62" s="249"/>
      <c r="CE62" s="249"/>
      <c r="CF62" s="249"/>
      <c r="CG62" s="249"/>
      <c r="CH62" s="249"/>
      <c r="CI62" s="249"/>
      <c r="CJ62" s="249"/>
      <c r="CK62" s="249"/>
      <c r="CL62" s="249"/>
      <c r="CM62" s="250"/>
    </row>
    <row r="63" spans="1:91" ht="25.5" customHeight="1" thickBot="1">
      <c r="A63" s="288"/>
      <c r="B63" s="289"/>
      <c r="C63" s="289"/>
      <c r="D63" s="52"/>
      <c r="E63" s="290"/>
      <c r="F63" s="290"/>
      <c r="G63" s="290"/>
      <c r="H63" s="53"/>
      <c r="I63" s="53"/>
      <c r="J63" s="53"/>
      <c r="K63" s="54"/>
      <c r="L63" s="294"/>
      <c r="M63" s="295"/>
      <c r="N63" s="295"/>
      <c r="O63" s="295"/>
      <c r="P63" s="295"/>
      <c r="Q63" s="295"/>
      <c r="R63" s="295"/>
      <c r="S63" s="295"/>
      <c r="T63" s="295"/>
      <c r="U63" s="295"/>
      <c r="V63" s="295"/>
      <c r="W63" s="295"/>
      <c r="X63" s="295"/>
      <c r="Y63" s="295"/>
      <c r="Z63" s="295"/>
      <c r="AA63" s="295"/>
      <c r="AB63" s="295"/>
      <c r="AC63" s="295"/>
      <c r="AD63" s="295"/>
      <c r="AE63" s="295"/>
      <c r="AF63" s="295"/>
      <c r="AG63" s="295"/>
      <c r="AH63" s="295"/>
      <c r="AI63" s="295"/>
      <c r="AJ63" s="295"/>
      <c r="AK63" s="295"/>
      <c r="AL63" s="295"/>
      <c r="AM63" s="295"/>
      <c r="AN63" s="295"/>
      <c r="AO63" s="295"/>
      <c r="AP63" s="295"/>
      <c r="AQ63" s="295"/>
      <c r="AR63" s="295"/>
      <c r="AS63" s="295"/>
      <c r="AT63" s="295"/>
      <c r="AU63" s="295"/>
      <c r="AV63" s="295"/>
      <c r="AW63" s="295"/>
      <c r="AX63" s="295"/>
      <c r="AY63" s="295"/>
      <c r="AZ63" s="295"/>
      <c r="BA63" s="295"/>
      <c r="BB63" s="295"/>
      <c r="BC63" s="295"/>
      <c r="BD63" s="295"/>
      <c r="BE63" s="296"/>
      <c r="BF63" s="304"/>
      <c r="BG63" s="304"/>
      <c r="BH63" s="304"/>
      <c r="BI63" s="304"/>
      <c r="BJ63" s="304"/>
      <c r="BK63" s="304"/>
      <c r="BL63" s="304"/>
      <c r="BM63" s="304"/>
      <c r="BN63" s="304"/>
      <c r="BO63" s="304"/>
      <c r="BP63" s="304"/>
      <c r="BQ63" s="304"/>
      <c r="BR63" s="304"/>
      <c r="BS63" s="304"/>
      <c r="BT63" s="304"/>
      <c r="BU63" s="305"/>
      <c r="BV63" s="263"/>
      <c r="BW63" s="251"/>
      <c r="BX63" s="251"/>
      <c r="BY63" s="251"/>
      <c r="BZ63" s="251"/>
      <c r="CA63" s="251"/>
      <c r="CB63" s="251"/>
      <c r="CC63" s="251"/>
      <c r="CD63" s="251"/>
      <c r="CE63" s="251"/>
      <c r="CF63" s="251"/>
      <c r="CG63" s="251"/>
      <c r="CH63" s="251"/>
      <c r="CI63" s="251"/>
      <c r="CJ63" s="251"/>
      <c r="CK63" s="251"/>
      <c r="CL63" s="251"/>
      <c r="CM63" s="252"/>
    </row>
    <row r="64" spans="1:91" ht="27" customHeight="1">
      <c r="A64" s="288"/>
      <c r="B64" s="289"/>
      <c r="C64" s="289"/>
      <c r="D64" s="52"/>
      <c r="E64" s="290"/>
      <c r="F64" s="290"/>
      <c r="G64" s="290"/>
      <c r="H64" s="53"/>
      <c r="I64" s="53"/>
      <c r="J64" s="53"/>
      <c r="K64" s="54"/>
      <c r="L64" s="294"/>
      <c r="M64" s="295"/>
      <c r="N64" s="295"/>
      <c r="O64" s="295"/>
      <c r="P64" s="295"/>
      <c r="Q64" s="295"/>
      <c r="R64" s="295"/>
      <c r="S64" s="295"/>
      <c r="T64" s="295"/>
      <c r="U64" s="295"/>
      <c r="V64" s="295"/>
      <c r="W64" s="295"/>
      <c r="X64" s="295"/>
      <c r="Y64" s="295"/>
      <c r="Z64" s="295"/>
      <c r="AA64" s="295"/>
      <c r="AB64" s="295"/>
      <c r="AC64" s="295"/>
      <c r="AD64" s="295"/>
      <c r="AE64" s="295"/>
      <c r="AF64" s="295"/>
      <c r="AG64" s="295"/>
      <c r="AH64" s="295"/>
      <c r="AI64" s="295"/>
      <c r="AJ64" s="295"/>
      <c r="AK64" s="295"/>
      <c r="AL64" s="295"/>
      <c r="AM64" s="295"/>
      <c r="AN64" s="295"/>
      <c r="AO64" s="295"/>
      <c r="AP64" s="295"/>
      <c r="AQ64" s="295"/>
      <c r="AR64" s="295"/>
      <c r="AS64" s="295"/>
      <c r="AT64" s="295"/>
      <c r="AU64" s="295"/>
      <c r="AV64" s="295"/>
      <c r="AW64" s="295"/>
      <c r="AX64" s="295"/>
      <c r="AY64" s="295"/>
      <c r="AZ64" s="295"/>
      <c r="BA64" s="295"/>
      <c r="BB64" s="295"/>
      <c r="BC64" s="295"/>
      <c r="BD64" s="295"/>
      <c r="BE64" s="296"/>
      <c r="BF64" s="247" t="s">
        <v>89</v>
      </c>
      <c r="BG64" s="247"/>
      <c r="BH64" s="247"/>
      <c r="BI64" s="247"/>
      <c r="BJ64" s="247"/>
      <c r="BK64" s="247"/>
      <c r="BL64" s="247"/>
      <c r="BM64" s="247"/>
      <c r="BN64" s="247"/>
      <c r="BO64" s="247"/>
      <c r="BP64" s="247"/>
      <c r="BQ64" s="247"/>
      <c r="BR64" s="247"/>
      <c r="BS64" s="247"/>
      <c r="BT64" s="247"/>
      <c r="BU64" s="248"/>
      <c r="BV64" s="279" t="s">
        <v>90</v>
      </c>
      <c r="BW64" s="280"/>
      <c r="BX64" s="280"/>
      <c r="BY64" s="280"/>
      <c r="BZ64" s="280"/>
      <c r="CA64" s="280"/>
      <c r="CB64" s="280"/>
      <c r="CC64" s="280"/>
      <c r="CD64" s="280"/>
      <c r="CE64" s="280"/>
      <c r="CF64" s="280"/>
      <c r="CG64" s="280"/>
      <c r="CH64" s="280"/>
      <c r="CI64" s="280"/>
      <c r="CJ64" s="280"/>
      <c r="CK64" s="280"/>
      <c r="CL64" s="280"/>
      <c r="CM64" s="281"/>
    </row>
    <row r="65" spans="1:91" ht="25.5" customHeight="1">
      <c r="A65" s="288"/>
      <c r="B65" s="289"/>
      <c r="C65" s="289"/>
      <c r="D65" s="52"/>
      <c r="E65" s="290"/>
      <c r="F65" s="290"/>
      <c r="G65" s="290"/>
      <c r="H65" s="53"/>
      <c r="I65" s="53"/>
      <c r="J65" s="53"/>
      <c r="K65" s="54"/>
      <c r="L65" s="294"/>
      <c r="M65" s="295"/>
      <c r="N65" s="295"/>
      <c r="O65" s="295"/>
      <c r="P65" s="295"/>
      <c r="Q65" s="295"/>
      <c r="R65" s="295"/>
      <c r="S65" s="295"/>
      <c r="T65" s="295"/>
      <c r="U65" s="295"/>
      <c r="V65" s="295"/>
      <c r="W65" s="295"/>
      <c r="X65" s="295"/>
      <c r="Y65" s="295"/>
      <c r="Z65" s="295"/>
      <c r="AA65" s="295"/>
      <c r="AB65" s="295"/>
      <c r="AC65" s="295"/>
      <c r="AD65" s="295"/>
      <c r="AE65" s="295"/>
      <c r="AF65" s="295"/>
      <c r="AG65" s="295"/>
      <c r="AH65" s="295"/>
      <c r="AI65" s="295"/>
      <c r="AJ65" s="295"/>
      <c r="AK65" s="295"/>
      <c r="AL65" s="295"/>
      <c r="AM65" s="295"/>
      <c r="AN65" s="295"/>
      <c r="AO65" s="295"/>
      <c r="AP65" s="295"/>
      <c r="AQ65" s="295"/>
      <c r="AR65" s="295"/>
      <c r="AS65" s="295"/>
      <c r="AT65" s="295"/>
      <c r="AU65" s="295"/>
      <c r="AV65" s="295"/>
      <c r="AW65" s="295"/>
      <c r="AX65" s="295"/>
      <c r="AY65" s="295"/>
      <c r="AZ65" s="295"/>
      <c r="BA65" s="295"/>
      <c r="BB65" s="295"/>
      <c r="BC65" s="295"/>
      <c r="BD65" s="295"/>
      <c r="BE65" s="296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50"/>
      <c r="BV65" s="282"/>
      <c r="BW65" s="283"/>
      <c r="BX65" s="283"/>
      <c r="BY65" s="283"/>
      <c r="BZ65" s="283"/>
      <c r="CA65" s="283"/>
      <c r="CB65" s="283"/>
      <c r="CC65" s="283"/>
      <c r="CD65" s="283"/>
      <c r="CE65" s="283"/>
      <c r="CF65" s="283"/>
      <c r="CG65" s="283"/>
      <c r="CH65" s="283"/>
      <c r="CI65" s="283"/>
      <c r="CJ65" s="283"/>
      <c r="CK65" s="283"/>
      <c r="CL65" s="283"/>
      <c r="CM65" s="284"/>
    </row>
    <row r="66" spans="1:91" ht="25.5" customHeight="1" thickBot="1">
      <c r="A66" s="288"/>
      <c r="B66" s="289"/>
      <c r="C66" s="289"/>
      <c r="D66" s="52"/>
      <c r="E66" s="290"/>
      <c r="F66" s="290"/>
      <c r="G66" s="290"/>
      <c r="H66" s="53"/>
      <c r="I66" s="53"/>
      <c r="J66" s="53"/>
      <c r="K66" s="54"/>
      <c r="L66" s="294"/>
      <c r="M66" s="295"/>
      <c r="N66" s="295"/>
      <c r="O66" s="295"/>
      <c r="P66" s="295"/>
      <c r="Q66" s="295"/>
      <c r="R66" s="295"/>
      <c r="S66" s="295"/>
      <c r="T66" s="295"/>
      <c r="U66" s="295"/>
      <c r="V66" s="295"/>
      <c r="W66" s="295"/>
      <c r="X66" s="295"/>
      <c r="Y66" s="295"/>
      <c r="Z66" s="295"/>
      <c r="AA66" s="295"/>
      <c r="AB66" s="295"/>
      <c r="AC66" s="295"/>
      <c r="AD66" s="295"/>
      <c r="AE66" s="295"/>
      <c r="AF66" s="295"/>
      <c r="AG66" s="295"/>
      <c r="AH66" s="295"/>
      <c r="AI66" s="295"/>
      <c r="AJ66" s="295"/>
      <c r="AK66" s="295"/>
      <c r="AL66" s="295"/>
      <c r="AM66" s="295"/>
      <c r="AN66" s="295"/>
      <c r="AO66" s="295"/>
      <c r="AP66" s="295"/>
      <c r="AQ66" s="295"/>
      <c r="AR66" s="295"/>
      <c r="AS66" s="295"/>
      <c r="AT66" s="295"/>
      <c r="AU66" s="295"/>
      <c r="AV66" s="295"/>
      <c r="AW66" s="295"/>
      <c r="AX66" s="295"/>
      <c r="AY66" s="295"/>
      <c r="AZ66" s="295"/>
      <c r="BA66" s="295"/>
      <c r="BB66" s="295"/>
      <c r="BC66" s="295"/>
      <c r="BD66" s="295"/>
      <c r="BE66" s="296"/>
      <c r="BF66" s="251"/>
      <c r="BG66" s="251"/>
      <c r="BH66" s="251"/>
      <c r="BI66" s="251"/>
      <c r="BJ66" s="251"/>
      <c r="BK66" s="251"/>
      <c r="BL66" s="251"/>
      <c r="BM66" s="251"/>
      <c r="BN66" s="251"/>
      <c r="BO66" s="251"/>
      <c r="BP66" s="251"/>
      <c r="BQ66" s="251"/>
      <c r="BR66" s="251"/>
      <c r="BS66" s="251"/>
      <c r="BT66" s="251"/>
      <c r="BU66" s="252"/>
      <c r="BV66" s="285"/>
      <c r="BW66" s="286"/>
      <c r="BX66" s="286"/>
      <c r="BY66" s="286"/>
      <c r="BZ66" s="286"/>
      <c r="CA66" s="286"/>
      <c r="CB66" s="286"/>
      <c r="CC66" s="286"/>
      <c r="CD66" s="286"/>
      <c r="CE66" s="286"/>
      <c r="CF66" s="286"/>
      <c r="CG66" s="286"/>
      <c r="CH66" s="286"/>
      <c r="CI66" s="286"/>
      <c r="CJ66" s="286"/>
      <c r="CK66" s="286"/>
      <c r="CL66" s="286"/>
      <c r="CM66" s="287"/>
    </row>
    <row r="67" spans="1:91" ht="25.5" customHeight="1">
      <c r="A67" s="255" t="e">
        <f>IF(#REF!&lt;&gt;"",#REF!,"")</f>
        <v>#REF!</v>
      </c>
      <c r="B67" s="256"/>
      <c r="C67" s="256"/>
      <c r="D67" s="185"/>
      <c r="E67" s="257" t="e">
        <f>IF(#REF!&lt;&gt;"",#REF!,"")</f>
        <v>#REF!</v>
      </c>
      <c r="F67" s="257"/>
      <c r="G67" s="257"/>
      <c r="H67" s="186" t="e">
        <f>IF(#REF!&lt;&gt;"",#REF!,"")</f>
        <v>#REF!</v>
      </c>
      <c r="I67" s="186" t="e">
        <f>IF(#REF!&lt;&gt;"",#REF!,"")</f>
        <v>#REF!</v>
      </c>
      <c r="J67" s="186" t="e">
        <f>IF(#REF!&lt;&gt;"",#REF!,"")</f>
        <v>#REF!</v>
      </c>
      <c r="K67" s="187" t="e">
        <f>IF(#REF!&lt;&gt;"",#REF!,"")</f>
        <v>#REF!</v>
      </c>
      <c r="L67" s="294"/>
      <c r="M67" s="295"/>
      <c r="N67" s="295"/>
      <c r="O67" s="295"/>
      <c r="P67" s="295"/>
      <c r="Q67" s="295"/>
      <c r="R67" s="295"/>
      <c r="S67" s="295"/>
      <c r="T67" s="295"/>
      <c r="U67" s="295"/>
      <c r="V67" s="295"/>
      <c r="W67" s="295"/>
      <c r="X67" s="295"/>
      <c r="Y67" s="295"/>
      <c r="Z67" s="295"/>
      <c r="AA67" s="295"/>
      <c r="AB67" s="295"/>
      <c r="AC67" s="295"/>
      <c r="AD67" s="295"/>
      <c r="AE67" s="295"/>
      <c r="AF67" s="295"/>
      <c r="AG67" s="295"/>
      <c r="AH67" s="295"/>
      <c r="AI67" s="295"/>
      <c r="AJ67" s="295"/>
      <c r="AK67" s="295"/>
      <c r="AL67" s="295"/>
      <c r="AM67" s="295"/>
      <c r="AN67" s="295"/>
      <c r="AO67" s="295"/>
      <c r="AP67" s="295"/>
      <c r="AQ67" s="295"/>
      <c r="AR67" s="295"/>
      <c r="AS67" s="295"/>
      <c r="AT67" s="295"/>
      <c r="AU67" s="295"/>
      <c r="AV67" s="295"/>
      <c r="AW67" s="295"/>
      <c r="AX67" s="295"/>
      <c r="AY67" s="295"/>
      <c r="AZ67" s="295"/>
      <c r="BA67" s="295"/>
      <c r="BB67" s="295"/>
      <c r="BC67" s="295"/>
      <c r="BD67" s="295"/>
      <c r="BE67" s="296"/>
      <c r="BF67" s="272" t="s">
        <v>34</v>
      </c>
      <c r="BG67" s="272"/>
      <c r="BH67" s="272"/>
      <c r="BI67" s="272"/>
      <c r="BJ67" s="272"/>
      <c r="BK67" s="272"/>
      <c r="BL67" s="272"/>
      <c r="BM67" s="272"/>
      <c r="BN67" s="272"/>
      <c r="BO67" s="272"/>
      <c r="BP67" s="272"/>
      <c r="BQ67" s="272"/>
      <c r="BR67" s="272"/>
      <c r="BS67" s="272"/>
      <c r="BT67" s="272"/>
      <c r="BU67" s="254"/>
      <c r="BV67" s="273" t="s">
        <v>35</v>
      </c>
      <c r="BW67" s="272"/>
      <c r="BX67" s="274"/>
      <c r="BY67" s="253" t="s">
        <v>36</v>
      </c>
      <c r="BZ67" s="272"/>
      <c r="CA67" s="272"/>
      <c r="CB67" s="272"/>
      <c r="CC67" s="272"/>
      <c r="CD67" s="272"/>
      <c r="CE67" s="272"/>
      <c r="CF67" s="272"/>
      <c r="CG67" s="272"/>
      <c r="CH67" s="272"/>
      <c r="CI67" s="272"/>
      <c r="CJ67" s="272"/>
      <c r="CK67" s="274"/>
      <c r="CL67" s="253" t="s">
        <v>37</v>
      </c>
      <c r="CM67" s="254"/>
    </row>
    <row r="68" spans="1:91" ht="25.5" customHeight="1">
      <c r="A68" s="255" t="e">
        <f>IF(#REF!&lt;&gt;"",#REF!,"")</f>
        <v>#REF!</v>
      </c>
      <c r="B68" s="256"/>
      <c r="C68" s="256"/>
      <c r="D68" s="185"/>
      <c r="E68" s="257" t="e">
        <f>IF(#REF!&lt;&gt;"",#REF!,"")</f>
        <v>#REF!</v>
      </c>
      <c r="F68" s="257"/>
      <c r="G68" s="257"/>
      <c r="H68" s="186" t="e">
        <f>IF(#REF!&lt;&gt;"",#REF!,"")</f>
        <v>#REF!</v>
      </c>
      <c r="I68" s="186" t="e">
        <f>IF(#REF!&lt;&gt;"",#REF!,"")</f>
        <v>#REF!</v>
      </c>
      <c r="J68" s="186" t="e">
        <f>IF(#REF!&lt;&gt;"",#REF!,"")</f>
        <v>#REF!</v>
      </c>
      <c r="K68" s="187" t="e">
        <f>IF(#REF!&lt;&gt;"",#REF!,"")</f>
        <v>#REF!</v>
      </c>
      <c r="L68" s="294"/>
      <c r="M68" s="295"/>
      <c r="N68" s="295"/>
      <c r="O68" s="295"/>
      <c r="P68" s="295"/>
      <c r="Q68" s="295"/>
      <c r="R68" s="295"/>
      <c r="S68" s="295"/>
      <c r="T68" s="295"/>
      <c r="U68" s="295"/>
      <c r="V68" s="295"/>
      <c r="W68" s="295"/>
      <c r="X68" s="295"/>
      <c r="Y68" s="295"/>
      <c r="Z68" s="295"/>
      <c r="AA68" s="295"/>
      <c r="AB68" s="295"/>
      <c r="AC68" s="295"/>
      <c r="AD68" s="295"/>
      <c r="AE68" s="295"/>
      <c r="AF68" s="295"/>
      <c r="AG68" s="295"/>
      <c r="AH68" s="295"/>
      <c r="AI68" s="295"/>
      <c r="AJ68" s="295"/>
      <c r="AK68" s="295"/>
      <c r="AL68" s="295"/>
      <c r="AM68" s="295"/>
      <c r="AN68" s="295"/>
      <c r="AO68" s="295"/>
      <c r="AP68" s="295"/>
      <c r="AQ68" s="295"/>
      <c r="AR68" s="295"/>
      <c r="AS68" s="295"/>
      <c r="AT68" s="295"/>
      <c r="AU68" s="295"/>
      <c r="AV68" s="295"/>
      <c r="AW68" s="295"/>
      <c r="AX68" s="295"/>
      <c r="AY68" s="295"/>
      <c r="AZ68" s="295"/>
      <c r="BA68" s="295"/>
      <c r="BB68" s="295"/>
      <c r="BC68" s="295"/>
      <c r="BD68" s="295"/>
      <c r="BE68" s="296"/>
      <c r="BF68" s="258" t="s">
        <v>5</v>
      </c>
      <c r="BG68" s="259"/>
      <c r="BH68" s="259"/>
      <c r="BI68" s="259"/>
      <c r="BJ68" s="259"/>
      <c r="BK68" s="259"/>
      <c r="BL68" s="259"/>
      <c r="BM68" s="259"/>
      <c r="BN68" s="259"/>
      <c r="BO68" s="259"/>
      <c r="BP68" s="259"/>
      <c r="BQ68" s="259"/>
      <c r="BR68" s="259"/>
      <c r="BS68" s="259"/>
      <c r="BT68" s="259"/>
      <c r="BU68" s="260"/>
      <c r="BV68" s="261" t="s">
        <v>12</v>
      </c>
      <c r="BW68" s="259"/>
      <c r="BX68" s="262"/>
      <c r="BY68" s="265" t="s">
        <v>1697</v>
      </c>
      <c r="BZ68" s="266"/>
      <c r="CA68" s="266"/>
      <c r="CB68" s="266"/>
      <c r="CC68" s="266"/>
      <c r="CD68" s="266"/>
      <c r="CE68" s="266"/>
      <c r="CF68" s="266"/>
      <c r="CG68" s="266"/>
      <c r="CH68" s="266"/>
      <c r="CI68" s="266"/>
      <c r="CJ68" s="266"/>
      <c r="CK68" s="267"/>
      <c r="CL68" s="227" t="s">
        <v>11</v>
      </c>
      <c r="CM68" s="260"/>
    </row>
    <row r="69" spans="1:91" ht="25.5" customHeight="1" thickBot="1">
      <c r="A69" s="255" t="e">
        <f>IF(#REF!&lt;&gt;"",#REF!,"")</f>
        <v>#REF!</v>
      </c>
      <c r="B69" s="256"/>
      <c r="C69" s="256"/>
      <c r="D69" s="185"/>
      <c r="E69" s="257" t="e">
        <f>IF(#REF!&lt;&gt;"",#REF!,"")</f>
        <v>#REF!</v>
      </c>
      <c r="F69" s="257"/>
      <c r="G69" s="257"/>
      <c r="H69" s="186" t="e">
        <f>IF(#REF!&lt;&gt;"",#REF!,"")</f>
        <v>#REF!</v>
      </c>
      <c r="I69" s="186" t="e">
        <f>IF(#REF!&lt;&gt;"",#REF!,"")</f>
        <v>#REF!</v>
      </c>
      <c r="J69" s="186" t="e">
        <f>IF(#REF!&lt;&gt;"",#REF!,"")</f>
        <v>#REF!</v>
      </c>
      <c r="K69" s="187" t="e">
        <f>IF(#REF!&lt;&gt;"",#REF!,"")</f>
        <v>#REF!</v>
      </c>
      <c r="L69" s="297"/>
      <c r="M69" s="298"/>
      <c r="N69" s="298"/>
      <c r="O69" s="298"/>
      <c r="P69" s="298"/>
      <c r="Q69" s="298"/>
      <c r="R69" s="298"/>
      <c r="S69" s="298"/>
      <c r="T69" s="298"/>
      <c r="U69" s="298"/>
      <c r="V69" s="298"/>
      <c r="W69" s="298"/>
      <c r="X69" s="298"/>
      <c r="Y69" s="298"/>
      <c r="Z69" s="298"/>
      <c r="AA69" s="298"/>
      <c r="AB69" s="298"/>
      <c r="AC69" s="298"/>
      <c r="AD69" s="298"/>
      <c r="AE69" s="298"/>
      <c r="AF69" s="298"/>
      <c r="AG69" s="298"/>
      <c r="AH69" s="298"/>
      <c r="AI69" s="298"/>
      <c r="AJ69" s="298"/>
      <c r="AK69" s="298"/>
      <c r="AL69" s="298"/>
      <c r="AM69" s="298"/>
      <c r="AN69" s="298"/>
      <c r="AO69" s="298"/>
      <c r="AP69" s="298"/>
      <c r="AQ69" s="298"/>
      <c r="AR69" s="298"/>
      <c r="AS69" s="298"/>
      <c r="AT69" s="298"/>
      <c r="AU69" s="298"/>
      <c r="AV69" s="298"/>
      <c r="AW69" s="298"/>
      <c r="AX69" s="298"/>
      <c r="AY69" s="298"/>
      <c r="AZ69" s="298"/>
      <c r="BA69" s="298"/>
      <c r="BB69" s="298"/>
      <c r="BC69" s="298"/>
      <c r="BD69" s="298"/>
      <c r="BE69" s="299"/>
      <c r="BF69" s="251"/>
      <c r="BG69" s="251"/>
      <c r="BH69" s="251"/>
      <c r="BI69" s="251"/>
      <c r="BJ69" s="251"/>
      <c r="BK69" s="251"/>
      <c r="BL69" s="251"/>
      <c r="BM69" s="251"/>
      <c r="BN69" s="251"/>
      <c r="BO69" s="251"/>
      <c r="BP69" s="251"/>
      <c r="BQ69" s="251"/>
      <c r="BR69" s="251"/>
      <c r="BS69" s="251"/>
      <c r="BT69" s="251"/>
      <c r="BU69" s="252"/>
      <c r="BV69" s="263"/>
      <c r="BW69" s="251"/>
      <c r="BX69" s="264"/>
      <c r="BY69" s="268"/>
      <c r="BZ69" s="269"/>
      <c r="CA69" s="269"/>
      <c r="CB69" s="269"/>
      <c r="CC69" s="269"/>
      <c r="CD69" s="269"/>
      <c r="CE69" s="269"/>
      <c r="CF69" s="269"/>
      <c r="CG69" s="269"/>
      <c r="CH69" s="269"/>
      <c r="CI69" s="269"/>
      <c r="CJ69" s="269"/>
      <c r="CK69" s="270"/>
      <c r="CL69" s="271"/>
      <c r="CM69" s="252"/>
    </row>
    <row r="70" spans="1:91" ht="12" customHeight="1">
      <c r="A70" s="55"/>
      <c r="B70" s="56"/>
      <c r="C70" s="56"/>
      <c r="D70" s="56"/>
      <c r="E70" s="57"/>
      <c r="F70" s="58"/>
      <c r="G70" s="58"/>
      <c r="H70" s="58"/>
      <c r="I70" s="59"/>
      <c r="BL70" s="17"/>
      <c r="BM70" s="17"/>
      <c r="BN70" s="17"/>
      <c r="BO70" s="17"/>
      <c r="BP70" s="17"/>
      <c r="BQ70" s="17"/>
      <c r="BR70" s="17"/>
      <c r="BS70" s="17"/>
      <c r="BT70" s="61"/>
      <c r="CD70" s="57"/>
      <c r="CE70" s="57"/>
      <c r="CF70" s="57"/>
      <c r="CG70" s="57"/>
      <c r="CH70" s="57"/>
      <c r="CI70" s="57"/>
      <c r="CJ70" s="57"/>
      <c r="CK70" s="57"/>
      <c r="CL70" s="57"/>
      <c r="CM70" s="57"/>
    </row>
  </sheetData>
  <mergeCells count="45"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BV64:CM66"/>
    <mergeCell ref="A65:C65"/>
    <mergeCell ref="E65:G65"/>
    <mergeCell ref="A66:C66"/>
    <mergeCell ref="E66:G66"/>
    <mergeCell ref="A67:C67"/>
    <mergeCell ref="E67:G67"/>
    <mergeCell ref="BF67:BU67"/>
    <mergeCell ref="BV67:BX67"/>
    <mergeCell ref="BY67:CK67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BF64:BU66"/>
    <mergeCell ref="G7:G9"/>
    <mergeCell ref="H7:H9"/>
    <mergeCell ref="I7:K7"/>
    <mergeCell ref="J8:K8"/>
    <mergeCell ref="A61:C61"/>
    <mergeCell ref="E61:G61"/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29" orientation="landscape" r:id="rId1"/>
  <headerFooter alignWithMargins="0">
    <oddFooter xml:space="preserve">&amp;L&amp;Z&amp;F&amp;C&amp;D&amp;RConcise DesignShutdown Key 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DQ70"/>
  <sheetViews>
    <sheetView showGridLines="0" view="pageBreakPreview" topLeftCell="C1" zoomScale="50" zoomScaleNormal="50" zoomScaleSheetLayoutView="50" zoomScalePageLayoutView="50" workbookViewId="0">
      <selection activeCell="I1" sqref="I1:K9"/>
    </sheetView>
  </sheetViews>
  <sheetFormatPr defaultColWidth="12.7109375" defaultRowHeight="12" customHeight="1"/>
  <cols>
    <col min="1" max="1" width="8.7109375" style="21" hidden="1" customWidth="1"/>
    <col min="2" max="2" width="7.42578125" style="21" hidden="1" customWidth="1"/>
    <col min="3" max="3" width="19" style="21" customWidth="1"/>
    <col min="4" max="4" width="25.42578125" style="21" hidden="1" customWidth="1"/>
    <col min="5" max="5" width="95.85546875" style="27" bestFit="1" customWidth="1"/>
    <col min="6" max="6" width="18.42578125" style="196" hidden="1" customWidth="1"/>
    <col min="7" max="7" width="31.5703125" style="196" bestFit="1" customWidth="1"/>
    <col min="8" max="8" width="33" style="196" bestFit="1" customWidth="1"/>
    <col min="9" max="10" width="8.42578125" style="41" customWidth="1"/>
    <col min="11" max="11" width="10.85546875" style="41" bestFit="1" customWidth="1"/>
    <col min="12" max="12" width="6.140625" style="60" hidden="1" customWidth="1"/>
    <col min="13" max="14" width="6.140625" style="27" customWidth="1"/>
    <col min="15" max="16" width="6.140625" style="27" hidden="1" customWidth="1"/>
    <col min="17" max="21" width="6.140625" style="27" customWidth="1"/>
    <col min="22" max="22" width="6.140625" style="60" customWidth="1"/>
    <col min="23" max="31" width="6.140625" style="27" customWidth="1"/>
    <col min="32" max="32" width="6.140625" style="60" customWidth="1"/>
    <col min="33" max="41" width="6.140625" style="27" customWidth="1"/>
    <col min="42" max="42" width="6.140625" style="60" customWidth="1"/>
    <col min="43" max="51" width="6.140625" style="27" customWidth="1"/>
    <col min="52" max="52" width="6.140625" style="60" customWidth="1"/>
    <col min="53" max="61" width="6.140625" style="27" customWidth="1"/>
    <col min="62" max="62" width="6.140625" style="60" customWidth="1"/>
    <col min="63" max="71" width="6.140625" style="27" customWidth="1"/>
    <col min="72" max="72" width="6.140625" style="60" customWidth="1"/>
    <col min="73" max="80" width="6.140625" style="27" customWidth="1"/>
    <col min="81" max="81" width="6.140625" style="62" customWidth="1"/>
    <col min="82" max="91" width="6.140625" style="27" customWidth="1"/>
    <col min="92" max="16384" width="12.7109375" style="27"/>
  </cols>
  <sheetData>
    <row r="1" spans="1:121" s="194" customFormat="1" ht="20.25" customHeight="1">
      <c r="A1" s="15"/>
      <c r="B1" s="16"/>
      <c r="C1" s="16"/>
      <c r="D1" s="16"/>
      <c r="E1" s="17"/>
      <c r="F1" s="195"/>
      <c r="G1" s="195"/>
      <c r="H1" s="195"/>
      <c r="I1" s="18"/>
      <c r="J1" s="19" t="s">
        <v>13</v>
      </c>
      <c r="K1" s="20"/>
      <c r="L1" s="407">
        <v>1</v>
      </c>
      <c r="M1" s="402">
        <v>2</v>
      </c>
      <c r="N1" s="402">
        <v>3</v>
      </c>
      <c r="O1" s="402">
        <v>4</v>
      </c>
      <c r="P1" s="408">
        <v>6</v>
      </c>
      <c r="Q1" s="407">
        <v>7</v>
      </c>
      <c r="R1" s="402">
        <v>238</v>
      </c>
      <c r="S1" s="402">
        <v>889</v>
      </c>
      <c r="T1" s="402">
        <v>887</v>
      </c>
      <c r="U1" s="409">
        <v>888</v>
      </c>
      <c r="V1" s="401">
        <v>231</v>
      </c>
      <c r="W1" s="403">
        <v>7777</v>
      </c>
      <c r="X1" s="403"/>
      <c r="Y1" s="403"/>
      <c r="Z1" s="406"/>
      <c r="AA1" s="410"/>
      <c r="AB1" s="403"/>
      <c r="AC1" s="403"/>
      <c r="AD1" s="403"/>
      <c r="AE1" s="404"/>
      <c r="AF1" s="405"/>
      <c r="AG1" s="403"/>
      <c r="AH1" s="403"/>
      <c r="AI1" s="403"/>
      <c r="AJ1" s="406"/>
      <c r="AK1" s="410"/>
      <c r="AL1" s="403"/>
      <c r="AM1" s="403"/>
      <c r="AN1" s="403"/>
      <c r="AO1" s="404"/>
      <c r="AP1" s="405"/>
      <c r="AQ1" s="403"/>
      <c r="AR1" s="403"/>
      <c r="AS1" s="403"/>
      <c r="AT1" s="406"/>
      <c r="AU1" s="410"/>
      <c r="AV1" s="403"/>
      <c r="AW1" s="403"/>
      <c r="AX1" s="403"/>
      <c r="AY1" s="404"/>
      <c r="AZ1" s="405"/>
      <c r="BA1" s="403"/>
      <c r="BB1" s="403"/>
      <c r="BC1" s="403"/>
      <c r="BD1" s="406"/>
      <c r="BE1" s="410"/>
      <c r="BF1" s="403"/>
      <c r="BG1" s="403"/>
      <c r="BH1" s="403"/>
      <c r="BI1" s="404"/>
      <c r="BJ1" s="405"/>
      <c r="BK1" s="403"/>
      <c r="BL1" s="403"/>
      <c r="BM1" s="403"/>
      <c r="BN1" s="406"/>
      <c r="BO1" s="410"/>
      <c r="BP1" s="403"/>
      <c r="BQ1" s="403"/>
      <c r="BR1" s="403"/>
      <c r="BS1" s="404"/>
      <c r="BT1" s="405"/>
      <c r="BU1" s="403"/>
      <c r="BV1" s="403"/>
      <c r="BW1" s="403"/>
      <c r="BX1" s="406"/>
      <c r="BY1" s="410"/>
      <c r="BZ1" s="403"/>
      <c r="CA1" s="403"/>
      <c r="CB1" s="403"/>
      <c r="CC1" s="404"/>
      <c r="CD1" s="405"/>
      <c r="CE1" s="403"/>
      <c r="CF1" s="403"/>
      <c r="CG1" s="403"/>
      <c r="CH1" s="404"/>
      <c r="CI1" s="405"/>
      <c r="CJ1" s="403"/>
      <c r="CK1" s="403"/>
      <c r="CL1" s="403"/>
      <c r="CM1" s="406"/>
      <c r="CN1" s="21"/>
      <c r="CO1" s="21"/>
      <c r="CP1" s="21"/>
      <c r="CQ1" s="21"/>
      <c r="CR1" s="21"/>
      <c r="CS1" s="21"/>
      <c r="CT1" s="21"/>
      <c r="CU1" s="21"/>
      <c r="CV1" s="21"/>
      <c r="CW1" s="21"/>
      <c r="CX1" s="21"/>
      <c r="CY1" s="21"/>
      <c r="CZ1" s="21"/>
      <c r="DA1" s="21"/>
      <c r="DB1" s="21"/>
      <c r="DC1" s="21"/>
      <c r="DD1" s="21"/>
      <c r="DE1" s="21"/>
      <c r="DF1" s="21"/>
      <c r="DG1" s="21"/>
      <c r="DH1" s="21"/>
      <c r="DI1" s="21"/>
      <c r="DJ1" s="21"/>
      <c r="DK1" s="21"/>
      <c r="DL1" s="21"/>
      <c r="DM1" s="21"/>
      <c r="DN1" s="21"/>
      <c r="DO1" s="21"/>
      <c r="DP1" s="21"/>
      <c r="DQ1" s="21"/>
    </row>
    <row r="2" spans="1:121" s="194" customFormat="1" ht="24" customHeight="1" thickBot="1">
      <c r="A2" s="22"/>
      <c r="B2" s="21"/>
      <c r="C2" s="21"/>
      <c r="D2" s="21"/>
      <c r="F2" s="196"/>
      <c r="G2" s="196"/>
      <c r="H2" s="196"/>
      <c r="I2" s="23"/>
      <c r="J2" s="24" t="s">
        <v>14</v>
      </c>
      <c r="K2" s="25"/>
      <c r="L2" s="388" t="s">
        <v>11</v>
      </c>
      <c r="M2" s="387" t="s">
        <v>11</v>
      </c>
      <c r="N2" s="387" t="s">
        <v>11</v>
      </c>
      <c r="O2" s="387" t="s">
        <v>11</v>
      </c>
      <c r="P2" s="389" t="s">
        <v>11</v>
      </c>
      <c r="Q2" s="388" t="s">
        <v>77</v>
      </c>
      <c r="R2" s="387" t="s">
        <v>11</v>
      </c>
      <c r="S2" s="387" t="s">
        <v>11</v>
      </c>
      <c r="T2" s="387" t="s">
        <v>11</v>
      </c>
      <c r="U2" s="390" t="s">
        <v>11</v>
      </c>
      <c r="V2" s="386" t="s">
        <v>11</v>
      </c>
      <c r="W2" s="372" t="s">
        <v>11</v>
      </c>
      <c r="X2" s="372"/>
      <c r="Y2" s="372"/>
      <c r="Z2" s="373"/>
      <c r="AA2" s="374"/>
      <c r="AB2" s="372"/>
      <c r="AC2" s="372"/>
      <c r="AD2" s="372"/>
      <c r="AE2" s="371"/>
      <c r="AF2" s="375"/>
      <c r="AG2" s="372"/>
      <c r="AH2" s="372"/>
      <c r="AI2" s="372"/>
      <c r="AJ2" s="373"/>
      <c r="AK2" s="374"/>
      <c r="AL2" s="372"/>
      <c r="AM2" s="372"/>
      <c r="AN2" s="372"/>
      <c r="AO2" s="371"/>
      <c r="AP2" s="375"/>
      <c r="AQ2" s="372"/>
      <c r="AR2" s="372"/>
      <c r="AS2" s="372"/>
      <c r="AT2" s="373"/>
      <c r="AU2" s="374"/>
      <c r="AV2" s="372"/>
      <c r="AW2" s="372"/>
      <c r="AX2" s="372"/>
      <c r="AY2" s="371"/>
      <c r="AZ2" s="375"/>
      <c r="BA2" s="372"/>
      <c r="BB2" s="372"/>
      <c r="BC2" s="372"/>
      <c r="BD2" s="373"/>
      <c r="BE2" s="374"/>
      <c r="BF2" s="372"/>
      <c r="BG2" s="372"/>
      <c r="BH2" s="372"/>
      <c r="BI2" s="371"/>
      <c r="BJ2" s="375"/>
      <c r="BK2" s="372"/>
      <c r="BL2" s="372"/>
      <c r="BM2" s="372"/>
      <c r="BN2" s="373"/>
      <c r="BO2" s="374"/>
      <c r="BP2" s="372"/>
      <c r="BQ2" s="372"/>
      <c r="BR2" s="372"/>
      <c r="BS2" s="371"/>
      <c r="BT2" s="375"/>
      <c r="BU2" s="372"/>
      <c r="BV2" s="372"/>
      <c r="BW2" s="372"/>
      <c r="BX2" s="373"/>
      <c r="BY2" s="374"/>
      <c r="BZ2" s="372"/>
      <c r="CA2" s="372"/>
      <c r="CB2" s="372"/>
      <c r="CC2" s="371"/>
      <c r="CD2" s="375"/>
      <c r="CE2" s="372"/>
      <c r="CF2" s="372"/>
      <c r="CG2" s="372"/>
      <c r="CH2" s="371"/>
      <c r="CI2" s="375"/>
      <c r="CJ2" s="372"/>
      <c r="CK2" s="372"/>
      <c r="CL2" s="372"/>
      <c r="CM2" s="373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  <c r="DO2" s="26"/>
      <c r="DP2" s="26"/>
      <c r="DQ2" s="21"/>
    </row>
    <row r="3" spans="1:121" ht="111" customHeight="1">
      <c r="A3" s="22"/>
      <c r="I3" s="307" t="s">
        <v>15</v>
      </c>
      <c r="J3" s="308"/>
      <c r="K3" s="309"/>
      <c r="L3" s="421" t="s">
        <v>76</v>
      </c>
      <c r="M3" s="422" t="s">
        <v>76</v>
      </c>
      <c r="N3" s="422" t="s">
        <v>76</v>
      </c>
      <c r="O3" s="422" t="s">
        <v>76</v>
      </c>
      <c r="P3" s="423" t="s">
        <v>76</v>
      </c>
      <c r="Q3" s="421"/>
      <c r="R3" s="422" t="s">
        <v>16</v>
      </c>
      <c r="S3" s="422" t="s">
        <v>44</v>
      </c>
      <c r="T3" s="422" t="s">
        <v>44</v>
      </c>
      <c r="U3" s="424" t="s">
        <v>44</v>
      </c>
      <c r="V3" s="425" t="s">
        <v>44</v>
      </c>
      <c r="W3" s="372" t="s">
        <v>93</v>
      </c>
      <c r="X3" s="372"/>
      <c r="Y3" s="372"/>
      <c r="Z3" s="373"/>
      <c r="AA3" s="374"/>
      <c r="AB3" s="372"/>
      <c r="AC3" s="372"/>
      <c r="AD3" s="372"/>
      <c r="AE3" s="371"/>
      <c r="AF3" s="375"/>
      <c r="AG3" s="372"/>
      <c r="AH3" s="372"/>
      <c r="AI3" s="372"/>
      <c r="AJ3" s="373"/>
      <c r="AK3" s="374"/>
      <c r="AL3" s="372"/>
      <c r="AM3" s="372"/>
      <c r="AN3" s="372"/>
      <c r="AO3" s="371"/>
      <c r="AP3" s="375"/>
      <c r="AQ3" s="372"/>
      <c r="AR3" s="372"/>
      <c r="AS3" s="372"/>
      <c r="AT3" s="373"/>
      <c r="AU3" s="374"/>
      <c r="AV3" s="372"/>
      <c r="AW3" s="372"/>
      <c r="AX3" s="372"/>
      <c r="AY3" s="371"/>
      <c r="AZ3" s="375"/>
      <c r="BA3" s="372"/>
      <c r="BB3" s="372"/>
      <c r="BC3" s="372"/>
      <c r="BD3" s="373"/>
      <c r="BE3" s="374"/>
      <c r="BF3" s="372"/>
      <c r="BG3" s="372"/>
      <c r="BH3" s="372"/>
      <c r="BI3" s="371"/>
      <c r="BJ3" s="375"/>
      <c r="BK3" s="372"/>
      <c r="BL3" s="372"/>
      <c r="BM3" s="372"/>
      <c r="BN3" s="373"/>
      <c r="BO3" s="374"/>
      <c r="BP3" s="372"/>
      <c r="BQ3" s="372"/>
      <c r="BR3" s="372"/>
      <c r="BS3" s="371"/>
      <c r="BT3" s="375"/>
      <c r="BU3" s="372"/>
      <c r="BV3" s="372"/>
      <c r="BW3" s="372"/>
      <c r="BX3" s="373"/>
      <c r="BY3" s="374"/>
      <c r="BZ3" s="372"/>
      <c r="CA3" s="372"/>
      <c r="CB3" s="372"/>
      <c r="CC3" s="371"/>
      <c r="CD3" s="375"/>
      <c r="CE3" s="372"/>
      <c r="CF3" s="372"/>
      <c r="CG3" s="372"/>
      <c r="CH3" s="371"/>
      <c r="CI3" s="375"/>
      <c r="CJ3" s="372"/>
      <c r="CK3" s="372"/>
      <c r="CL3" s="372"/>
      <c r="CM3" s="373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</row>
    <row r="4" spans="1:121" s="29" customFormat="1" ht="156.75" customHeight="1">
      <c r="A4" s="22"/>
      <c r="B4" s="21"/>
      <c r="C4" s="21"/>
      <c r="D4" s="21"/>
      <c r="F4" s="21"/>
      <c r="G4" s="21"/>
      <c r="H4" s="30"/>
      <c r="I4" s="310" t="s">
        <v>17</v>
      </c>
      <c r="J4" s="311"/>
      <c r="K4" s="312"/>
      <c r="L4" s="421" t="s">
        <v>76</v>
      </c>
      <c r="M4" s="422" t="s">
        <v>76</v>
      </c>
      <c r="N4" s="422" t="s">
        <v>76</v>
      </c>
      <c r="O4" s="422" t="s">
        <v>76</v>
      </c>
      <c r="P4" s="423" t="s">
        <v>76</v>
      </c>
      <c r="Q4" s="421" t="s">
        <v>77</v>
      </c>
      <c r="R4" s="422" t="s">
        <v>76</v>
      </c>
      <c r="S4" s="422" t="s">
        <v>76</v>
      </c>
      <c r="T4" s="422" t="s">
        <v>76</v>
      </c>
      <c r="U4" s="424" t="s">
        <v>76</v>
      </c>
      <c r="V4" s="425" t="s">
        <v>76</v>
      </c>
      <c r="W4" s="372" t="s">
        <v>93</v>
      </c>
      <c r="X4" s="372"/>
      <c r="Y4" s="372"/>
      <c r="Z4" s="373"/>
      <c r="AA4" s="374"/>
      <c r="AB4" s="372"/>
      <c r="AC4" s="372"/>
      <c r="AD4" s="372"/>
      <c r="AE4" s="371"/>
      <c r="AF4" s="375"/>
      <c r="AG4" s="372"/>
      <c r="AH4" s="372"/>
      <c r="AI4" s="372"/>
      <c r="AJ4" s="373"/>
      <c r="AK4" s="374"/>
      <c r="AL4" s="372"/>
      <c r="AM4" s="372"/>
      <c r="AN4" s="372"/>
      <c r="AO4" s="371"/>
      <c r="AP4" s="375"/>
      <c r="AQ4" s="372"/>
      <c r="AR4" s="372"/>
      <c r="AS4" s="372"/>
      <c r="AT4" s="373"/>
      <c r="AU4" s="374"/>
      <c r="AV4" s="372"/>
      <c r="AW4" s="372"/>
      <c r="AX4" s="372"/>
      <c r="AY4" s="371"/>
      <c r="AZ4" s="375"/>
      <c r="BA4" s="372"/>
      <c r="BB4" s="372"/>
      <c r="BC4" s="372"/>
      <c r="BD4" s="373"/>
      <c r="BE4" s="374"/>
      <c r="BF4" s="372"/>
      <c r="BG4" s="372"/>
      <c r="BH4" s="372"/>
      <c r="BI4" s="371"/>
      <c r="BJ4" s="375"/>
      <c r="BK4" s="372"/>
      <c r="BL4" s="372"/>
      <c r="BM4" s="372"/>
      <c r="BN4" s="373"/>
      <c r="BO4" s="374"/>
      <c r="BP4" s="372"/>
      <c r="BQ4" s="372"/>
      <c r="BR4" s="372"/>
      <c r="BS4" s="371"/>
      <c r="BT4" s="375"/>
      <c r="BU4" s="372"/>
      <c r="BV4" s="372"/>
      <c r="BW4" s="372"/>
      <c r="BX4" s="373"/>
      <c r="BY4" s="374"/>
      <c r="BZ4" s="372"/>
      <c r="CA4" s="372"/>
      <c r="CB4" s="372"/>
      <c r="CC4" s="371"/>
      <c r="CD4" s="375"/>
      <c r="CE4" s="372"/>
      <c r="CF4" s="372"/>
      <c r="CG4" s="372"/>
      <c r="CH4" s="371"/>
      <c r="CI4" s="375"/>
      <c r="CJ4" s="372"/>
      <c r="CK4" s="372"/>
      <c r="CL4" s="372"/>
      <c r="CM4" s="373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6"/>
      <c r="DF4" s="28"/>
      <c r="DG4" s="26"/>
      <c r="DH4" s="28"/>
      <c r="DI4" s="26"/>
      <c r="DJ4" s="28"/>
      <c r="DK4" s="26"/>
      <c r="DL4" s="28"/>
      <c r="DM4" s="26"/>
      <c r="DN4" s="28"/>
      <c r="DO4" s="26"/>
      <c r="DP4" s="28"/>
      <c r="DQ4" s="28"/>
    </row>
    <row r="5" spans="1:121" s="21" customFormat="1" ht="408" customHeight="1">
      <c r="A5" s="22"/>
      <c r="H5" s="30" t="s">
        <v>18</v>
      </c>
      <c r="I5" s="203" t="s">
        <v>7</v>
      </c>
      <c r="J5" s="204"/>
      <c r="K5" s="313"/>
      <c r="L5" s="426" t="s">
        <v>69</v>
      </c>
      <c r="M5" s="427" t="s">
        <v>72</v>
      </c>
      <c r="N5" s="427" t="s">
        <v>71</v>
      </c>
      <c r="O5" s="427" t="s">
        <v>83</v>
      </c>
      <c r="P5" s="428" t="s">
        <v>82</v>
      </c>
      <c r="Q5" s="426"/>
      <c r="R5" s="427" t="s">
        <v>56</v>
      </c>
      <c r="S5" s="427" t="s">
        <v>59</v>
      </c>
      <c r="T5" s="427" t="s">
        <v>57</v>
      </c>
      <c r="U5" s="429" t="s">
        <v>58</v>
      </c>
      <c r="V5" s="430" t="s">
        <v>55</v>
      </c>
      <c r="W5" s="372" t="s">
        <v>93</v>
      </c>
      <c r="X5" s="372"/>
      <c r="Y5" s="372"/>
      <c r="Z5" s="373"/>
      <c r="AA5" s="374"/>
      <c r="AB5" s="372"/>
      <c r="AC5" s="372"/>
      <c r="AD5" s="372"/>
      <c r="AE5" s="371"/>
      <c r="AF5" s="375"/>
      <c r="AG5" s="372"/>
      <c r="AH5" s="372"/>
      <c r="AI5" s="372"/>
      <c r="AJ5" s="373"/>
      <c r="AK5" s="374"/>
      <c r="AL5" s="372"/>
      <c r="AM5" s="372"/>
      <c r="AN5" s="372"/>
      <c r="AO5" s="371"/>
      <c r="AP5" s="375"/>
      <c r="AQ5" s="372"/>
      <c r="AR5" s="372"/>
      <c r="AS5" s="372"/>
      <c r="AT5" s="373"/>
      <c r="AU5" s="374"/>
      <c r="AV5" s="372"/>
      <c r="AW5" s="372"/>
      <c r="AX5" s="372"/>
      <c r="AY5" s="371"/>
      <c r="AZ5" s="375"/>
      <c r="BA5" s="372"/>
      <c r="BB5" s="372"/>
      <c r="BC5" s="372"/>
      <c r="BD5" s="373"/>
      <c r="BE5" s="374"/>
      <c r="BF5" s="372"/>
      <c r="BG5" s="372"/>
      <c r="BH5" s="372"/>
      <c r="BI5" s="371"/>
      <c r="BJ5" s="375"/>
      <c r="BK5" s="372"/>
      <c r="BL5" s="372"/>
      <c r="BM5" s="372"/>
      <c r="BN5" s="373"/>
      <c r="BO5" s="374"/>
      <c r="BP5" s="372"/>
      <c r="BQ5" s="372"/>
      <c r="BR5" s="372"/>
      <c r="BS5" s="371"/>
      <c r="BT5" s="375"/>
      <c r="BU5" s="372"/>
      <c r="BV5" s="372"/>
      <c r="BW5" s="372"/>
      <c r="BX5" s="373"/>
      <c r="BY5" s="374"/>
      <c r="BZ5" s="372"/>
      <c r="CA5" s="372"/>
      <c r="CB5" s="372"/>
      <c r="CC5" s="371"/>
      <c r="CD5" s="375"/>
      <c r="CE5" s="372"/>
      <c r="CF5" s="372"/>
      <c r="CG5" s="372"/>
      <c r="CH5" s="371"/>
      <c r="CI5" s="375"/>
      <c r="CJ5" s="372"/>
      <c r="CK5" s="372"/>
      <c r="CL5" s="372"/>
      <c r="CM5" s="373"/>
      <c r="CN5" s="31"/>
      <c r="CO5" s="32"/>
      <c r="CP5" s="31"/>
      <c r="CQ5" s="32"/>
      <c r="CR5" s="31"/>
      <c r="CS5" s="32"/>
      <c r="CT5" s="31"/>
      <c r="CU5" s="32"/>
      <c r="CV5" s="31"/>
      <c r="CW5" s="33"/>
      <c r="CX5" s="31"/>
      <c r="CY5" s="33"/>
      <c r="CZ5" s="31"/>
      <c r="DA5" s="31"/>
      <c r="DB5" s="31"/>
      <c r="DC5" s="32"/>
      <c r="DD5" s="31"/>
      <c r="DE5" s="31"/>
      <c r="DF5" s="31"/>
      <c r="DG5" s="31"/>
      <c r="DH5" s="31"/>
      <c r="DI5" s="31"/>
      <c r="DJ5" s="31"/>
      <c r="DK5" s="32"/>
      <c r="DL5" s="31"/>
      <c r="DM5" s="33"/>
      <c r="DN5" s="31"/>
      <c r="DO5" s="31"/>
      <c r="DP5" s="31"/>
      <c r="DQ5" s="33"/>
    </row>
    <row r="6" spans="1:121" s="21" customFormat="1" ht="140.25" customHeight="1" thickBot="1">
      <c r="A6" s="22"/>
      <c r="D6" s="197"/>
      <c r="E6" s="197" t="s">
        <v>19</v>
      </c>
      <c r="I6" s="232" t="s">
        <v>20</v>
      </c>
      <c r="J6" s="233"/>
      <c r="K6" s="314"/>
      <c r="L6" s="431" t="s">
        <v>66</v>
      </c>
      <c r="M6" s="432" t="s">
        <v>64</v>
      </c>
      <c r="N6" s="432" t="s">
        <v>65</v>
      </c>
      <c r="O6" s="432" t="s">
        <v>67</v>
      </c>
      <c r="P6" s="433" t="s">
        <v>68</v>
      </c>
      <c r="Q6" s="431"/>
      <c r="R6" s="432" t="s">
        <v>21</v>
      </c>
      <c r="S6" s="432" t="s">
        <v>63</v>
      </c>
      <c r="T6" s="432" t="s">
        <v>61</v>
      </c>
      <c r="U6" s="434" t="s">
        <v>62</v>
      </c>
      <c r="V6" s="435" t="s">
        <v>60</v>
      </c>
      <c r="W6" s="393" t="s">
        <v>92</v>
      </c>
      <c r="X6" s="393"/>
      <c r="Y6" s="393"/>
      <c r="Z6" s="396"/>
      <c r="AA6" s="400"/>
      <c r="AB6" s="393"/>
      <c r="AC6" s="393"/>
      <c r="AD6" s="393"/>
      <c r="AE6" s="394"/>
      <c r="AF6" s="395"/>
      <c r="AG6" s="393"/>
      <c r="AH6" s="393"/>
      <c r="AI6" s="393"/>
      <c r="AJ6" s="396"/>
      <c r="AK6" s="400"/>
      <c r="AL6" s="393"/>
      <c r="AM6" s="393"/>
      <c r="AN6" s="393"/>
      <c r="AO6" s="394"/>
      <c r="AP6" s="395"/>
      <c r="AQ6" s="393"/>
      <c r="AR6" s="393"/>
      <c r="AS6" s="393"/>
      <c r="AT6" s="396"/>
      <c r="AU6" s="400"/>
      <c r="AV6" s="393"/>
      <c r="AW6" s="393"/>
      <c r="AX6" s="393"/>
      <c r="AY6" s="394"/>
      <c r="AZ6" s="395"/>
      <c r="BA6" s="393"/>
      <c r="BB6" s="393"/>
      <c r="BC6" s="393"/>
      <c r="BD6" s="396"/>
      <c r="BE6" s="400"/>
      <c r="BF6" s="393"/>
      <c r="BG6" s="393"/>
      <c r="BH6" s="393"/>
      <c r="BI6" s="394"/>
      <c r="BJ6" s="395"/>
      <c r="BK6" s="393"/>
      <c r="BL6" s="393"/>
      <c r="BM6" s="393"/>
      <c r="BN6" s="396"/>
      <c r="BO6" s="400"/>
      <c r="BP6" s="393"/>
      <c r="BQ6" s="393"/>
      <c r="BR6" s="393"/>
      <c r="BS6" s="394"/>
      <c r="BT6" s="395"/>
      <c r="BU6" s="393"/>
      <c r="BV6" s="393"/>
      <c r="BW6" s="393"/>
      <c r="BX6" s="396"/>
      <c r="BY6" s="400"/>
      <c r="BZ6" s="393"/>
      <c r="CA6" s="393"/>
      <c r="CB6" s="393"/>
      <c r="CC6" s="394"/>
      <c r="CD6" s="395"/>
      <c r="CE6" s="393"/>
      <c r="CF6" s="393"/>
      <c r="CG6" s="393"/>
      <c r="CH6" s="394"/>
      <c r="CI6" s="395"/>
      <c r="CJ6" s="393"/>
      <c r="CK6" s="393"/>
      <c r="CL6" s="393"/>
      <c r="CM6" s="396"/>
      <c r="CN6" s="28"/>
      <c r="CO6" s="28"/>
      <c r="CP6" s="28"/>
      <c r="CQ6" s="34"/>
      <c r="CR6" s="33"/>
      <c r="CS6" s="33"/>
      <c r="CT6" s="34"/>
      <c r="CU6" s="35"/>
      <c r="CV6" s="36"/>
      <c r="CW6" s="37"/>
      <c r="CX6" s="37"/>
      <c r="CY6" s="37"/>
      <c r="CZ6" s="38"/>
      <c r="DA6" s="39"/>
      <c r="DB6" s="39"/>
      <c r="DC6" s="39"/>
      <c r="DD6" s="28"/>
      <c r="DE6" s="39"/>
      <c r="DF6" s="40"/>
      <c r="DG6" s="39"/>
      <c r="DH6" s="40"/>
      <c r="DI6" s="39"/>
      <c r="DJ6" s="40"/>
      <c r="DK6" s="39"/>
      <c r="DL6" s="40"/>
      <c r="DM6" s="39"/>
      <c r="DN6" s="40"/>
      <c r="DO6" s="39"/>
      <c r="DP6" s="40"/>
      <c r="DQ6" s="40"/>
    </row>
    <row r="7" spans="1:121" s="41" customFormat="1" ht="25.5" customHeight="1">
      <c r="A7" s="221" t="s">
        <v>22</v>
      </c>
      <c r="B7" s="212" t="s">
        <v>23</v>
      </c>
      <c r="C7" s="212" t="s">
        <v>24</v>
      </c>
      <c r="D7" s="212" t="s">
        <v>25</v>
      </c>
      <c r="E7" s="212" t="s">
        <v>7</v>
      </c>
      <c r="F7" s="212" t="s">
        <v>26</v>
      </c>
      <c r="G7" s="212" t="s">
        <v>20</v>
      </c>
      <c r="H7" s="225" t="s">
        <v>27</v>
      </c>
      <c r="I7" s="318" t="s">
        <v>28</v>
      </c>
      <c r="J7" s="212"/>
      <c r="K7" s="319"/>
      <c r="L7" s="407"/>
      <c r="M7" s="402"/>
      <c r="N7" s="402"/>
      <c r="O7" s="402"/>
      <c r="P7" s="408"/>
      <c r="Q7" s="407"/>
      <c r="R7" s="402"/>
      <c r="S7" s="402"/>
      <c r="T7" s="402"/>
      <c r="U7" s="409"/>
      <c r="V7" s="401"/>
      <c r="W7" s="403" t="s">
        <v>93</v>
      </c>
      <c r="X7" s="403"/>
      <c r="Y7" s="403"/>
      <c r="Z7" s="406"/>
      <c r="AA7" s="410"/>
      <c r="AB7" s="403"/>
      <c r="AC7" s="403"/>
      <c r="AD7" s="403"/>
      <c r="AE7" s="404"/>
      <c r="AF7" s="405"/>
      <c r="AG7" s="403"/>
      <c r="AH7" s="403"/>
      <c r="AI7" s="403"/>
      <c r="AJ7" s="406"/>
      <c r="AK7" s="410"/>
      <c r="AL7" s="403"/>
      <c r="AM7" s="403"/>
      <c r="AN7" s="403"/>
      <c r="AO7" s="404"/>
      <c r="AP7" s="405"/>
      <c r="AQ7" s="403"/>
      <c r="AR7" s="403"/>
      <c r="AS7" s="403"/>
      <c r="AT7" s="406"/>
      <c r="AU7" s="410"/>
      <c r="AV7" s="403"/>
      <c r="AW7" s="403"/>
      <c r="AX7" s="403"/>
      <c r="AY7" s="404"/>
      <c r="AZ7" s="405"/>
      <c r="BA7" s="403"/>
      <c r="BB7" s="403"/>
      <c r="BC7" s="403"/>
      <c r="BD7" s="406"/>
      <c r="BE7" s="410"/>
      <c r="BF7" s="403"/>
      <c r="BG7" s="403"/>
      <c r="BH7" s="403"/>
      <c r="BI7" s="404"/>
      <c r="BJ7" s="405"/>
      <c r="BK7" s="403"/>
      <c r="BL7" s="403"/>
      <c r="BM7" s="403"/>
      <c r="BN7" s="406"/>
      <c r="BO7" s="410"/>
      <c r="BP7" s="403"/>
      <c r="BQ7" s="403"/>
      <c r="BR7" s="403"/>
      <c r="BS7" s="404"/>
      <c r="BT7" s="405"/>
      <c r="BU7" s="403"/>
      <c r="BV7" s="403"/>
      <c r="BW7" s="403"/>
      <c r="BX7" s="406"/>
      <c r="BY7" s="410"/>
      <c r="BZ7" s="403"/>
      <c r="CA7" s="403"/>
      <c r="CB7" s="403"/>
      <c r="CC7" s="404"/>
      <c r="CD7" s="405"/>
      <c r="CE7" s="403"/>
      <c r="CF7" s="403"/>
      <c r="CG7" s="403"/>
      <c r="CH7" s="404"/>
      <c r="CI7" s="405"/>
      <c r="CJ7" s="403"/>
      <c r="CK7" s="403"/>
      <c r="CL7" s="403"/>
      <c r="CM7" s="406"/>
    </row>
    <row r="8" spans="1:121" s="41" customFormat="1" ht="25.5" customHeight="1">
      <c r="A8" s="222"/>
      <c r="B8" s="213"/>
      <c r="C8" s="213"/>
      <c r="D8" s="213"/>
      <c r="E8" s="213"/>
      <c r="F8" s="213"/>
      <c r="G8" s="213"/>
      <c r="H8" s="226"/>
      <c r="I8" s="42"/>
      <c r="J8" s="214" t="s">
        <v>29</v>
      </c>
      <c r="K8" s="320"/>
      <c r="L8" s="388"/>
      <c r="M8" s="387"/>
      <c r="N8" s="387"/>
      <c r="O8" s="387"/>
      <c r="P8" s="389"/>
      <c r="Q8" s="388"/>
      <c r="R8" s="387"/>
      <c r="S8" s="387"/>
      <c r="T8" s="387"/>
      <c r="U8" s="390"/>
      <c r="V8" s="386"/>
      <c r="W8" s="372" t="s">
        <v>93</v>
      </c>
      <c r="X8" s="372"/>
      <c r="Y8" s="372"/>
      <c r="Z8" s="373"/>
      <c r="AA8" s="374"/>
      <c r="AB8" s="372"/>
      <c r="AC8" s="372"/>
      <c r="AD8" s="372"/>
      <c r="AE8" s="371"/>
      <c r="AF8" s="375"/>
      <c r="AG8" s="372"/>
      <c r="AH8" s="372"/>
      <c r="AI8" s="372"/>
      <c r="AJ8" s="373"/>
      <c r="AK8" s="374"/>
      <c r="AL8" s="372"/>
      <c r="AM8" s="372"/>
      <c r="AN8" s="372"/>
      <c r="AO8" s="371"/>
      <c r="AP8" s="375"/>
      <c r="AQ8" s="372"/>
      <c r="AR8" s="372"/>
      <c r="AS8" s="372"/>
      <c r="AT8" s="373"/>
      <c r="AU8" s="374"/>
      <c r="AV8" s="372"/>
      <c r="AW8" s="372"/>
      <c r="AX8" s="372"/>
      <c r="AY8" s="371"/>
      <c r="AZ8" s="375"/>
      <c r="BA8" s="372"/>
      <c r="BB8" s="372"/>
      <c r="BC8" s="372"/>
      <c r="BD8" s="373"/>
      <c r="BE8" s="374"/>
      <c r="BF8" s="372"/>
      <c r="BG8" s="372"/>
      <c r="BH8" s="372"/>
      <c r="BI8" s="371"/>
      <c r="BJ8" s="375"/>
      <c r="BK8" s="372"/>
      <c r="BL8" s="372"/>
      <c r="BM8" s="372"/>
      <c r="BN8" s="373"/>
      <c r="BO8" s="374"/>
      <c r="BP8" s="372"/>
      <c r="BQ8" s="372"/>
      <c r="BR8" s="372"/>
      <c r="BS8" s="371"/>
      <c r="BT8" s="375"/>
      <c r="BU8" s="372"/>
      <c r="BV8" s="372"/>
      <c r="BW8" s="372"/>
      <c r="BX8" s="373"/>
      <c r="BY8" s="374"/>
      <c r="BZ8" s="372"/>
      <c r="CA8" s="372"/>
      <c r="CB8" s="372"/>
      <c r="CC8" s="371"/>
      <c r="CD8" s="375"/>
      <c r="CE8" s="372"/>
      <c r="CF8" s="372"/>
      <c r="CG8" s="372"/>
      <c r="CH8" s="371"/>
      <c r="CI8" s="375"/>
      <c r="CJ8" s="372"/>
      <c r="CK8" s="372"/>
      <c r="CL8" s="372"/>
      <c r="CM8" s="373"/>
    </row>
    <row r="9" spans="1:121" s="41" customFormat="1" ht="25.5" customHeight="1" thickBot="1">
      <c r="A9" s="315"/>
      <c r="B9" s="316"/>
      <c r="C9" s="316"/>
      <c r="D9" s="316"/>
      <c r="E9" s="316"/>
      <c r="F9" s="316"/>
      <c r="G9" s="316"/>
      <c r="H9" s="317"/>
      <c r="I9" s="43"/>
      <c r="J9" s="191"/>
      <c r="K9" s="44" t="s">
        <v>30</v>
      </c>
      <c r="L9" s="413"/>
      <c r="M9" s="412"/>
      <c r="N9" s="412"/>
      <c r="O9" s="412"/>
      <c r="P9" s="414"/>
      <c r="Q9" s="413"/>
      <c r="R9" s="412"/>
      <c r="S9" s="412"/>
      <c r="T9" s="412"/>
      <c r="U9" s="415"/>
      <c r="V9" s="411"/>
      <c r="W9" s="377" t="s">
        <v>93</v>
      </c>
      <c r="X9" s="377"/>
      <c r="Y9" s="377"/>
      <c r="Z9" s="378"/>
      <c r="AA9" s="379"/>
      <c r="AB9" s="377"/>
      <c r="AC9" s="377"/>
      <c r="AD9" s="377"/>
      <c r="AE9" s="376"/>
      <c r="AF9" s="380"/>
      <c r="AG9" s="377"/>
      <c r="AH9" s="377"/>
      <c r="AI9" s="377"/>
      <c r="AJ9" s="378"/>
      <c r="AK9" s="379"/>
      <c r="AL9" s="377"/>
      <c r="AM9" s="377"/>
      <c r="AN9" s="377"/>
      <c r="AO9" s="376"/>
      <c r="AP9" s="380"/>
      <c r="AQ9" s="377"/>
      <c r="AR9" s="377"/>
      <c r="AS9" s="377"/>
      <c r="AT9" s="378"/>
      <c r="AU9" s="379"/>
      <c r="AV9" s="377"/>
      <c r="AW9" s="377"/>
      <c r="AX9" s="377"/>
      <c r="AY9" s="376"/>
      <c r="AZ9" s="380"/>
      <c r="BA9" s="377"/>
      <c r="BB9" s="377"/>
      <c r="BC9" s="377"/>
      <c r="BD9" s="378"/>
      <c r="BE9" s="379"/>
      <c r="BF9" s="377"/>
      <c r="BG9" s="377"/>
      <c r="BH9" s="377"/>
      <c r="BI9" s="376"/>
      <c r="BJ9" s="380"/>
      <c r="BK9" s="377"/>
      <c r="BL9" s="377"/>
      <c r="BM9" s="377"/>
      <c r="BN9" s="378"/>
      <c r="BO9" s="379"/>
      <c r="BP9" s="377"/>
      <c r="BQ9" s="377"/>
      <c r="BR9" s="377"/>
      <c r="BS9" s="376"/>
      <c r="BT9" s="380"/>
      <c r="BU9" s="377"/>
      <c r="BV9" s="377"/>
      <c r="BW9" s="377"/>
      <c r="BX9" s="378"/>
      <c r="BY9" s="379"/>
      <c r="BZ9" s="377"/>
      <c r="CA9" s="377"/>
      <c r="CB9" s="377"/>
      <c r="CC9" s="376"/>
      <c r="CD9" s="380"/>
      <c r="CE9" s="377"/>
      <c r="CF9" s="377"/>
      <c r="CG9" s="377"/>
      <c r="CH9" s="376"/>
      <c r="CI9" s="380"/>
      <c r="CJ9" s="377"/>
      <c r="CK9" s="377"/>
      <c r="CL9" s="377"/>
      <c r="CM9" s="378"/>
    </row>
    <row r="10" spans="1:121" ht="25.5" hidden="1" customHeight="1">
      <c r="A10" s="100">
        <v>4153</v>
      </c>
      <c r="B10" s="101" t="s">
        <v>11</v>
      </c>
      <c r="C10" s="101" t="s">
        <v>44</v>
      </c>
      <c r="D10" s="101" t="s">
        <v>76</v>
      </c>
      <c r="E10" s="102" t="s">
        <v>53</v>
      </c>
      <c r="F10" s="101"/>
      <c r="G10" s="102" t="s">
        <v>874</v>
      </c>
      <c r="H10" s="177" t="s">
        <v>54</v>
      </c>
      <c r="I10" s="104"/>
      <c r="J10" s="102"/>
      <c r="K10" s="103"/>
      <c r="L10" s="347" t="s">
        <v>78</v>
      </c>
      <c r="M10" s="342" t="s">
        <v>77</v>
      </c>
      <c r="N10" s="342"/>
      <c r="O10" s="342" t="s">
        <v>77</v>
      </c>
      <c r="P10" s="348" t="s">
        <v>77</v>
      </c>
      <c r="Q10" s="347"/>
      <c r="R10" s="342"/>
      <c r="S10" s="342"/>
      <c r="T10" s="342"/>
      <c r="U10" s="349" t="s">
        <v>80</v>
      </c>
      <c r="V10" s="341"/>
      <c r="W10" s="343"/>
      <c r="X10" s="343"/>
      <c r="Y10" s="343"/>
      <c r="Z10" s="346"/>
      <c r="AA10" s="350"/>
      <c r="AB10" s="343"/>
      <c r="AC10" s="343"/>
      <c r="AD10" s="343"/>
      <c r="AE10" s="344"/>
      <c r="AF10" s="345"/>
      <c r="AG10" s="343"/>
      <c r="AH10" s="343"/>
      <c r="AI10" s="343"/>
      <c r="AJ10" s="346"/>
      <c r="AK10" s="350"/>
      <c r="AL10" s="343"/>
      <c r="AM10" s="343"/>
      <c r="AN10" s="343"/>
      <c r="AO10" s="344"/>
      <c r="AP10" s="345"/>
      <c r="AQ10" s="343"/>
      <c r="AR10" s="343"/>
      <c r="AS10" s="343"/>
      <c r="AT10" s="346"/>
      <c r="AU10" s="350"/>
      <c r="AV10" s="343"/>
      <c r="AW10" s="343"/>
      <c r="AX10" s="343"/>
      <c r="AY10" s="344"/>
      <c r="AZ10" s="345"/>
      <c r="BA10" s="343"/>
      <c r="BB10" s="343"/>
      <c r="BC10" s="343"/>
      <c r="BD10" s="346"/>
      <c r="BE10" s="350"/>
      <c r="BF10" s="343"/>
      <c r="BG10" s="343"/>
      <c r="BH10" s="343"/>
      <c r="BI10" s="344"/>
      <c r="BJ10" s="345"/>
      <c r="BK10" s="343"/>
      <c r="BL10" s="343"/>
      <c r="BM10" s="343"/>
      <c r="BN10" s="346"/>
      <c r="BO10" s="350"/>
      <c r="BP10" s="343"/>
      <c r="BQ10" s="343"/>
      <c r="BR10" s="343"/>
      <c r="BS10" s="344"/>
      <c r="BT10" s="345"/>
      <c r="BU10" s="343"/>
      <c r="BV10" s="343"/>
      <c r="BW10" s="343"/>
      <c r="BX10" s="346"/>
      <c r="BY10" s="350"/>
      <c r="BZ10" s="343"/>
      <c r="CA10" s="343"/>
      <c r="CB10" s="343"/>
      <c r="CC10" s="344"/>
      <c r="CD10" s="345"/>
      <c r="CE10" s="343"/>
      <c r="CF10" s="343"/>
      <c r="CG10" s="343"/>
      <c r="CH10" s="344"/>
      <c r="CI10" s="345"/>
      <c r="CJ10" s="343"/>
      <c r="CK10" s="343"/>
      <c r="CL10" s="343"/>
      <c r="CM10" s="346"/>
      <c r="CN10" s="45"/>
      <c r="CO10" s="45"/>
      <c r="CP10" s="45"/>
      <c r="CQ10" s="45"/>
      <c r="CR10" s="45"/>
      <c r="CS10" s="45"/>
      <c r="CT10" s="45"/>
      <c r="CU10" s="45"/>
      <c r="CV10" s="45"/>
      <c r="CW10" s="45"/>
      <c r="CX10" s="45"/>
      <c r="CY10" s="45"/>
      <c r="CZ10" s="45"/>
      <c r="DA10" s="45"/>
      <c r="DB10" s="45"/>
      <c r="DC10" s="45"/>
      <c r="DD10" s="45"/>
      <c r="DE10" s="45"/>
      <c r="DF10" s="45"/>
      <c r="DG10" s="45"/>
      <c r="DH10" s="45"/>
      <c r="DI10" s="45"/>
      <c r="DJ10" s="45"/>
      <c r="DK10" s="45"/>
      <c r="DL10" s="45"/>
      <c r="DM10" s="45"/>
      <c r="DN10" s="45"/>
    </row>
    <row r="11" spans="1:121" ht="25.5" customHeight="1">
      <c r="A11" s="321">
        <v>4154</v>
      </c>
      <c r="B11" s="322" t="s">
        <v>11</v>
      </c>
      <c r="C11" s="322" t="s">
        <v>44</v>
      </c>
      <c r="D11" s="322" t="s">
        <v>76</v>
      </c>
      <c r="E11" s="323" t="s">
        <v>53</v>
      </c>
      <c r="F11" s="322"/>
      <c r="G11" s="323" t="s">
        <v>876</v>
      </c>
      <c r="H11" s="324" t="s">
        <v>54</v>
      </c>
      <c r="I11" s="325"/>
      <c r="J11" s="323"/>
      <c r="K11" s="326"/>
      <c r="L11" s="327" t="s">
        <v>78</v>
      </c>
      <c r="M11" s="322" t="s">
        <v>77</v>
      </c>
      <c r="N11" s="322"/>
      <c r="O11" s="322" t="s">
        <v>77</v>
      </c>
      <c r="P11" s="328" t="s">
        <v>77</v>
      </c>
      <c r="Q11" s="327"/>
      <c r="R11" s="322"/>
      <c r="S11" s="322"/>
      <c r="T11" s="322"/>
      <c r="U11" s="329" t="s">
        <v>80</v>
      </c>
      <c r="V11" s="321"/>
      <c r="W11" s="323"/>
      <c r="X11" s="323"/>
      <c r="Y11" s="323"/>
      <c r="Z11" s="326"/>
      <c r="AA11" s="330"/>
      <c r="AB11" s="323"/>
      <c r="AC11" s="323"/>
      <c r="AD11" s="323"/>
      <c r="AE11" s="324"/>
      <c r="AF11" s="325"/>
      <c r="AG11" s="323"/>
      <c r="AH11" s="323"/>
      <c r="AI11" s="323"/>
      <c r="AJ11" s="326"/>
      <c r="AK11" s="330"/>
      <c r="AL11" s="323"/>
      <c r="AM11" s="323"/>
      <c r="AN11" s="323"/>
      <c r="AO11" s="324"/>
      <c r="AP11" s="325"/>
      <c r="AQ11" s="323"/>
      <c r="AR11" s="323"/>
      <c r="AS11" s="323"/>
      <c r="AT11" s="326"/>
      <c r="AU11" s="330"/>
      <c r="AV11" s="323"/>
      <c r="AW11" s="323"/>
      <c r="AX11" s="323"/>
      <c r="AY11" s="324"/>
      <c r="AZ11" s="325"/>
      <c r="BA11" s="323"/>
      <c r="BB11" s="323"/>
      <c r="BC11" s="323"/>
      <c r="BD11" s="326"/>
      <c r="BE11" s="330"/>
      <c r="BF11" s="323"/>
      <c r="BG11" s="323"/>
      <c r="BH11" s="323"/>
      <c r="BI11" s="324"/>
      <c r="BJ11" s="325"/>
      <c r="BK11" s="323"/>
      <c r="BL11" s="323"/>
      <c r="BM11" s="323"/>
      <c r="BN11" s="326"/>
      <c r="BO11" s="330"/>
      <c r="BP11" s="323"/>
      <c r="BQ11" s="323"/>
      <c r="BR11" s="323"/>
      <c r="BS11" s="324"/>
      <c r="BT11" s="325"/>
      <c r="BU11" s="323"/>
      <c r="BV11" s="323"/>
      <c r="BW11" s="323"/>
      <c r="BX11" s="326"/>
      <c r="BY11" s="330"/>
      <c r="BZ11" s="323"/>
      <c r="CA11" s="323"/>
      <c r="CB11" s="323"/>
      <c r="CC11" s="324"/>
      <c r="CD11" s="325"/>
      <c r="CE11" s="323"/>
      <c r="CF11" s="323"/>
      <c r="CG11" s="323"/>
      <c r="CH11" s="324"/>
      <c r="CI11" s="325"/>
      <c r="CJ11" s="323"/>
      <c r="CK11" s="323"/>
      <c r="CL11" s="323"/>
      <c r="CM11" s="326"/>
      <c r="CN11" s="46"/>
      <c r="CO11" s="45"/>
      <c r="CP11" s="45"/>
      <c r="CQ11" s="45"/>
      <c r="CR11" s="46"/>
      <c r="CS11" s="45"/>
      <c r="CT11" s="45"/>
      <c r="CU11" s="45"/>
      <c r="CV11" s="45"/>
      <c r="CW11" s="45"/>
      <c r="CX11" s="46"/>
      <c r="CY11" s="45"/>
      <c r="CZ11" s="45"/>
      <c r="DA11" s="46"/>
      <c r="DB11" s="47"/>
      <c r="DC11" s="46"/>
      <c r="DD11" s="46"/>
      <c r="DE11" s="45"/>
      <c r="DF11" s="46"/>
      <c r="DG11" s="46"/>
      <c r="DH11" s="45"/>
      <c r="DI11" s="45"/>
      <c r="DJ11" s="45"/>
      <c r="DK11" s="45"/>
      <c r="DL11" s="45"/>
      <c r="DM11" s="45"/>
      <c r="DN11" s="45"/>
    </row>
    <row r="12" spans="1:121" ht="25.5" customHeight="1">
      <c r="A12" s="321">
        <v>4155</v>
      </c>
      <c r="B12" s="322" t="s">
        <v>11</v>
      </c>
      <c r="C12" s="322" t="s">
        <v>44</v>
      </c>
      <c r="D12" s="322" t="s">
        <v>76</v>
      </c>
      <c r="E12" s="323" t="s">
        <v>53</v>
      </c>
      <c r="F12" s="322"/>
      <c r="G12" s="323" t="s">
        <v>878</v>
      </c>
      <c r="H12" s="324" t="s">
        <v>54</v>
      </c>
      <c r="I12" s="325"/>
      <c r="J12" s="323"/>
      <c r="K12" s="326"/>
      <c r="L12" s="327" t="s">
        <v>78</v>
      </c>
      <c r="M12" s="322" t="s">
        <v>77</v>
      </c>
      <c r="N12" s="322"/>
      <c r="O12" s="322" t="s">
        <v>77</v>
      </c>
      <c r="P12" s="328" t="s">
        <v>77</v>
      </c>
      <c r="Q12" s="327"/>
      <c r="R12" s="322"/>
      <c r="S12" s="322"/>
      <c r="T12" s="322"/>
      <c r="U12" s="329" t="s">
        <v>80</v>
      </c>
      <c r="V12" s="321"/>
      <c r="W12" s="323"/>
      <c r="X12" s="323"/>
      <c r="Y12" s="323"/>
      <c r="Z12" s="326"/>
      <c r="AA12" s="330"/>
      <c r="AB12" s="323"/>
      <c r="AC12" s="323"/>
      <c r="AD12" s="323"/>
      <c r="AE12" s="324"/>
      <c r="AF12" s="325"/>
      <c r="AG12" s="323"/>
      <c r="AH12" s="323"/>
      <c r="AI12" s="323"/>
      <c r="AJ12" s="326"/>
      <c r="AK12" s="330"/>
      <c r="AL12" s="323"/>
      <c r="AM12" s="323"/>
      <c r="AN12" s="323"/>
      <c r="AO12" s="324"/>
      <c r="AP12" s="325"/>
      <c r="AQ12" s="323"/>
      <c r="AR12" s="323"/>
      <c r="AS12" s="323"/>
      <c r="AT12" s="326"/>
      <c r="AU12" s="330"/>
      <c r="AV12" s="323"/>
      <c r="AW12" s="323"/>
      <c r="AX12" s="323"/>
      <c r="AY12" s="324"/>
      <c r="AZ12" s="325"/>
      <c r="BA12" s="323"/>
      <c r="BB12" s="323"/>
      <c r="BC12" s="323"/>
      <c r="BD12" s="326"/>
      <c r="BE12" s="330"/>
      <c r="BF12" s="323"/>
      <c r="BG12" s="323"/>
      <c r="BH12" s="323"/>
      <c r="BI12" s="324"/>
      <c r="BJ12" s="325"/>
      <c r="BK12" s="323"/>
      <c r="BL12" s="323"/>
      <c r="BM12" s="323"/>
      <c r="BN12" s="326"/>
      <c r="BO12" s="330"/>
      <c r="BP12" s="323"/>
      <c r="BQ12" s="323"/>
      <c r="BR12" s="323"/>
      <c r="BS12" s="324"/>
      <c r="BT12" s="325"/>
      <c r="BU12" s="323"/>
      <c r="BV12" s="323"/>
      <c r="BW12" s="323"/>
      <c r="BX12" s="326"/>
      <c r="BY12" s="330"/>
      <c r="BZ12" s="323"/>
      <c r="CA12" s="323"/>
      <c r="CB12" s="323"/>
      <c r="CC12" s="324"/>
      <c r="CD12" s="325"/>
      <c r="CE12" s="323"/>
      <c r="CF12" s="323"/>
      <c r="CG12" s="323"/>
      <c r="CH12" s="324"/>
      <c r="CI12" s="325"/>
      <c r="CJ12" s="323"/>
      <c r="CK12" s="323"/>
      <c r="CL12" s="323"/>
      <c r="CM12" s="326"/>
      <c r="CN12" s="45"/>
      <c r="CO12" s="45"/>
      <c r="CP12" s="45"/>
      <c r="CQ12" s="45"/>
      <c r="CR12" s="45"/>
      <c r="CS12" s="45"/>
      <c r="CT12" s="45"/>
      <c r="CU12" s="45"/>
      <c r="CV12" s="45"/>
      <c r="CW12" s="45"/>
      <c r="CX12" s="46"/>
      <c r="CY12" s="45"/>
      <c r="CZ12" s="45"/>
      <c r="DA12" s="46"/>
      <c r="DB12" s="45"/>
      <c r="DC12" s="46"/>
      <c r="DD12" s="46"/>
      <c r="DE12" s="45"/>
      <c r="DF12" s="46"/>
      <c r="DG12" s="46"/>
      <c r="DH12" s="45"/>
      <c r="DI12" s="45"/>
      <c r="DJ12" s="45"/>
      <c r="DK12" s="45"/>
      <c r="DL12" s="45"/>
      <c r="DM12" s="45"/>
      <c r="DN12" s="45"/>
    </row>
    <row r="13" spans="1:121" ht="25.5" hidden="1" customHeight="1">
      <c r="A13" s="321">
        <v>4156</v>
      </c>
      <c r="B13" s="322" t="s">
        <v>11</v>
      </c>
      <c r="C13" s="322" t="s">
        <v>44</v>
      </c>
      <c r="D13" s="322" t="s">
        <v>76</v>
      </c>
      <c r="E13" s="323" t="s">
        <v>53</v>
      </c>
      <c r="F13" s="322"/>
      <c r="G13" s="323" t="s">
        <v>880</v>
      </c>
      <c r="H13" s="324" t="s">
        <v>54</v>
      </c>
      <c r="I13" s="325"/>
      <c r="J13" s="323"/>
      <c r="K13" s="326"/>
      <c r="L13" s="327" t="s">
        <v>78</v>
      </c>
      <c r="M13" s="322" t="s">
        <v>77</v>
      </c>
      <c r="N13" s="322"/>
      <c r="O13" s="322" t="s">
        <v>77</v>
      </c>
      <c r="P13" s="328" t="s">
        <v>77</v>
      </c>
      <c r="Q13" s="327"/>
      <c r="R13" s="322"/>
      <c r="S13" s="322"/>
      <c r="T13" s="322"/>
      <c r="U13" s="329" t="s">
        <v>80</v>
      </c>
      <c r="V13" s="321"/>
      <c r="W13" s="323"/>
      <c r="X13" s="323"/>
      <c r="Y13" s="323"/>
      <c r="Z13" s="326"/>
      <c r="AA13" s="330"/>
      <c r="AB13" s="323"/>
      <c r="AC13" s="323"/>
      <c r="AD13" s="323"/>
      <c r="AE13" s="324"/>
      <c r="AF13" s="325"/>
      <c r="AG13" s="323"/>
      <c r="AH13" s="323"/>
      <c r="AI13" s="323"/>
      <c r="AJ13" s="326"/>
      <c r="AK13" s="330"/>
      <c r="AL13" s="323"/>
      <c r="AM13" s="323"/>
      <c r="AN13" s="323"/>
      <c r="AO13" s="324"/>
      <c r="AP13" s="325"/>
      <c r="AQ13" s="323"/>
      <c r="AR13" s="323"/>
      <c r="AS13" s="323"/>
      <c r="AT13" s="326"/>
      <c r="AU13" s="330"/>
      <c r="AV13" s="323"/>
      <c r="AW13" s="323"/>
      <c r="AX13" s="323"/>
      <c r="AY13" s="324"/>
      <c r="AZ13" s="325"/>
      <c r="BA13" s="323"/>
      <c r="BB13" s="323"/>
      <c r="BC13" s="323"/>
      <c r="BD13" s="326"/>
      <c r="BE13" s="330"/>
      <c r="BF13" s="323"/>
      <c r="BG13" s="323"/>
      <c r="BH13" s="323"/>
      <c r="BI13" s="324"/>
      <c r="BJ13" s="325"/>
      <c r="BK13" s="323"/>
      <c r="BL13" s="323"/>
      <c r="BM13" s="323"/>
      <c r="BN13" s="326"/>
      <c r="BO13" s="330"/>
      <c r="BP13" s="323"/>
      <c r="BQ13" s="323"/>
      <c r="BR13" s="323"/>
      <c r="BS13" s="324"/>
      <c r="BT13" s="325"/>
      <c r="BU13" s="323"/>
      <c r="BV13" s="323"/>
      <c r="BW13" s="323"/>
      <c r="BX13" s="326"/>
      <c r="BY13" s="330"/>
      <c r="BZ13" s="323"/>
      <c r="CA13" s="323"/>
      <c r="CB13" s="323"/>
      <c r="CC13" s="324"/>
      <c r="CD13" s="325"/>
      <c r="CE13" s="323"/>
      <c r="CF13" s="323"/>
      <c r="CG13" s="323"/>
      <c r="CH13" s="324"/>
      <c r="CI13" s="325"/>
      <c r="CJ13" s="323"/>
      <c r="CK13" s="323"/>
      <c r="CL13" s="323"/>
      <c r="CM13" s="326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  <c r="DA13" s="45"/>
      <c r="DB13" s="45"/>
      <c r="DC13" s="45"/>
      <c r="DD13" s="45"/>
      <c r="DE13" s="45"/>
      <c r="DF13" s="45"/>
      <c r="DG13" s="46"/>
      <c r="DH13" s="45"/>
      <c r="DI13" s="45"/>
      <c r="DJ13" s="45"/>
      <c r="DK13" s="45"/>
      <c r="DL13" s="45"/>
      <c r="DM13" s="45"/>
      <c r="DN13" s="45"/>
    </row>
    <row r="14" spans="1:121" ht="25.5" hidden="1" customHeight="1" thickBot="1">
      <c r="A14" s="331">
        <v>4157</v>
      </c>
      <c r="B14" s="332" t="s">
        <v>11</v>
      </c>
      <c r="C14" s="332" t="s">
        <v>44</v>
      </c>
      <c r="D14" s="332" t="s">
        <v>76</v>
      </c>
      <c r="E14" s="333" t="s">
        <v>53</v>
      </c>
      <c r="F14" s="332"/>
      <c r="G14" s="333" t="s">
        <v>882</v>
      </c>
      <c r="H14" s="334" t="s">
        <v>54</v>
      </c>
      <c r="I14" s="335"/>
      <c r="J14" s="333"/>
      <c r="K14" s="336"/>
      <c r="L14" s="337" t="s">
        <v>78</v>
      </c>
      <c r="M14" s="332" t="s">
        <v>77</v>
      </c>
      <c r="N14" s="332"/>
      <c r="O14" s="332" t="s">
        <v>77</v>
      </c>
      <c r="P14" s="338" t="s">
        <v>77</v>
      </c>
      <c r="Q14" s="337"/>
      <c r="R14" s="332"/>
      <c r="S14" s="332"/>
      <c r="T14" s="332"/>
      <c r="U14" s="339" t="s">
        <v>80</v>
      </c>
      <c r="V14" s="331"/>
      <c r="W14" s="333"/>
      <c r="X14" s="333"/>
      <c r="Y14" s="333"/>
      <c r="Z14" s="336"/>
      <c r="AA14" s="340"/>
      <c r="AB14" s="333"/>
      <c r="AC14" s="333"/>
      <c r="AD14" s="333"/>
      <c r="AE14" s="334"/>
      <c r="AF14" s="335"/>
      <c r="AG14" s="333"/>
      <c r="AH14" s="333"/>
      <c r="AI14" s="333"/>
      <c r="AJ14" s="336"/>
      <c r="AK14" s="340"/>
      <c r="AL14" s="333"/>
      <c r="AM14" s="333"/>
      <c r="AN14" s="333"/>
      <c r="AO14" s="334"/>
      <c r="AP14" s="335"/>
      <c r="AQ14" s="333"/>
      <c r="AR14" s="333"/>
      <c r="AS14" s="333"/>
      <c r="AT14" s="336"/>
      <c r="AU14" s="340"/>
      <c r="AV14" s="333"/>
      <c r="AW14" s="333"/>
      <c r="AX14" s="333"/>
      <c r="AY14" s="334"/>
      <c r="AZ14" s="335"/>
      <c r="BA14" s="333"/>
      <c r="BB14" s="333"/>
      <c r="BC14" s="333"/>
      <c r="BD14" s="336"/>
      <c r="BE14" s="340"/>
      <c r="BF14" s="333"/>
      <c r="BG14" s="333"/>
      <c r="BH14" s="333"/>
      <c r="BI14" s="334"/>
      <c r="BJ14" s="335"/>
      <c r="BK14" s="333"/>
      <c r="BL14" s="333"/>
      <c r="BM14" s="333"/>
      <c r="BN14" s="336"/>
      <c r="BO14" s="340"/>
      <c r="BP14" s="333"/>
      <c r="BQ14" s="333"/>
      <c r="BR14" s="333"/>
      <c r="BS14" s="334"/>
      <c r="BT14" s="335"/>
      <c r="BU14" s="333"/>
      <c r="BV14" s="333"/>
      <c r="BW14" s="333"/>
      <c r="BX14" s="336"/>
      <c r="BY14" s="340"/>
      <c r="BZ14" s="333"/>
      <c r="CA14" s="333"/>
      <c r="CB14" s="333"/>
      <c r="CC14" s="334"/>
      <c r="CD14" s="335"/>
      <c r="CE14" s="333"/>
      <c r="CF14" s="333"/>
      <c r="CG14" s="333"/>
      <c r="CH14" s="334"/>
      <c r="CI14" s="335"/>
      <c r="CJ14" s="333"/>
      <c r="CK14" s="333"/>
      <c r="CL14" s="333"/>
      <c r="CM14" s="336"/>
      <c r="CN14" s="45"/>
      <c r="CO14" s="45"/>
      <c r="CP14" s="45"/>
      <c r="CQ14" s="45"/>
      <c r="CR14" s="45"/>
      <c r="CS14" s="45"/>
      <c r="CT14" s="45"/>
      <c r="CU14" s="45"/>
      <c r="CV14" s="45"/>
      <c r="CW14" s="45"/>
      <c r="CX14" s="45"/>
      <c r="CY14" s="45"/>
      <c r="CZ14" s="45"/>
      <c r="DA14" s="45"/>
      <c r="DB14" s="45"/>
      <c r="DC14" s="45"/>
      <c r="DD14" s="45"/>
      <c r="DE14" s="45"/>
      <c r="DF14" s="45"/>
      <c r="DG14" s="46"/>
      <c r="DH14" s="45"/>
      <c r="DI14" s="45"/>
      <c r="DJ14" s="45"/>
      <c r="DK14" s="45"/>
      <c r="DL14" s="45"/>
      <c r="DM14" s="45"/>
      <c r="DN14" s="45"/>
    </row>
    <row r="15" spans="1:121" ht="25.5" customHeight="1">
      <c r="A15" s="341">
        <v>4158</v>
      </c>
      <c r="B15" s="342" t="s">
        <v>11</v>
      </c>
      <c r="C15" s="342" t="s">
        <v>44</v>
      </c>
      <c r="D15" s="342" t="s">
        <v>76</v>
      </c>
      <c r="E15" s="343" t="s">
        <v>53</v>
      </c>
      <c r="F15" s="342"/>
      <c r="G15" s="343" t="s">
        <v>884</v>
      </c>
      <c r="H15" s="344" t="s">
        <v>54</v>
      </c>
      <c r="I15" s="345"/>
      <c r="J15" s="343"/>
      <c r="K15" s="346"/>
      <c r="L15" s="347" t="s">
        <v>78</v>
      </c>
      <c r="M15" s="342" t="s">
        <v>77</v>
      </c>
      <c r="N15" s="342"/>
      <c r="O15" s="342" t="s">
        <v>77</v>
      </c>
      <c r="P15" s="348" t="s">
        <v>77</v>
      </c>
      <c r="Q15" s="347"/>
      <c r="R15" s="342"/>
      <c r="S15" s="342"/>
      <c r="T15" s="342"/>
      <c r="U15" s="349" t="s">
        <v>80</v>
      </c>
      <c r="V15" s="341"/>
      <c r="W15" s="343"/>
      <c r="X15" s="343"/>
      <c r="Y15" s="343"/>
      <c r="Z15" s="346"/>
      <c r="AA15" s="350"/>
      <c r="AB15" s="343"/>
      <c r="AC15" s="343"/>
      <c r="AD15" s="343"/>
      <c r="AE15" s="344"/>
      <c r="AF15" s="345"/>
      <c r="AG15" s="343"/>
      <c r="AH15" s="343"/>
      <c r="AI15" s="343"/>
      <c r="AJ15" s="346"/>
      <c r="AK15" s="350"/>
      <c r="AL15" s="343"/>
      <c r="AM15" s="343"/>
      <c r="AN15" s="343"/>
      <c r="AO15" s="344"/>
      <c r="AP15" s="345"/>
      <c r="AQ15" s="343"/>
      <c r="AR15" s="343"/>
      <c r="AS15" s="343"/>
      <c r="AT15" s="346"/>
      <c r="AU15" s="350"/>
      <c r="AV15" s="343"/>
      <c r="AW15" s="343"/>
      <c r="AX15" s="343"/>
      <c r="AY15" s="344"/>
      <c r="AZ15" s="345"/>
      <c r="BA15" s="343"/>
      <c r="BB15" s="343"/>
      <c r="BC15" s="343"/>
      <c r="BD15" s="346"/>
      <c r="BE15" s="350"/>
      <c r="BF15" s="343"/>
      <c r="BG15" s="343"/>
      <c r="BH15" s="343"/>
      <c r="BI15" s="344"/>
      <c r="BJ15" s="345"/>
      <c r="BK15" s="343"/>
      <c r="BL15" s="343"/>
      <c r="BM15" s="343"/>
      <c r="BN15" s="346"/>
      <c r="BO15" s="350"/>
      <c r="BP15" s="343"/>
      <c r="BQ15" s="343"/>
      <c r="BR15" s="343"/>
      <c r="BS15" s="344"/>
      <c r="BT15" s="345"/>
      <c r="BU15" s="343"/>
      <c r="BV15" s="343"/>
      <c r="BW15" s="343"/>
      <c r="BX15" s="346"/>
      <c r="BY15" s="350"/>
      <c r="BZ15" s="343"/>
      <c r="CA15" s="343"/>
      <c r="CB15" s="343"/>
      <c r="CC15" s="344"/>
      <c r="CD15" s="345"/>
      <c r="CE15" s="343"/>
      <c r="CF15" s="343"/>
      <c r="CG15" s="343"/>
      <c r="CH15" s="344"/>
      <c r="CI15" s="345"/>
      <c r="CJ15" s="343"/>
      <c r="CK15" s="343"/>
      <c r="CL15" s="343"/>
      <c r="CM15" s="346"/>
      <c r="CN15" s="45"/>
      <c r="CO15" s="45"/>
      <c r="CP15" s="46"/>
      <c r="CQ15" s="45"/>
      <c r="CR15" s="45"/>
      <c r="CS15" s="45"/>
      <c r="CT15" s="45"/>
      <c r="CU15" s="45"/>
      <c r="CV15" s="45"/>
      <c r="CW15" s="45"/>
      <c r="CX15" s="46"/>
      <c r="CY15" s="45"/>
      <c r="CZ15" s="45"/>
      <c r="DA15" s="46"/>
      <c r="DB15" s="45"/>
      <c r="DC15" s="46"/>
      <c r="DD15" s="46"/>
      <c r="DE15" s="45"/>
      <c r="DF15" s="46"/>
      <c r="DG15" s="46"/>
      <c r="DH15" s="45"/>
      <c r="DI15" s="46"/>
      <c r="DJ15" s="46"/>
      <c r="DK15" s="45"/>
      <c r="DL15" s="46"/>
      <c r="DM15" s="45"/>
      <c r="DN15" s="45"/>
    </row>
    <row r="16" spans="1:121" ht="25.5" customHeight="1">
      <c r="A16" s="321">
        <v>4159</v>
      </c>
      <c r="B16" s="322" t="s">
        <v>11</v>
      </c>
      <c r="C16" s="322" t="s">
        <v>44</v>
      </c>
      <c r="D16" s="322" t="s">
        <v>76</v>
      </c>
      <c r="E16" s="323" t="s">
        <v>53</v>
      </c>
      <c r="F16" s="322"/>
      <c r="G16" s="323" t="s">
        <v>886</v>
      </c>
      <c r="H16" s="324" t="s">
        <v>54</v>
      </c>
      <c r="I16" s="325"/>
      <c r="J16" s="323"/>
      <c r="K16" s="326"/>
      <c r="L16" s="327" t="s">
        <v>78</v>
      </c>
      <c r="M16" s="322" t="s">
        <v>77</v>
      </c>
      <c r="N16" s="322"/>
      <c r="O16" s="322" t="s">
        <v>77</v>
      </c>
      <c r="P16" s="328" t="s">
        <v>77</v>
      </c>
      <c r="Q16" s="327"/>
      <c r="R16" s="322"/>
      <c r="S16" s="322"/>
      <c r="T16" s="322"/>
      <c r="U16" s="329" t="s">
        <v>80</v>
      </c>
      <c r="V16" s="321"/>
      <c r="W16" s="323"/>
      <c r="X16" s="323"/>
      <c r="Y16" s="323"/>
      <c r="Z16" s="326"/>
      <c r="AA16" s="330"/>
      <c r="AB16" s="323"/>
      <c r="AC16" s="323"/>
      <c r="AD16" s="323"/>
      <c r="AE16" s="324"/>
      <c r="AF16" s="325"/>
      <c r="AG16" s="323"/>
      <c r="AH16" s="323"/>
      <c r="AI16" s="323"/>
      <c r="AJ16" s="326"/>
      <c r="AK16" s="330"/>
      <c r="AL16" s="323"/>
      <c r="AM16" s="323"/>
      <c r="AN16" s="323"/>
      <c r="AO16" s="324"/>
      <c r="AP16" s="325"/>
      <c r="AQ16" s="323"/>
      <c r="AR16" s="323"/>
      <c r="AS16" s="323"/>
      <c r="AT16" s="326"/>
      <c r="AU16" s="330"/>
      <c r="AV16" s="323"/>
      <c r="AW16" s="323"/>
      <c r="AX16" s="323"/>
      <c r="AY16" s="324"/>
      <c r="AZ16" s="325"/>
      <c r="BA16" s="323"/>
      <c r="BB16" s="323"/>
      <c r="BC16" s="323"/>
      <c r="BD16" s="326"/>
      <c r="BE16" s="330"/>
      <c r="BF16" s="323"/>
      <c r="BG16" s="323"/>
      <c r="BH16" s="323"/>
      <c r="BI16" s="324"/>
      <c r="BJ16" s="325"/>
      <c r="BK16" s="323"/>
      <c r="BL16" s="323"/>
      <c r="BM16" s="323"/>
      <c r="BN16" s="326"/>
      <c r="BO16" s="330"/>
      <c r="BP16" s="323"/>
      <c r="BQ16" s="323"/>
      <c r="BR16" s="323"/>
      <c r="BS16" s="324"/>
      <c r="BT16" s="325"/>
      <c r="BU16" s="323"/>
      <c r="BV16" s="323"/>
      <c r="BW16" s="323"/>
      <c r="BX16" s="326"/>
      <c r="BY16" s="330"/>
      <c r="BZ16" s="323"/>
      <c r="CA16" s="323"/>
      <c r="CB16" s="323"/>
      <c r="CC16" s="324"/>
      <c r="CD16" s="325"/>
      <c r="CE16" s="323"/>
      <c r="CF16" s="323"/>
      <c r="CG16" s="323"/>
      <c r="CH16" s="324"/>
      <c r="CI16" s="325"/>
      <c r="CJ16" s="323"/>
      <c r="CK16" s="323"/>
      <c r="CL16" s="323"/>
      <c r="CM16" s="326"/>
      <c r="CN16" s="45"/>
      <c r="CO16" s="45"/>
      <c r="CP16" s="45"/>
      <c r="CQ16" s="45"/>
      <c r="CR16" s="45"/>
      <c r="CS16" s="45"/>
      <c r="CT16" s="45"/>
      <c r="CU16" s="45"/>
      <c r="CV16" s="45"/>
      <c r="CW16" s="45"/>
      <c r="CX16" s="45"/>
      <c r="CY16" s="45"/>
      <c r="CZ16" s="45"/>
      <c r="DA16" s="45"/>
      <c r="DB16" s="45"/>
      <c r="DC16" s="45"/>
      <c r="DD16" s="45"/>
      <c r="DE16" s="45"/>
      <c r="DF16" s="45"/>
      <c r="DG16" s="45"/>
      <c r="DH16" s="45"/>
      <c r="DI16" s="45"/>
      <c r="DJ16" s="45"/>
      <c r="DK16" s="45"/>
      <c r="DL16" s="45"/>
      <c r="DM16" s="45"/>
      <c r="DN16" s="45"/>
    </row>
    <row r="17" spans="1:118" ht="25.5" customHeight="1">
      <c r="A17" s="321">
        <v>4160</v>
      </c>
      <c r="B17" s="322" t="s">
        <v>11</v>
      </c>
      <c r="C17" s="322" t="s">
        <v>44</v>
      </c>
      <c r="D17" s="322" t="s">
        <v>76</v>
      </c>
      <c r="E17" s="323" t="s">
        <v>53</v>
      </c>
      <c r="F17" s="322"/>
      <c r="G17" s="323" t="s">
        <v>888</v>
      </c>
      <c r="H17" s="324" t="s">
        <v>54</v>
      </c>
      <c r="I17" s="325"/>
      <c r="J17" s="323"/>
      <c r="K17" s="326"/>
      <c r="L17" s="327" t="s">
        <v>78</v>
      </c>
      <c r="M17" s="322" t="s">
        <v>77</v>
      </c>
      <c r="N17" s="322"/>
      <c r="O17" s="322" t="s">
        <v>77</v>
      </c>
      <c r="P17" s="328" t="s">
        <v>77</v>
      </c>
      <c r="Q17" s="327"/>
      <c r="R17" s="322"/>
      <c r="S17" s="322"/>
      <c r="T17" s="322"/>
      <c r="U17" s="329" t="s">
        <v>80</v>
      </c>
      <c r="V17" s="321"/>
      <c r="W17" s="323"/>
      <c r="X17" s="323"/>
      <c r="Y17" s="323"/>
      <c r="Z17" s="326"/>
      <c r="AA17" s="330"/>
      <c r="AB17" s="323"/>
      <c r="AC17" s="323"/>
      <c r="AD17" s="323"/>
      <c r="AE17" s="324"/>
      <c r="AF17" s="325"/>
      <c r="AG17" s="323"/>
      <c r="AH17" s="323"/>
      <c r="AI17" s="323"/>
      <c r="AJ17" s="326"/>
      <c r="AK17" s="330"/>
      <c r="AL17" s="323"/>
      <c r="AM17" s="323"/>
      <c r="AN17" s="323"/>
      <c r="AO17" s="324"/>
      <c r="AP17" s="325"/>
      <c r="AQ17" s="323"/>
      <c r="AR17" s="323"/>
      <c r="AS17" s="323"/>
      <c r="AT17" s="326"/>
      <c r="AU17" s="330"/>
      <c r="AV17" s="323"/>
      <c r="AW17" s="323"/>
      <c r="AX17" s="323"/>
      <c r="AY17" s="324"/>
      <c r="AZ17" s="325"/>
      <c r="BA17" s="323"/>
      <c r="BB17" s="323"/>
      <c r="BC17" s="323"/>
      <c r="BD17" s="326"/>
      <c r="BE17" s="330"/>
      <c r="BF17" s="323"/>
      <c r="BG17" s="323"/>
      <c r="BH17" s="323"/>
      <c r="BI17" s="324"/>
      <c r="BJ17" s="325"/>
      <c r="BK17" s="323"/>
      <c r="BL17" s="323"/>
      <c r="BM17" s="323"/>
      <c r="BN17" s="326"/>
      <c r="BO17" s="330"/>
      <c r="BP17" s="323"/>
      <c r="BQ17" s="323"/>
      <c r="BR17" s="323"/>
      <c r="BS17" s="324"/>
      <c r="BT17" s="325"/>
      <c r="BU17" s="323"/>
      <c r="BV17" s="323"/>
      <c r="BW17" s="323"/>
      <c r="BX17" s="326"/>
      <c r="BY17" s="330"/>
      <c r="BZ17" s="323"/>
      <c r="CA17" s="323"/>
      <c r="CB17" s="323"/>
      <c r="CC17" s="324"/>
      <c r="CD17" s="325"/>
      <c r="CE17" s="323"/>
      <c r="CF17" s="323"/>
      <c r="CG17" s="323"/>
      <c r="CH17" s="324"/>
      <c r="CI17" s="325"/>
      <c r="CJ17" s="323"/>
      <c r="CK17" s="323"/>
      <c r="CL17" s="323"/>
      <c r="CM17" s="326"/>
      <c r="CN17" s="45"/>
      <c r="CO17" s="45"/>
      <c r="CP17" s="45"/>
      <c r="CQ17" s="45"/>
      <c r="CR17" s="45"/>
      <c r="CS17" s="45"/>
      <c r="CT17" s="45"/>
      <c r="CU17" s="45"/>
      <c r="CV17" s="45"/>
      <c r="CW17" s="45"/>
      <c r="CX17" s="45"/>
      <c r="CY17" s="45"/>
      <c r="CZ17" s="45"/>
      <c r="DA17" s="45"/>
      <c r="DB17" s="45"/>
      <c r="DC17" s="45"/>
      <c r="DD17" s="45"/>
      <c r="DE17" s="45"/>
      <c r="DF17" s="45"/>
      <c r="DG17" s="45"/>
      <c r="DH17" s="45"/>
      <c r="DI17" s="45"/>
      <c r="DJ17" s="45"/>
      <c r="DK17" s="45"/>
      <c r="DL17" s="45"/>
      <c r="DM17" s="45"/>
      <c r="DN17" s="45"/>
    </row>
    <row r="18" spans="1:118" ht="25.5" customHeight="1">
      <c r="A18" s="321">
        <v>4161</v>
      </c>
      <c r="B18" s="322" t="s">
        <v>11</v>
      </c>
      <c r="C18" s="322" t="s">
        <v>44</v>
      </c>
      <c r="D18" s="322" t="s">
        <v>76</v>
      </c>
      <c r="E18" s="323" t="s">
        <v>53</v>
      </c>
      <c r="F18" s="322"/>
      <c r="G18" s="323" t="s">
        <v>890</v>
      </c>
      <c r="H18" s="324" t="s">
        <v>54</v>
      </c>
      <c r="I18" s="325"/>
      <c r="J18" s="323"/>
      <c r="K18" s="326"/>
      <c r="L18" s="327" t="s">
        <v>78</v>
      </c>
      <c r="M18" s="322" t="s">
        <v>77</v>
      </c>
      <c r="N18" s="322"/>
      <c r="O18" s="322" t="s">
        <v>77</v>
      </c>
      <c r="P18" s="328" t="s">
        <v>77</v>
      </c>
      <c r="Q18" s="327"/>
      <c r="R18" s="322"/>
      <c r="S18" s="322"/>
      <c r="T18" s="322"/>
      <c r="U18" s="329" t="s">
        <v>80</v>
      </c>
      <c r="V18" s="321"/>
      <c r="W18" s="323"/>
      <c r="X18" s="323"/>
      <c r="Y18" s="323"/>
      <c r="Z18" s="326"/>
      <c r="AA18" s="330"/>
      <c r="AB18" s="323"/>
      <c r="AC18" s="323"/>
      <c r="AD18" s="323"/>
      <c r="AE18" s="324"/>
      <c r="AF18" s="325"/>
      <c r="AG18" s="323"/>
      <c r="AH18" s="323"/>
      <c r="AI18" s="323"/>
      <c r="AJ18" s="326"/>
      <c r="AK18" s="330"/>
      <c r="AL18" s="323"/>
      <c r="AM18" s="323"/>
      <c r="AN18" s="323"/>
      <c r="AO18" s="324"/>
      <c r="AP18" s="325"/>
      <c r="AQ18" s="323"/>
      <c r="AR18" s="323"/>
      <c r="AS18" s="323"/>
      <c r="AT18" s="326"/>
      <c r="AU18" s="330"/>
      <c r="AV18" s="323"/>
      <c r="AW18" s="323"/>
      <c r="AX18" s="323"/>
      <c r="AY18" s="324"/>
      <c r="AZ18" s="325"/>
      <c r="BA18" s="323"/>
      <c r="BB18" s="323"/>
      <c r="BC18" s="323"/>
      <c r="BD18" s="326"/>
      <c r="BE18" s="330"/>
      <c r="BF18" s="323"/>
      <c r="BG18" s="323"/>
      <c r="BH18" s="323"/>
      <c r="BI18" s="324"/>
      <c r="BJ18" s="325"/>
      <c r="BK18" s="323"/>
      <c r="BL18" s="323"/>
      <c r="BM18" s="323"/>
      <c r="BN18" s="326"/>
      <c r="BO18" s="330"/>
      <c r="BP18" s="323"/>
      <c r="BQ18" s="323"/>
      <c r="BR18" s="323"/>
      <c r="BS18" s="324"/>
      <c r="BT18" s="325"/>
      <c r="BU18" s="323"/>
      <c r="BV18" s="323"/>
      <c r="BW18" s="323"/>
      <c r="BX18" s="326"/>
      <c r="BY18" s="330"/>
      <c r="BZ18" s="323"/>
      <c r="CA18" s="323"/>
      <c r="CB18" s="323"/>
      <c r="CC18" s="324"/>
      <c r="CD18" s="325"/>
      <c r="CE18" s="323"/>
      <c r="CF18" s="323"/>
      <c r="CG18" s="323"/>
      <c r="CH18" s="324"/>
      <c r="CI18" s="325"/>
      <c r="CJ18" s="323"/>
      <c r="CK18" s="323"/>
      <c r="CL18" s="323"/>
      <c r="CM18" s="326"/>
      <c r="CN18" s="45"/>
      <c r="CO18" s="45"/>
      <c r="CP18" s="45"/>
      <c r="CQ18" s="45"/>
      <c r="CR18" s="45"/>
      <c r="CS18" s="45"/>
      <c r="CT18" s="45"/>
      <c r="CU18" s="45"/>
      <c r="CV18" s="45"/>
      <c r="CW18" s="45"/>
      <c r="CX18" s="45"/>
      <c r="CY18" s="45"/>
      <c r="CZ18" s="45"/>
      <c r="DA18" s="45"/>
      <c r="DB18" s="45"/>
      <c r="DC18" s="45"/>
      <c r="DD18" s="45"/>
      <c r="DE18" s="45"/>
      <c r="DF18" s="45"/>
      <c r="DG18" s="45"/>
      <c r="DH18" s="45"/>
      <c r="DI18" s="45"/>
      <c r="DJ18" s="45"/>
      <c r="DK18" s="45"/>
      <c r="DL18" s="45"/>
      <c r="DM18" s="45"/>
      <c r="DN18" s="45"/>
    </row>
    <row r="19" spans="1:118" ht="25.5" customHeight="1" thickBot="1">
      <c r="A19" s="351">
        <v>4162</v>
      </c>
      <c r="B19" s="352" t="s">
        <v>11</v>
      </c>
      <c r="C19" s="352" t="s">
        <v>44</v>
      </c>
      <c r="D19" s="352" t="s">
        <v>76</v>
      </c>
      <c r="E19" s="353" t="s">
        <v>53</v>
      </c>
      <c r="F19" s="352"/>
      <c r="G19" s="353" t="s">
        <v>892</v>
      </c>
      <c r="H19" s="354" t="s">
        <v>54</v>
      </c>
      <c r="I19" s="355"/>
      <c r="J19" s="353"/>
      <c r="K19" s="356"/>
      <c r="L19" s="357" t="s">
        <v>78</v>
      </c>
      <c r="M19" s="352" t="s">
        <v>77</v>
      </c>
      <c r="N19" s="352"/>
      <c r="O19" s="352" t="s">
        <v>77</v>
      </c>
      <c r="P19" s="358" t="s">
        <v>77</v>
      </c>
      <c r="Q19" s="357"/>
      <c r="R19" s="352"/>
      <c r="S19" s="352"/>
      <c r="T19" s="352"/>
      <c r="U19" s="359" t="s">
        <v>80</v>
      </c>
      <c r="V19" s="351"/>
      <c r="W19" s="353"/>
      <c r="X19" s="353"/>
      <c r="Y19" s="353"/>
      <c r="Z19" s="356"/>
      <c r="AA19" s="360"/>
      <c r="AB19" s="353"/>
      <c r="AC19" s="353"/>
      <c r="AD19" s="353"/>
      <c r="AE19" s="354"/>
      <c r="AF19" s="355"/>
      <c r="AG19" s="353"/>
      <c r="AH19" s="353"/>
      <c r="AI19" s="353"/>
      <c r="AJ19" s="356"/>
      <c r="AK19" s="360"/>
      <c r="AL19" s="353"/>
      <c r="AM19" s="353"/>
      <c r="AN19" s="353"/>
      <c r="AO19" s="354"/>
      <c r="AP19" s="355"/>
      <c r="AQ19" s="353"/>
      <c r="AR19" s="353"/>
      <c r="AS19" s="353"/>
      <c r="AT19" s="356"/>
      <c r="AU19" s="360"/>
      <c r="AV19" s="353"/>
      <c r="AW19" s="353"/>
      <c r="AX19" s="353"/>
      <c r="AY19" s="354"/>
      <c r="AZ19" s="355"/>
      <c r="BA19" s="353"/>
      <c r="BB19" s="353"/>
      <c r="BC19" s="353"/>
      <c r="BD19" s="356"/>
      <c r="BE19" s="360"/>
      <c r="BF19" s="353"/>
      <c r="BG19" s="353"/>
      <c r="BH19" s="353"/>
      <c r="BI19" s="354"/>
      <c r="BJ19" s="355"/>
      <c r="BK19" s="353"/>
      <c r="BL19" s="353"/>
      <c r="BM19" s="353"/>
      <c r="BN19" s="356"/>
      <c r="BO19" s="360"/>
      <c r="BP19" s="353"/>
      <c r="BQ19" s="353"/>
      <c r="BR19" s="353"/>
      <c r="BS19" s="354"/>
      <c r="BT19" s="355"/>
      <c r="BU19" s="353"/>
      <c r="BV19" s="353"/>
      <c r="BW19" s="353"/>
      <c r="BX19" s="356"/>
      <c r="BY19" s="360"/>
      <c r="BZ19" s="353"/>
      <c r="CA19" s="353"/>
      <c r="CB19" s="353"/>
      <c r="CC19" s="354"/>
      <c r="CD19" s="355"/>
      <c r="CE19" s="353"/>
      <c r="CF19" s="353"/>
      <c r="CG19" s="353"/>
      <c r="CH19" s="354"/>
      <c r="CI19" s="355"/>
      <c r="CJ19" s="353"/>
      <c r="CK19" s="353"/>
      <c r="CL19" s="353"/>
      <c r="CM19" s="356"/>
      <c r="CN19" s="45"/>
      <c r="CO19" s="45"/>
      <c r="CP19" s="45"/>
      <c r="CQ19" s="45"/>
      <c r="CR19" s="45"/>
      <c r="CS19" s="45"/>
      <c r="CT19" s="45"/>
      <c r="CU19" s="45"/>
      <c r="CV19" s="45"/>
      <c r="CW19" s="45"/>
      <c r="CX19" s="45"/>
      <c r="CY19" s="45"/>
      <c r="CZ19" s="45"/>
      <c r="DA19" s="45"/>
      <c r="DB19" s="45"/>
      <c r="DC19" s="45"/>
      <c r="DD19" s="45"/>
      <c r="DE19" s="45"/>
      <c r="DF19" s="45"/>
      <c r="DG19" s="45"/>
      <c r="DH19" s="45"/>
      <c r="DI19" s="45"/>
      <c r="DJ19" s="45"/>
      <c r="DK19" s="45"/>
      <c r="DL19" s="45"/>
      <c r="DM19" s="45"/>
      <c r="DN19" s="45"/>
    </row>
    <row r="20" spans="1:118" ht="25.5" customHeight="1">
      <c r="A20" s="361">
        <v>4163</v>
      </c>
      <c r="B20" s="362" t="s">
        <v>11</v>
      </c>
      <c r="C20" s="362" t="s">
        <v>44</v>
      </c>
      <c r="D20" s="362" t="s">
        <v>76</v>
      </c>
      <c r="E20" s="363" t="s">
        <v>53</v>
      </c>
      <c r="F20" s="362"/>
      <c r="G20" s="363" t="s">
        <v>894</v>
      </c>
      <c r="H20" s="364" t="s">
        <v>54</v>
      </c>
      <c r="I20" s="365"/>
      <c r="J20" s="363"/>
      <c r="K20" s="366"/>
      <c r="L20" s="367" t="s">
        <v>78</v>
      </c>
      <c r="M20" s="362" t="s">
        <v>77</v>
      </c>
      <c r="N20" s="362"/>
      <c r="O20" s="362" t="s">
        <v>77</v>
      </c>
      <c r="P20" s="368" t="s">
        <v>77</v>
      </c>
      <c r="Q20" s="367"/>
      <c r="R20" s="362"/>
      <c r="S20" s="362"/>
      <c r="T20" s="362"/>
      <c r="U20" s="369" t="s">
        <v>80</v>
      </c>
      <c r="V20" s="361"/>
      <c r="W20" s="363"/>
      <c r="X20" s="363"/>
      <c r="Y20" s="363"/>
      <c r="Z20" s="366"/>
      <c r="AA20" s="370"/>
      <c r="AB20" s="363"/>
      <c r="AC20" s="363"/>
      <c r="AD20" s="363"/>
      <c r="AE20" s="364"/>
      <c r="AF20" s="365"/>
      <c r="AG20" s="363"/>
      <c r="AH20" s="363"/>
      <c r="AI20" s="363"/>
      <c r="AJ20" s="366"/>
      <c r="AK20" s="370"/>
      <c r="AL20" s="363"/>
      <c r="AM20" s="363"/>
      <c r="AN20" s="363"/>
      <c r="AO20" s="364"/>
      <c r="AP20" s="365"/>
      <c r="AQ20" s="363"/>
      <c r="AR20" s="363"/>
      <c r="AS20" s="363"/>
      <c r="AT20" s="366"/>
      <c r="AU20" s="370"/>
      <c r="AV20" s="363"/>
      <c r="AW20" s="363"/>
      <c r="AX20" s="363"/>
      <c r="AY20" s="364"/>
      <c r="AZ20" s="365"/>
      <c r="BA20" s="363"/>
      <c r="BB20" s="363"/>
      <c r="BC20" s="363"/>
      <c r="BD20" s="366"/>
      <c r="BE20" s="370"/>
      <c r="BF20" s="363"/>
      <c r="BG20" s="363"/>
      <c r="BH20" s="363"/>
      <c r="BI20" s="364"/>
      <c r="BJ20" s="365"/>
      <c r="BK20" s="363"/>
      <c r="BL20" s="363"/>
      <c r="BM20" s="363"/>
      <c r="BN20" s="366"/>
      <c r="BO20" s="370"/>
      <c r="BP20" s="363"/>
      <c r="BQ20" s="363"/>
      <c r="BR20" s="363"/>
      <c r="BS20" s="364"/>
      <c r="BT20" s="365"/>
      <c r="BU20" s="363"/>
      <c r="BV20" s="363"/>
      <c r="BW20" s="363"/>
      <c r="BX20" s="366"/>
      <c r="BY20" s="370"/>
      <c r="BZ20" s="363"/>
      <c r="CA20" s="363"/>
      <c r="CB20" s="363"/>
      <c r="CC20" s="364"/>
      <c r="CD20" s="365"/>
      <c r="CE20" s="363"/>
      <c r="CF20" s="363"/>
      <c r="CG20" s="363"/>
      <c r="CH20" s="364"/>
      <c r="CI20" s="365"/>
      <c r="CJ20" s="363"/>
      <c r="CK20" s="363"/>
      <c r="CL20" s="363"/>
      <c r="CM20" s="366"/>
      <c r="CN20" s="45"/>
      <c r="CO20" s="45"/>
      <c r="CP20" s="45"/>
      <c r="CQ20" s="45"/>
      <c r="CR20" s="45"/>
      <c r="CS20" s="45"/>
      <c r="CT20" s="45"/>
      <c r="CU20" s="45"/>
      <c r="CV20" s="45"/>
      <c r="CW20" s="45"/>
      <c r="CX20" s="46"/>
      <c r="CY20" s="45"/>
      <c r="CZ20" s="45"/>
      <c r="DA20" s="46"/>
      <c r="DB20" s="45"/>
      <c r="DC20" s="45"/>
      <c r="DD20" s="45"/>
      <c r="DE20" s="45"/>
      <c r="DF20" s="46"/>
      <c r="DG20" s="45"/>
      <c r="DH20" s="45"/>
      <c r="DI20" s="45"/>
      <c r="DJ20" s="45"/>
      <c r="DK20" s="45"/>
      <c r="DL20" s="45"/>
      <c r="DM20" s="45"/>
      <c r="DN20" s="45"/>
    </row>
    <row r="21" spans="1:118" ht="25.5" customHeight="1">
      <c r="A21" s="321">
        <v>4164</v>
      </c>
      <c r="B21" s="322" t="s">
        <v>11</v>
      </c>
      <c r="C21" s="322" t="s">
        <v>44</v>
      </c>
      <c r="D21" s="322" t="s">
        <v>76</v>
      </c>
      <c r="E21" s="323" t="s">
        <v>53</v>
      </c>
      <c r="F21" s="322"/>
      <c r="G21" s="323" t="s">
        <v>896</v>
      </c>
      <c r="H21" s="324" t="s">
        <v>54</v>
      </c>
      <c r="I21" s="325"/>
      <c r="J21" s="323"/>
      <c r="K21" s="326"/>
      <c r="L21" s="327" t="s">
        <v>78</v>
      </c>
      <c r="M21" s="322" t="s">
        <v>77</v>
      </c>
      <c r="N21" s="322"/>
      <c r="O21" s="322" t="s">
        <v>77</v>
      </c>
      <c r="P21" s="328" t="s">
        <v>77</v>
      </c>
      <c r="Q21" s="327"/>
      <c r="R21" s="322"/>
      <c r="S21" s="322"/>
      <c r="T21" s="322"/>
      <c r="U21" s="329" t="s">
        <v>80</v>
      </c>
      <c r="V21" s="321"/>
      <c r="W21" s="323"/>
      <c r="X21" s="323"/>
      <c r="Y21" s="323"/>
      <c r="Z21" s="326"/>
      <c r="AA21" s="330"/>
      <c r="AB21" s="323"/>
      <c r="AC21" s="323"/>
      <c r="AD21" s="323"/>
      <c r="AE21" s="324"/>
      <c r="AF21" s="325"/>
      <c r="AG21" s="323"/>
      <c r="AH21" s="323"/>
      <c r="AI21" s="323"/>
      <c r="AJ21" s="326"/>
      <c r="AK21" s="330"/>
      <c r="AL21" s="323"/>
      <c r="AM21" s="323"/>
      <c r="AN21" s="323"/>
      <c r="AO21" s="324"/>
      <c r="AP21" s="325"/>
      <c r="AQ21" s="323"/>
      <c r="AR21" s="323"/>
      <c r="AS21" s="323"/>
      <c r="AT21" s="326"/>
      <c r="AU21" s="330"/>
      <c r="AV21" s="323"/>
      <c r="AW21" s="323"/>
      <c r="AX21" s="323"/>
      <c r="AY21" s="324"/>
      <c r="AZ21" s="325"/>
      <c r="BA21" s="323"/>
      <c r="BB21" s="323"/>
      <c r="BC21" s="323"/>
      <c r="BD21" s="326"/>
      <c r="BE21" s="330"/>
      <c r="BF21" s="323"/>
      <c r="BG21" s="323"/>
      <c r="BH21" s="323"/>
      <c r="BI21" s="324"/>
      <c r="BJ21" s="325"/>
      <c r="BK21" s="323"/>
      <c r="BL21" s="323"/>
      <c r="BM21" s="323"/>
      <c r="BN21" s="326"/>
      <c r="BO21" s="330"/>
      <c r="BP21" s="323"/>
      <c r="BQ21" s="323"/>
      <c r="BR21" s="323"/>
      <c r="BS21" s="324"/>
      <c r="BT21" s="325"/>
      <c r="BU21" s="323"/>
      <c r="BV21" s="323"/>
      <c r="BW21" s="323"/>
      <c r="BX21" s="326"/>
      <c r="BY21" s="330"/>
      <c r="BZ21" s="323"/>
      <c r="CA21" s="323"/>
      <c r="CB21" s="323"/>
      <c r="CC21" s="324"/>
      <c r="CD21" s="325"/>
      <c r="CE21" s="323"/>
      <c r="CF21" s="323"/>
      <c r="CG21" s="323"/>
      <c r="CH21" s="324"/>
      <c r="CI21" s="325"/>
      <c r="CJ21" s="323"/>
      <c r="CK21" s="323"/>
      <c r="CL21" s="323"/>
      <c r="CM21" s="326"/>
    </row>
    <row r="22" spans="1:118" ht="25.5" customHeight="1">
      <c r="A22" s="321">
        <v>4165</v>
      </c>
      <c r="B22" s="322" t="s">
        <v>11</v>
      </c>
      <c r="C22" s="322" t="s">
        <v>44</v>
      </c>
      <c r="D22" s="322" t="s">
        <v>76</v>
      </c>
      <c r="E22" s="323" t="s">
        <v>53</v>
      </c>
      <c r="F22" s="322"/>
      <c r="G22" s="323" t="s">
        <v>898</v>
      </c>
      <c r="H22" s="371" t="s">
        <v>54</v>
      </c>
      <c r="I22" s="325"/>
      <c r="J22" s="323"/>
      <c r="K22" s="326"/>
      <c r="L22" s="327" t="s">
        <v>78</v>
      </c>
      <c r="M22" s="322" t="s">
        <v>77</v>
      </c>
      <c r="N22" s="322"/>
      <c r="O22" s="322" t="s">
        <v>77</v>
      </c>
      <c r="P22" s="328" t="s">
        <v>77</v>
      </c>
      <c r="Q22" s="327"/>
      <c r="R22" s="322"/>
      <c r="S22" s="322"/>
      <c r="T22" s="322"/>
      <c r="U22" s="329" t="s">
        <v>80</v>
      </c>
      <c r="V22" s="321"/>
      <c r="W22" s="372"/>
      <c r="X22" s="372"/>
      <c r="Y22" s="372"/>
      <c r="Z22" s="373"/>
      <c r="AA22" s="374"/>
      <c r="AB22" s="372"/>
      <c r="AC22" s="372"/>
      <c r="AD22" s="372"/>
      <c r="AE22" s="371"/>
      <c r="AF22" s="375"/>
      <c r="AG22" s="372"/>
      <c r="AH22" s="372"/>
      <c r="AI22" s="372"/>
      <c r="AJ22" s="373"/>
      <c r="AK22" s="374"/>
      <c r="AL22" s="372"/>
      <c r="AM22" s="372"/>
      <c r="AN22" s="372"/>
      <c r="AO22" s="371"/>
      <c r="AP22" s="375"/>
      <c r="AQ22" s="372"/>
      <c r="AR22" s="372"/>
      <c r="AS22" s="372"/>
      <c r="AT22" s="373"/>
      <c r="AU22" s="374"/>
      <c r="AV22" s="372"/>
      <c r="AW22" s="372"/>
      <c r="AX22" s="372"/>
      <c r="AY22" s="371"/>
      <c r="AZ22" s="375"/>
      <c r="BA22" s="372"/>
      <c r="BB22" s="372"/>
      <c r="BC22" s="372"/>
      <c r="BD22" s="373"/>
      <c r="BE22" s="374"/>
      <c r="BF22" s="372"/>
      <c r="BG22" s="372"/>
      <c r="BH22" s="372"/>
      <c r="BI22" s="371"/>
      <c r="BJ22" s="375"/>
      <c r="BK22" s="372"/>
      <c r="BL22" s="372"/>
      <c r="BM22" s="372"/>
      <c r="BN22" s="373"/>
      <c r="BO22" s="374"/>
      <c r="BP22" s="372"/>
      <c r="BQ22" s="372"/>
      <c r="BR22" s="372"/>
      <c r="BS22" s="371"/>
      <c r="BT22" s="375"/>
      <c r="BU22" s="372"/>
      <c r="BV22" s="372"/>
      <c r="BW22" s="372"/>
      <c r="BX22" s="373"/>
      <c r="BY22" s="374"/>
      <c r="BZ22" s="372"/>
      <c r="CA22" s="372"/>
      <c r="CB22" s="372"/>
      <c r="CC22" s="371"/>
      <c r="CD22" s="375"/>
      <c r="CE22" s="372"/>
      <c r="CF22" s="372"/>
      <c r="CG22" s="372"/>
      <c r="CH22" s="371"/>
      <c r="CI22" s="375"/>
      <c r="CJ22" s="372"/>
      <c r="CK22" s="372"/>
      <c r="CL22" s="372"/>
      <c r="CM22" s="373"/>
    </row>
    <row r="23" spans="1:118" ht="25.5" customHeight="1">
      <c r="A23" s="321">
        <v>4166</v>
      </c>
      <c r="B23" s="322" t="s">
        <v>11</v>
      </c>
      <c r="C23" s="322" t="s">
        <v>44</v>
      </c>
      <c r="D23" s="322" t="s">
        <v>76</v>
      </c>
      <c r="E23" s="323" t="s">
        <v>53</v>
      </c>
      <c r="F23" s="322"/>
      <c r="G23" s="323" t="s">
        <v>900</v>
      </c>
      <c r="H23" s="371" t="s">
        <v>54</v>
      </c>
      <c r="I23" s="325"/>
      <c r="J23" s="323"/>
      <c r="K23" s="326"/>
      <c r="L23" s="327" t="s">
        <v>78</v>
      </c>
      <c r="M23" s="322" t="s">
        <v>77</v>
      </c>
      <c r="N23" s="322"/>
      <c r="O23" s="322" t="s">
        <v>77</v>
      </c>
      <c r="P23" s="328" t="s">
        <v>77</v>
      </c>
      <c r="Q23" s="327"/>
      <c r="R23" s="322"/>
      <c r="S23" s="322"/>
      <c r="T23" s="322"/>
      <c r="U23" s="329" t="s">
        <v>80</v>
      </c>
      <c r="V23" s="321"/>
      <c r="W23" s="372"/>
      <c r="X23" s="372"/>
      <c r="Y23" s="372"/>
      <c r="Z23" s="373"/>
      <c r="AA23" s="374"/>
      <c r="AB23" s="372"/>
      <c r="AC23" s="372"/>
      <c r="AD23" s="372"/>
      <c r="AE23" s="371"/>
      <c r="AF23" s="375"/>
      <c r="AG23" s="372"/>
      <c r="AH23" s="372"/>
      <c r="AI23" s="372"/>
      <c r="AJ23" s="373"/>
      <c r="AK23" s="374"/>
      <c r="AL23" s="372"/>
      <c r="AM23" s="372"/>
      <c r="AN23" s="372"/>
      <c r="AO23" s="371"/>
      <c r="AP23" s="375"/>
      <c r="AQ23" s="372"/>
      <c r="AR23" s="372"/>
      <c r="AS23" s="372"/>
      <c r="AT23" s="373"/>
      <c r="AU23" s="374"/>
      <c r="AV23" s="372"/>
      <c r="AW23" s="372"/>
      <c r="AX23" s="372"/>
      <c r="AY23" s="371"/>
      <c r="AZ23" s="375"/>
      <c r="BA23" s="372"/>
      <c r="BB23" s="372"/>
      <c r="BC23" s="372"/>
      <c r="BD23" s="373"/>
      <c r="BE23" s="374"/>
      <c r="BF23" s="372"/>
      <c r="BG23" s="372"/>
      <c r="BH23" s="372"/>
      <c r="BI23" s="371"/>
      <c r="BJ23" s="375"/>
      <c r="BK23" s="372"/>
      <c r="BL23" s="372"/>
      <c r="BM23" s="372"/>
      <c r="BN23" s="373"/>
      <c r="BO23" s="374"/>
      <c r="BP23" s="372"/>
      <c r="BQ23" s="372"/>
      <c r="BR23" s="372"/>
      <c r="BS23" s="371"/>
      <c r="BT23" s="375"/>
      <c r="BU23" s="372"/>
      <c r="BV23" s="372"/>
      <c r="BW23" s="372"/>
      <c r="BX23" s="373"/>
      <c r="BY23" s="374"/>
      <c r="BZ23" s="372"/>
      <c r="CA23" s="372"/>
      <c r="CB23" s="372"/>
      <c r="CC23" s="371"/>
      <c r="CD23" s="375"/>
      <c r="CE23" s="372"/>
      <c r="CF23" s="372"/>
      <c r="CG23" s="372"/>
      <c r="CH23" s="371"/>
      <c r="CI23" s="375"/>
      <c r="CJ23" s="372"/>
      <c r="CK23" s="372"/>
      <c r="CL23" s="372"/>
      <c r="CM23" s="373"/>
    </row>
    <row r="24" spans="1:118" ht="25.5" customHeight="1" thickBot="1">
      <c r="A24" s="331">
        <v>4167</v>
      </c>
      <c r="B24" s="332" t="s">
        <v>11</v>
      </c>
      <c r="C24" s="332" t="s">
        <v>44</v>
      </c>
      <c r="D24" s="332" t="s">
        <v>76</v>
      </c>
      <c r="E24" s="333" t="s">
        <v>53</v>
      </c>
      <c r="F24" s="332"/>
      <c r="G24" s="333" t="s">
        <v>902</v>
      </c>
      <c r="H24" s="376" t="s">
        <v>54</v>
      </c>
      <c r="I24" s="335"/>
      <c r="J24" s="333"/>
      <c r="K24" s="336"/>
      <c r="L24" s="337" t="s">
        <v>78</v>
      </c>
      <c r="M24" s="332" t="s">
        <v>77</v>
      </c>
      <c r="N24" s="332"/>
      <c r="O24" s="332" t="s">
        <v>77</v>
      </c>
      <c r="P24" s="338" t="s">
        <v>77</v>
      </c>
      <c r="Q24" s="337"/>
      <c r="R24" s="332"/>
      <c r="S24" s="332"/>
      <c r="T24" s="332"/>
      <c r="U24" s="339" t="s">
        <v>80</v>
      </c>
      <c r="V24" s="331"/>
      <c r="W24" s="377"/>
      <c r="X24" s="377"/>
      <c r="Y24" s="377"/>
      <c r="Z24" s="378"/>
      <c r="AA24" s="379"/>
      <c r="AB24" s="377"/>
      <c r="AC24" s="377"/>
      <c r="AD24" s="377"/>
      <c r="AE24" s="376"/>
      <c r="AF24" s="380"/>
      <c r="AG24" s="377"/>
      <c r="AH24" s="377"/>
      <c r="AI24" s="377"/>
      <c r="AJ24" s="378"/>
      <c r="AK24" s="379"/>
      <c r="AL24" s="377"/>
      <c r="AM24" s="377"/>
      <c r="AN24" s="377"/>
      <c r="AO24" s="376"/>
      <c r="AP24" s="380"/>
      <c r="AQ24" s="377"/>
      <c r="AR24" s="377"/>
      <c r="AS24" s="377"/>
      <c r="AT24" s="378"/>
      <c r="AU24" s="379"/>
      <c r="AV24" s="377"/>
      <c r="AW24" s="377"/>
      <c r="AX24" s="377"/>
      <c r="AY24" s="376"/>
      <c r="AZ24" s="380"/>
      <c r="BA24" s="377"/>
      <c r="BB24" s="377"/>
      <c r="BC24" s="377"/>
      <c r="BD24" s="378"/>
      <c r="BE24" s="379"/>
      <c r="BF24" s="377"/>
      <c r="BG24" s="377"/>
      <c r="BH24" s="377"/>
      <c r="BI24" s="376"/>
      <c r="BJ24" s="380"/>
      <c r="BK24" s="377"/>
      <c r="BL24" s="377"/>
      <c r="BM24" s="377"/>
      <c r="BN24" s="378"/>
      <c r="BO24" s="379"/>
      <c r="BP24" s="377"/>
      <c r="BQ24" s="377"/>
      <c r="BR24" s="377"/>
      <c r="BS24" s="376"/>
      <c r="BT24" s="380"/>
      <c r="BU24" s="377"/>
      <c r="BV24" s="377"/>
      <c r="BW24" s="377"/>
      <c r="BX24" s="378"/>
      <c r="BY24" s="379"/>
      <c r="BZ24" s="377"/>
      <c r="CA24" s="377"/>
      <c r="CB24" s="377"/>
      <c r="CC24" s="376"/>
      <c r="CD24" s="380"/>
      <c r="CE24" s="377"/>
      <c r="CF24" s="377"/>
      <c r="CG24" s="377"/>
      <c r="CH24" s="376"/>
      <c r="CI24" s="380"/>
      <c r="CJ24" s="377"/>
      <c r="CK24" s="377"/>
      <c r="CL24" s="377"/>
      <c r="CM24" s="378"/>
    </row>
    <row r="25" spans="1:118" ht="25.5" customHeight="1">
      <c r="A25" s="341">
        <v>4168</v>
      </c>
      <c r="B25" s="342" t="s">
        <v>11</v>
      </c>
      <c r="C25" s="342" t="s">
        <v>44</v>
      </c>
      <c r="D25" s="342" t="s">
        <v>76</v>
      </c>
      <c r="E25" s="343" t="s">
        <v>53</v>
      </c>
      <c r="F25" s="342"/>
      <c r="G25" s="343" t="s">
        <v>904</v>
      </c>
      <c r="H25" s="344" t="s">
        <v>54</v>
      </c>
      <c r="I25" s="345"/>
      <c r="J25" s="343"/>
      <c r="K25" s="346"/>
      <c r="L25" s="347" t="s">
        <v>78</v>
      </c>
      <c r="M25" s="342" t="s">
        <v>77</v>
      </c>
      <c r="N25" s="342"/>
      <c r="O25" s="342" t="s">
        <v>77</v>
      </c>
      <c r="P25" s="348" t="s">
        <v>77</v>
      </c>
      <c r="Q25" s="347"/>
      <c r="R25" s="342"/>
      <c r="S25" s="342"/>
      <c r="T25" s="342"/>
      <c r="U25" s="349" t="s">
        <v>80</v>
      </c>
      <c r="V25" s="341"/>
      <c r="W25" s="381"/>
      <c r="X25" s="381"/>
      <c r="Y25" s="381"/>
      <c r="Z25" s="382"/>
      <c r="AA25" s="383"/>
      <c r="AB25" s="381"/>
      <c r="AC25" s="381"/>
      <c r="AD25" s="381"/>
      <c r="AE25" s="384"/>
      <c r="AF25" s="385"/>
      <c r="AG25" s="381"/>
      <c r="AH25" s="381"/>
      <c r="AI25" s="381"/>
      <c r="AJ25" s="382"/>
      <c r="AK25" s="383"/>
      <c r="AL25" s="381"/>
      <c r="AM25" s="381"/>
      <c r="AN25" s="381"/>
      <c r="AO25" s="384"/>
      <c r="AP25" s="385"/>
      <c r="AQ25" s="381"/>
      <c r="AR25" s="381"/>
      <c r="AS25" s="381"/>
      <c r="AT25" s="382"/>
      <c r="AU25" s="383"/>
      <c r="AV25" s="381"/>
      <c r="AW25" s="381"/>
      <c r="AX25" s="381"/>
      <c r="AY25" s="384"/>
      <c r="AZ25" s="385"/>
      <c r="BA25" s="381"/>
      <c r="BB25" s="381"/>
      <c r="BC25" s="381"/>
      <c r="BD25" s="382"/>
      <c r="BE25" s="383"/>
      <c r="BF25" s="381"/>
      <c r="BG25" s="381"/>
      <c r="BH25" s="381"/>
      <c r="BI25" s="384"/>
      <c r="BJ25" s="385"/>
      <c r="BK25" s="381"/>
      <c r="BL25" s="381"/>
      <c r="BM25" s="381"/>
      <c r="BN25" s="382"/>
      <c r="BO25" s="383"/>
      <c r="BP25" s="381"/>
      <c r="BQ25" s="381"/>
      <c r="BR25" s="381"/>
      <c r="BS25" s="384"/>
      <c r="BT25" s="385"/>
      <c r="BU25" s="381"/>
      <c r="BV25" s="381"/>
      <c r="BW25" s="381"/>
      <c r="BX25" s="382"/>
      <c r="BY25" s="383"/>
      <c r="BZ25" s="381"/>
      <c r="CA25" s="381"/>
      <c r="CB25" s="381"/>
      <c r="CC25" s="384"/>
      <c r="CD25" s="385"/>
      <c r="CE25" s="381"/>
      <c r="CF25" s="381"/>
      <c r="CG25" s="381"/>
      <c r="CH25" s="384"/>
      <c r="CI25" s="385"/>
      <c r="CJ25" s="381"/>
      <c r="CK25" s="381"/>
      <c r="CL25" s="381"/>
      <c r="CM25" s="382"/>
    </row>
    <row r="26" spans="1:118" ht="25.5" customHeight="1">
      <c r="A26" s="386">
        <v>4169</v>
      </c>
      <c r="B26" s="387" t="s">
        <v>11</v>
      </c>
      <c r="C26" s="387" t="s">
        <v>44</v>
      </c>
      <c r="D26" s="387" t="s">
        <v>76</v>
      </c>
      <c r="E26" s="372" t="s">
        <v>53</v>
      </c>
      <c r="F26" s="387"/>
      <c r="G26" s="372" t="s">
        <v>906</v>
      </c>
      <c r="H26" s="371" t="s">
        <v>54</v>
      </c>
      <c r="I26" s="375"/>
      <c r="J26" s="372"/>
      <c r="K26" s="373"/>
      <c r="L26" s="388" t="s">
        <v>78</v>
      </c>
      <c r="M26" s="387" t="s">
        <v>77</v>
      </c>
      <c r="N26" s="387"/>
      <c r="O26" s="387" t="s">
        <v>77</v>
      </c>
      <c r="P26" s="389" t="s">
        <v>77</v>
      </c>
      <c r="Q26" s="388"/>
      <c r="R26" s="387"/>
      <c r="S26" s="387"/>
      <c r="T26" s="387"/>
      <c r="U26" s="390" t="s">
        <v>80</v>
      </c>
      <c r="V26" s="386"/>
      <c r="W26" s="372"/>
      <c r="X26" s="372"/>
      <c r="Y26" s="372"/>
      <c r="Z26" s="373"/>
      <c r="AA26" s="374"/>
      <c r="AB26" s="372"/>
      <c r="AC26" s="372"/>
      <c r="AD26" s="372"/>
      <c r="AE26" s="371"/>
      <c r="AF26" s="375"/>
      <c r="AG26" s="372"/>
      <c r="AH26" s="372"/>
      <c r="AI26" s="372"/>
      <c r="AJ26" s="373"/>
      <c r="AK26" s="374"/>
      <c r="AL26" s="372"/>
      <c r="AM26" s="372"/>
      <c r="AN26" s="372"/>
      <c r="AO26" s="371"/>
      <c r="AP26" s="375"/>
      <c r="AQ26" s="372"/>
      <c r="AR26" s="372"/>
      <c r="AS26" s="372"/>
      <c r="AT26" s="373"/>
      <c r="AU26" s="374"/>
      <c r="AV26" s="372"/>
      <c r="AW26" s="372"/>
      <c r="AX26" s="372"/>
      <c r="AY26" s="371"/>
      <c r="AZ26" s="375"/>
      <c r="BA26" s="372"/>
      <c r="BB26" s="372"/>
      <c r="BC26" s="372"/>
      <c r="BD26" s="373"/>
      <c r="BE26" s="374"/>
      <c r="BF26" s="372"/>
      <c r="BG26" s="372"/>
      <c r="BH26" s="372"/>
      <c r="BI26" s="371"/>
      <c r="BJ26" s="375"/>
      <c r="BK26" s="372"/>
      <c r="BL26" s="372"/>
      <c r="BM26" s="372"/>
      <c r="BN26" s="373"/>
      <c r="BO26" s="374"/>
      <c r="BP26" s="372"/>
      <c r="BQ26" s="372"/>
      <c r="BR26" s="372"/>
      <c r="BS26" s="371"/>
      <c r="BT26" s="375"/>
      <c r="BU26" s="372"/>
      <c r="BV26" s="372"/>
      <c r="BW26" s="372"/>
      <c r="BX26" s="373"/>
      <c r="BY26" s="374"/>
      <c r="BZ26" s="372"/>
      <c r="CA26" s="372"/>
      <c r="CB26" s="372"/>
      <c r="CC26" s="371"/>
      <c r="CD26" s="375"/>
      <c r="CE26" s="372"/>
      <c r="CF26" s="372"/>
      <c r="CG26" s="372"/>
      <c r="CH26" s="371"/>
      <c r="CI26" s="375"/>
      <c r="CJ26" s="372"/>
      <c r="CK26" s="372"/>
      <c r="CL26" s="372"/>
      <c r="CM26" s="373"/>
    </row>
    <row r="27" spans="1:118" ht="25.5" customHeight="1">
      <c r="A27" s="386">
        <v>4170</v>
      </c>
      <c r="B27" s="387" t="s">
        <v>11</v>
      </c>
      <c r="C27" s="387" t="s">
        <v>44</v>
      </c>
      <c r="D27" s="387" t="s">
        <v>76</v>
      </c>
      <c r="E27" s="372" t="s">
        <v>53</v>
      </c>
      <c r="F27" s="387"/>
      <c r="G27" s="372" t="s">
        <v>908</v>
      </c>
      <c r="H27" s="371" t="s">
        <v>54</v>
      </c>
      <c r="I27" s="375"/>
      <c r="J27" s="372"/>
      <c r="K27" s="373"/>
      <c r="L27" s="388" t="s">
        <v>78</v>
      </c>
      <c r="M27" s="387" t="s">
        <v>77</v>
      </c>
      <c r="N27" s="387"/>
      <c r="O27" s="387" t="s">
        <v>77</v>
      </c>
      <c r="P27" s="389" t="s">
        <v>77</v>
      </c>
      <c r="Q27" s="388"/>
      <c r="R27" s="387"/>
      <c r="S27" s="387"/>
      <c r="T27" s="387"/>
      <c r="U27" s="390" t="s">
        <v>80</v>
      </c>
      <c r="V27" s="386"/>
      <c r="W27" s="372"/>
      <c r="X27" s="372"/>
      <c r="Y27" s="372"/>
      <c r="Z27" s="373"/>
      <c r="AA27" s="374"/>
      <c r="AB27" s="372"/>
      <c r="AC27" s="372"/>
      <c r="AD27" s="372"/>
      <c r="AE27" s="371"/>
      <c r="AF27" s="375"/>
      <c r="AG27" s="372"/>
      <c r="AH27" s="372"/>
      <c r="AI27" s="372"/>
      <c r="AJ27" s="373"/>
      <c r="AK27" s="374"/>
      <c r="AL27" s="372"/>
      <c r="AM27" s="372"/>
      <c r="AN27" s="372"/>
      <c r="AO27" s="371"/>
      <c r="AP27" s="375"/>
      <c r="AQ27" s="372"/>
      <c r="AR27" s="372"/>
      <c r="AS27" s="372"/>
      <c r="AT27" s="373"/>
      <c r="AU27" s="374"/>
      <c r="AV27" s="372"/>
      <c r="AW27" s="372"/>
      <c r="AX27" s="372"/>
      <c r="AY27" s="371"/>
      <c r="AZ27" s="375"/>
      <c r="BA27" s="372"/>
      <c r="BB27" s="372"/>
      <c r="BC27" s="372"/>
      <c r="BD27" s="373"/>
      <c r="BE27" s="374"/>
      <c r="BF27" s="372"/>
      <c r="BG27" s="372"/>
      <c r="BH27" s="372"/>
      <c r="BI27" s="371"/>
      <c r="BJ27" s="375"/>
      <c r="BK27" s="372"/>
      <c r="BL27" s="372"/>
      <c r="BM27" s="372"/>
      <c r="BN27" s="373"/>
      <c r="BO27" s="374"/>
      <c r="BP27" s="372"/>
      <c r="BQ27" s="372"/>
      <c r="BR27" s="372"/>
      <c r="BS27" s="371"/>
      <c r="BT27" s="375"/>
      <c r="BU27" s="372"/>
      <c r="BV27" s="372"/>
      <c r="BW27" s="372"/>
      <c r="BX27" s="373"/>
      <c r="BY27" s="374"/>
      <c r="BZ27" s="372"/>
      <c r="CA27" s="372"/>
      <c r="CB27" s="372"/>
      <c r="CC27" s="371"/>
      <c r="CD27" s="375"/>
      <c r="CE27" s="372"/>
      <c r="CF27" s="372"/>
      <c r="CG27" s="372"/>
      <c r="CH27" s="371"/>
      <c r="CI27" s="375"/>
      <c r="CJ27" s="372"/>
      <c r="CK27" s="372"/>
      <c r="CL27" s="372"/>
      <c r="CM27" s="373"/>
    </row>
    <row r="28" spans="1:118" ht="25.5" customHeight="1">
      <c r="A28" s="386">
        <v>4171</v>
      </c>
      <c r="B28" s="387" t="s">
        <v>11</v>
      </c>
      <c r="C28" s="387" t="s">
        <v>44</v>
      </c>
      <c r="D28" s="387" t="s">
        <v>76</v>
      </c>
      <c r="E28" s="372" t="s">
        <v>53</v>
      </c>
      <c r="F28" s="387"/>
      <c r="G28" s="372" t="s">
        <v>910</v>
      </c>
      <c r="H28" s="371" t="s">
        <v>54</v>
      </c>
      <c r="I28" s="375"/>
      <c r="J28" s="372"/>
      <c r="K28" s="373"/>
      <c r="L28" s="388" t="s">
        <v>78</v>
      </c>
      <c r="M28" s="387" t="s">
        <v>77</v>
      </c>
      <c r="N28" s="387"/>
      <c r="O28" s="387" t="s">
        <v>77</v>
      </c>
      <c r="P28" s="389" t="s">
        <v>77</v>
      </c>
      <c r="Q28" s="388"/>
      <c r="R28" s="387"/>
      <c r="S28" s="387"/>
      <c r="T28" s="387"/>
      <c r="U28" s="390" t="s">
        <v>80</v>
      </c>
      <c r="V28" s="386"/>
      <c r="W28" s="372"/>
      <c r="X28" s="372"/>
      <c r="Y28" s="372"/>
      <c r="Z28" s="373"/>
      <c r="AA28" s="374"/>
      <c r="AB28" s="372"/>
      <c r="AC28" s="372"/>
      <c r="AD28" s="372"/>
      <c r="AE28" s="371"/>
      <c r="AF28" s="375"/>
      <c r="AG28" s="372"/>
      <c r="AH28" s="372"/>
      <c r="AI28" s="372"/>
      <c r="AJ28" s="373"/>
      <c r="AK28" s="374"/>
      <c r="AL28" s="372"/>
      <c r="AM28" s="372"/>
      <c r="AN28" s="372"/>
      <c r="AO28" s="371"/>
      <c r="AP28" s="375"/>
      <c r="AQ28" s="372"/>
      <c r="AR28" s="372"/>
      <c r="AS28" s="372"/>
      <c r="AT28" s="373"/>
      <c r="AU28" s="374"/>
      <c r="AV28" s="372"/>
      <c r="AW28" s="372"/>
      <c r="AX28" s="372"/>
      <c r="AY28" s="371"/>
      <c r="AZ28" s="375"/>
      <c r="BA28" s="372"/>
      <c r="BB28" s="372"/>
      <c r="BC28" s="372"/>
      <c r="BD28" s="373"/>
      <c r="BE28" s="374"/>
      <c r="BF28" s="372"/>
      <c r="BG28" s="372"/>
      <c r="BH28" s="372"/>
      <c r="BI28" s="371"/>
      <c r="BJ28" s="375"/>
      <c r="BK28" s="372"/>
      <c r="BL28" s="372"/>
      <c r="BM28" s="372"/>
      <c r="BN28" s="373"/>
      <c r="BO28" s="374"/>
      <c r="BP28" s="372"/>
      <c r="BQ28" s="372"/>
      <c r="BR28" s="372"/>
      <c r="BS28" s="371"/>
      <c r="BT28" s="375"/>
      <c r="BU28" s="372"/>
      <c r="BV28" s="372"/>
      <c r="BW28" s="372"/>
      <c r="BX28" s="373"/>
      <c r="BY28" s="374"/>
      <c r="BZ28" s="372"/>
      <c r="CA28" s="372"/>
      <c r="CB28" s="372"/>
      <c r="CC28" s="371"/>
      <c r="CD28" s="375"/>
      <c r="CE28" s="372"/>
      <c r="CF28" s="372"/>
      <c r="CG28" s="372"/>
      <c r="CH28" s="371"/>
      <c r="CI28" s="375"/>
      <c r="CJ28" s="372"/>
      <c r="CK28" s="372"/>
      <c r="CL28" s="372"/>
      <c r="CM28" s="373"/>
    </row>
    <row r="29" spans="1:118" ht="25.5" customHeight="1" thickBot="1">
      <c r="A29" s="391">
        <v>4172</v>
      </c>
      <c r="B29" s="392" t="s">
        <v>11</v>
      </c>
      <c r="C29" s="392" t="s">
        <v>44</v>
      </c>
      <c r="D29" s="392" t="s">
        <v>76</v>
      </c>
      <c r="E29" s="393" t="s">
        <v>53</v>
      </c>
      <c r="F29" s="392"/>
      <c r="G29" s="393" t="s">
        <v>912</v>
      </c>
      <c r="H29" s="394" t="s">
        <v>54</v>
      </c>
      <c r="I29" s="395"/>
      <c r="J29" s="393"/>
      <c r="K29" s="396"/>
      <c r="L29" s="397" t="s">
        <v>78</v>
      </c>
      <c r="M29" s="392" t="s">
        <v>77</v>
      </c>
      <c r="N29" s="392"/>
      <c r="O29" s="392" t="s">
        <v>77</v>
      </c>
      <c r="P29" s="398" t="s">
        <v>77</v>
      </c>
      <c r="Q29" s="397"/>
      <c r="R29" s="392"/>
      <c r="S29" s="392"/>
      <c r="T29" s="392"/>
      <c r="U29" s="399" t="s">
        <v>80</v>
      </c>
      <c r="V29" s="391"/>
      <c r="W29" s="393"/>
      <c r="X29" s="393"/>
      <c r="Y29" s="393"/>
      <c r="Z29" s="396"/>
      <c r="AA29" s="400"/>
      <c r="AB29" s="393"/>
      <c r="AC29" s="393"/>
      <c r="AD29" s="393"/>
      <c r="AE29" s="394"/>
      <c r="AF29" s="395"/>
      <c r="AG29" s="393"/>
      <c r="AH29" s="393"/>
      <c r="AI29" s="393"/>
      <c r="AJ29" s="396"/>
      <c r="AK29" s="400"/>
      <c r="AL29" s="393"/>
      <c r="AM29" s="393"/>
      <c r="AN29" s="393"/>
      <c r="AO29" s="394"/>
      <c r="AP29" s="395"/>
      <c r="AQ29" s="393"/>
      <c r="AR29" s="393"/>
      <c r="AS29" s="393"/>
      <c r="AT29" s="396"/>
      <c r="AU29" s="400"/>
      <c r="AV29" s="393"/>
      <c r="AW29" s="393"/>
      <c r="AX29" s="393"/>
      <c r="AY29" s="394"/>
      <c r="AZ29" s="395"/>
      <c r="BA29" s="393"/>
      <c r="BB29" s="393"/>
      <c r="BC29" s="393"/>
      <c r="BD29" s="396"/>
      <c r="BE29" s="400"/>
      <c r="BF29" s="393"/>
      <c r="BG29" s="393"/>
      <c r="BH29" s="393"/>
      <c r="BI29" s="394"/>
      <c r="BJ29" s="395"/>
      <c r="BK29" s="393"/>
      <c r="BL29" s="393"/>
      <c r="BM29" s="393"/>
      <c r="BN29" s="396"/>
      <c r="BO29" s="400"/>
      <c r="BP29" s="393"/>
      <c r="BQ29" s="393"/>
      <c r="BR29" s="393"/>
      <c r="BS29" s="394"/>
      <c r="BT29" s="395"/>
      <c r="BU29" s="393"/>
      <c r="BV29" s="393"/>
      <c r="BW29" s="393"/>
      <c r="BX29" s="396"/>
      <c r="BY29" s="400"/>
      <c r="BZ29" s="393"/>
      <c r="CA29" s="393"/>
      <c r="CB29" s="393"/>
      <c r="CC29" s="394"/>
      <c r="CD29" s="395"/>
      <c r="CE29" s="393"/>
      <c r="CF29" s="393"/>
      <c r="CG29" s="393"/>
      <c r="CH29" s="394"/>
      <c r="CI29" s="395"/>
      <c r="CJ29" s="393"/>
      <c r="CK29" s="393"/>
      <c r="CL29" s="393"/>
      <c r="CM29" s="396"/>
    </row>
    <row r="30" spans="1:118" ht="25.5" customHeight="1">
      <c r="A30" s="401">
        <v>4173</v>
      </c>
      <c r="B30" s="402" t="s">
        <v>11</v>
      </c>
      <c r="C30" s="402" t="s">
        <v>44</v>
      </c>
      <c r="D30" s="402" t="s">
        <v>76</v>
      </c>
      <c r="E30" s="403" t="s">
        <v>53</v>
      </c>
      <c r="F30" s="402"/>
      <c r="G30" s="403" t="s">
        <v>914</v>
      </c>
      <c r="H30" s="404" t="s">
        <v>54</v>
      </c>
      <c r="I30" s="405"/>
      <c r="J30" s="403"/>
      <c r="K30" s="406"/>
      <c r="L30" s="407" t="s">
        <v>78</v>
      </c>
      <c r="M30" s="402" t="s">
        <v>77</v>
      </c>
      <c r="N30" s="402"/>
      <c r="O30" s="402" t="s">
        <v>77</v>
      </c>
      <c r="P30" s="408" t="s">
        <v>77</v>
      </c>
      <c r="Q30" s="407"/>
      <c r="R30" s="402"/>
      <c r="S30" s="402"/>
      <c r="T30" s="402"/>
      <c r="U30" s="409" t="s">
        <v>80</v>
      </c>
      <c r="V30" s="401"/>
      <c r="W30" s="403"/>
      <c r="X30" s="403"/>
      <c r="Y30" s="403"/>
      <c r="Z30" s="406"/>
      <c r="AA30" s="410"/>
      <c r="AB30" s="403"/>
      <c r="AC30" s="403"/>
      <c r="AD30" s="403"/>
      <c r="AE30" s="404"/>
      <c r="AF30" s="405"/>
      <c r="AG30" s="403"/>
      <c r="AH30" s="403"/>
      <c r="AI30" s="403"/>
      <c r="AJ30" s="406"/>
      <c r="AK30" s="410"/>
      <c r="AL30" s="403"/>
      <c r="AM30" s="403"/>
      <c r="AN30" s="403"/>
      <c r="AO30" s="404"/>
      <c r="AP30" s="405"/>
      <c r="AQ30" s="403"/>
      <c r="AR30" s="403"/>
      <c r="AS30" s="403"/>
      <c r="AT30" s="406"/>
      <c r="AU30" s="410"/>
      <c r="AV30" s="403"/>
      <c r="AW30" s="403"/>
      <c r="AX30" s="403"/>
      <c r="AY30" s="404"/>
      <c r="AZ30" s="405"/>
      <c r="BA30" s="403"/>
      <c r="BB30" s="403"/>
      <c r="BC30" s="403"/>
      <c r="BD30" s="406"/>
      <c r="BE30" s="410"/>
      <c r="BF30" s="403"/>
      <c r="BG30" s="403"/>
      <c r="BH30" s="403"/>
      <c r="BI30" s="404"/>
      <c r="BJ30" s="405"/>
      <c r="BK30" s="403"/>
      <c r="BL30" s="403"/>
      <c r="BM30" s="403"/>
      <c r="BN30" s="406"/>
      <c r="BO30" s="410"/>
      <c r="BP30" s="403"/>
      <c r="BQ30" s="403"/>
      <c r="BR30" s="403"/>
      <c r="BS30" s="404"/>
      <c r="BT30" s="405"/>
      <c r="BU30" s="403"/>
      <c r="BV30" s="403"/>
      <c r="BW30" s="403"/>
      <c r="BX30" s="406"/>
      <c r="BY30" s="410"/>
      <c r="BZ30" s="403"/>
      <c r="CA30" s="403"/>
      <c r="CB30" s="403"/>
      <c r="CC30" s="404"/>
      <c r="CD30" s="405"/>
      <c r="CE30" s="403"/>
      <c r="CF30" s="403"/>
      <c r="CG30" s="403"/>
      <c r="CH30" s="404"/>
      <c r="CI30" s="405"/>
      <c r="CJ30" s="403"/>
      <c r="CK30" s="403"/>
      <c r="CL30" s="403"/>
      <c r="CM30" s="406"/>
    </row>
    <row r="31" spans="1:118" ht="25.5" customHeight="1">
      <c r="A31" s="386">
        <v>4174</v>
      </c>
      <c r="B31" s="387" t="s">
        <v>11</v>
      </c>
      <c r="C31" s="387" t="s">
        <v>44</v>
      </c>
      <c r="D31" s="387" t="s">
        <v>76</v>
      </c>
      <c r="E31" s="372" t="s">
        <v>53</v>
      </c>
      <c r="F31" s="387"/>
      <c r="G31" s="372" t="s">
        <v>916</v>
      </c>
      <c r="H31" s="371" t="s">
        <v>54</v>
      </c>
      <c r="I31" s="375"/>
      <c r="J31" s="372"/>
      <c r="K31" s="373"/>
      <c r="L31" s="388" t="s">
        <v>78</v>
      </c>
      <c r="M31" s="387" t="s">
        <v>77</v>
      </c>
      <c r="N31" s="387"/>
      <c r="O31" s="387" t="s">
        <v>77</v>
      </c>
      <c r="P31" s="389" t="s">
        <v>77</v>
      </c>
      <c r="Q31" s="388"/>
      <c r="R31" s="387"/>
      <c r="S31" s="387"/>
      <c r="T31" s="387"/>
      <c r="U31" s="390" t="s">
        <v>80</v>
      </c>
      <c r="V31" s="386"/>
      <c r="W31" s="372"/>
      <c r="X31" s="372"/>
      <c r="Y31" s="372"/>
      <c r="Z31" s="373"/>
      <c r="AA31" s="374"/>
      <c r="AB31" s="372"/>
      <c r="AC31" s="372"/>
      <c r="AD31" s="372"/>
      <c r="AE31" s="371"/>
      <c r="AF31" s="375"/>
      <c r="AG31" s="372"/>
      <c r="AH31" s="372"/>
      <c r="AI31" s="372"/>
      <c r="AJ31" s="373"/>
      <c r="AK31" s="374"/>
      <c r="AL31" s="372"/>
      <c r="AM31" s="372"/>
      <c r="AN31" s="372"/>
      <c r="AO31" s="371"/>
      <c r="AP31" s="375"/>
      <c r="AQ31" s="372"/>
      <c r="AR31" s="372"/>
      <c r="AS31" s="372"/>
      <c r="AT31" s="373"/>
      <c r="AU31" s="374"/>
      <c r="AV31" s="372"/>
      <c r="AW31" s="372"/>
      <c r="AX31" s="372"/>
      <c r="AY31" s="371"/>
      <c r="AZ31" s="375"/>
      <c r="BA31" s="372"/>
      <c r="BB31" s="372"/>
      <c r="BC31" s="372"/>
      <c r="BD31" s="373"/>
      <c r="BE31" s="374"/>
      <c r="BF31" s="372"/>
      <c r="BG31" s="372"/>
      <c r="BH31" s="372"/>
      <c r="BI31" s="371"/>
      <c r="BJ31" s="375"/>
      <c r="BK31" s="372"/>
      <c r="BL31" s="372"/>
      <c r="BM31" s="372"/>
      <c r="BN31" s="373"/>
      <c r="BO31" s="374"/>
      <c r="BP31" s="372"/>
      <c r="BQ31" s="372"/>
      <c r="BR31" s="372"/>
      <c r="BS31" s="371"/>
      <c r="BT31" s="375"/>
      <c r="BU31" s="372"/>
      <c r="BV31" s="372"/>
      <c r="BW31" s="372"/>
      <c r="BX31" s="373"/>
      <c r="BY31" s="374"/>
      <c r="BZ31" s="372"/>
      <c r="CA31" s="372"/>
      <c r="CB31" s="372"/>
      <c r="CC31" s="371"/>
      <c r="CD31" s="375"/>
      <c r="CE31" s="372"/>
      <c r="CF31" s="372"/>
      <c r="CG31" s="372"/>
      <c r="CH31" s="371"/>
      <c r="CI31" s="375"/>
      <c r="CJ31" s="372"/>
      <c r="CK31" s="372"/>
      <c r="CL31" s="372"/>
      <c r="CM31" s="373"/>
    </row>
    <row r="32" spans="1:118" ht="25.5" customHeight="1">
      <c r="A32" s="386">
        <v>4175</v>
      </c>
      <c r="B32" s="387" t="s">
        <v>11</v>
      </c>
      <c r="C32" s="387" t="s">
        <v>44</v>
      </c>
      <c r="D32" s="387" t="s">
        <v>76</v>
      </c>
      <c r="E32" s="372" t="s">
        <v>53</v>
      </c>
      <c r="F32" s="387"/>
      <c r="G32" s="372" t="s">
        <v>918</v>
      </c>
      <c r="H32" s="371" t="s">
        <v>54</v>
      </c>
      <c r="I32" s="375"/>
      <c r="J32" s="372"/>
      <c r="K32" s="373"/>
      <c r="L32" s="388" t="s">
        <v>78</v>
      </c>
      <c r="M32" s="387" t="s">
        <v>77</v>
      </c>
      <c r="N32" s="387"/>
      <c r="O32" s="387" t="s">
        <v>77</v>
      </c>
      <c r="P32" s="389" t="s">
        <v>77</v>
      </c>
      <c r="Q32" s="388"/>
      <c r="R32" s="387"/>
      <c r="S32" s="387"/>
      <c r="T32" s="387"/>
      <c r="U32" s="390" t="s">
        <v>80</v>
      </c>
      <c r="V32" s="386"/>
      <c r="W32" s="372"/>
      <c r="X32" s="372"/>
      <c r="Y32" s="372"/>
      <c r="Z32" s="373"/>
      <c r="AA32" s="374"/>
      <c r="AB32" s="372"/>
      <c r="AC32" s="372"/>
      <c r="AD32" s="372"/>
      <c r="AE32" s="371"/>
      <c r="AF32" s="375"/>
      <c r="AG32" s="372"/>
      <c r="AH32" s="372"/>
      <c r="AI32" s="372"/>
      <c r="AJ32" s="373"/>
      <c r="AK32" s="374"/>
      <c r="AL32" s="372"/>
      <c r="AM32" s="372"/>
      <c r="AN32" s="372"/>
      <c r="AO32" s="371"/>
      <c r="AP32" s="375"/>
      <c r="AQ32" s="372"/>
      <c r="AR32" s="372"/>
      <c r="AS32" s="372"/>
      <c r="AT32" s="373"/>
      <c r="AU32" s="374"/>
      <c r="AV32" s="372"/>
      <c r="AW32" s="372"/>
      <c r="AX32" s="372"/>
      <c r="AY32" s="371"/>
      <c r="AZ32" s="375"/>
      <c r="BA32" s="372"/>
      <c r="BB32" s="372"/>
      <c r="BC32" s="372"/>
      <c r="BD32" s="373"/>
      <c r="BE32" s="374"/>
      <c r="BF32" s="372"/>
      <c r="BG32" s="372"/>
      <c r="BH32" s="372"/>
      <c r="BI32" s="371"/>
      <c r="BJ32" s="375"/>
      <c r="BK32" s="372"/>
      <c r="BL32" s="372"/>
      <c r="BM32" s="372"/>
      <c r="BN32" s="373"/>
      <c r="BO32" s="374"/>
      <c r="BP32" s="372"/>
      <c r="BQ32" s="372"/>
      <c r="BR32" s="372"/>
      <c r="BS32" s="371"/>
      <c r="BT32" s="375"/>
      <c r="BU32" s="372"/>
      <c r="BV32" s="372"/>
      <c r="BW32" s="372"/>
      <c r="BX32" s="373"/>
      <c r="BY32" s="374"/>
      <c r="BZ32" s="372"/>
      <c r="CA32" s="372"/>
      <c r="CB32" s="372"/>
      <c r="CC32" s="371"/>
      <c r="CD32" s="375"/>
      <c r="CE32" s="372"/>
      <c r="CF32" s="372"/>
      <c r="CG32" s="372"/>
      <c r="CH32" s="371"/>
      <c r="CI32" s="375"/>
      <c r="CJ32" s="372"/>
      <c r="CK32" s="372"/>
      <c r="CL32" s="372"/>
      <c r="CM32" s="373"/>
    </row>
    <row r="33" spans="1:91" ht="25.5" customHeight="1">
      <c r="A33" s="386">
        <v>4176</v>
      </c>
      <c r="B33" s="387" t="s">
        <v>11</v>
      </c>
      <c r="C33" s="387" t="s">
        <v>44</v>
      </c>
      <c r="D33" s="387" t="s">
        <v>76</v>
      </c>
      <c r="E33" s="372" t="s">
        <v>53</v>
      </c>
      <c r="F33" s="387"/>
      <c r="G33" s="372" t="s">
        <v>920</v>
      </c>
      <c r="H33" s="371" t="s">
        <v>54</v>
      </c>
      <c r="I33" s="375"/>
      <c r="J33" s="372"/>
      <c r="K33" s="373"/>
      <c r="L33" s="388" t="s">
        <v>78</v>
      </c>
      <c r="M33" s="387" t="s">
        <v>77</v>
      </c>
      <c r="N33" s="387"/>
      <c r="O33" s="387" t="s">
        <v>77</v>
      </c>
      <c r="P33" s="389" t="s">
        <v>77</v>
      </c>
      <c r="Q33" s="388"/>
      <c r="R33" s="387"/>
      <c r="S33" s="387"/>
      <c r="T33" s="387"/>
      <c r="U33" s="390" t="s">
        <v>80</v>
      </c>
      <c r="V33" s="386"/>
      <c r="W33" s="372"/>
      <c r="X33" s="372"/>
      <c r="Y33" s="372"/>
      <c r="Z33" s="373"/>
      <c r="AA33" s="374"/>
      <c r="AB33" s="372"/>
      <c r="AC33" s="372"/>
      <c r="AD33" s="372"/>
      <c r="AE33" s="371"/>
      <c r="AF33" s="375"/>
      <c r="AG33" s="372"/>
      <c r="AH33" s="372"/>
      <c r="AI33" s="372"/>
      <c r="AJ33" s="373"/>
      <c r="AK33" s="374"/>
      <c r="AL33" s="372"/>
      <c r="AM33" s="372"/>
      <c r="AN33" s="372"/>
      <c r="AO33" s="371"/>
      <c r="AP33" s="375"/>
      <c r="AQ33" s="372"/>
      <c r="AR33" s="372"/>
      <c r="AS33" s="372"/>
      <c r="AT33" s="373"/>
      <c r="AU33" s="374"/>
      <c r="AV33" s="372"/>
      <c r="AW33" s="372"/>
      <c r="AX33" s="372"/>
      <c r="AY33" s="371"/>
      <c r="AZ33" s="375"/>
      <c r="BA33" s="372"/>
      <c r="BB33" s="372"/>
      <c r="BC33" s="372"/>
      <c r="BD33" s="373"/>
      <c r="BE33" s="374"/>
      <c r="BF33" s="372"/>
      <c r="BG33" s="372"/>
      <c r="BH33" s="372"/>
      <c r="BI33" s="371"/>
      <c r="BJ33" s="375"/>
      <c r="BK33" s="372"/>
      <c r="BL33" s="372"/>
      <c r="BM33" s="372"/>
      <c r="BN33" s="373"/>
      <c r="BO33" s="374"/>
      <c r="BP33" s="372"/>
      <c r="BQ33" s="372"/>
      <c r="BR33" s="372"/>
      <c r="BS33" s="371"/>
      <c r="BT33" s="375"/>
      <c r="BU33" s="372"/>
      <c r="BV33" s="372"/>
      <c r="BW33" s="372"/>
      <c r="BX33" s="373"/>
      <c r="BY33" s="374"/>
      <c r="BZ33" s="372"/>
      <c r="CA33" s="372"/>
      <c r="CB33" s="372"/>
      <c r="CC33" s="371"/>
      <c r="CD33" s="375"/>
      <c r="CE33" s="372"/>
      <c r="CF33" s="372"/>
      <c r="CG33" s="372"/>
      <c r="CH33" s="371"/>
      <c r="CI33" s="375"/>
      <c r="CJ33" s="372"/>
      <c r="CK33" s="372"/>
      <c r="CL33" s="372"/>
      <c r="CM33" s="373"/>
    </row>
    <row r="34" spans="1:91" ht="25.5" customHeight="1" thickBot="1">
      <c r="A34" s="411">
        <v>4177</v>
      </c>
      <c r="B34" s="412" t="s">
        <v>11</v>
      </c>
      <c r="C34" s="412" t="s">
        <v>44</v>
      </c>
      <c r="D34" s="412" t="s">
        <v>76</v>
      </c>
      <c r="E34" s="377" t="s">
        <v>53</v>
      </c>
      <c r="F34" s="412"/>
      <c r="G34" s="377" t="s">
        <v>922</v>
      </c>
      <c r="H34" s="376" t="s">
        <v>54</v>
      </c>
      <c r="I34" s="380"/>
      <c r="J34" s="377"/>
      <c r="K34" s="378"/>
      <c r="L34" s="413" t="s">
        <v>78</v>
      </c>
      <c r="M34" s="412" t="s">
        <v>77</v>
      </c>
      <c r="N34" s="412"/>
      <c r="O34" s="412" t="s">
        <v>77</v>
      </c>
      <c r="P34" s="414" t="s">
        <v>77</v>
      </c>
      <c r="Q34" s="413"/>
      <c r="R34" s="412"/>
      <c r="S34" s="412"/>
      <c r="T34" s="412"/>
      <c r="U34" s="415" t="s">
        <v>80</v>
      </c>
      <c r="V34" s="411"/>
      <c r="W34" s="377"/>
      <c r="X34" s="377"/>
      <c r="Y34" s="377"/>
      <c r="Z34" s="378"/>
      <c r="AA34" s="379"/>
      <c r="AB34" s="377"/>
      <c r="AC34" s="377"/>
      <c r="AD34" s="377"/>
      <c r="AE34" s="376"/>
      <c r="AF34" s="380"/>
      <c r="AG34" s="377"/>
      <c r="AH34" s="377"/>
      <c r="AI34" s="377"/>
      <c r="AJ34" s="378"/>
      <c r="AK34" s="379"/>
      <c r="AL34" s="377"/>
      <c r="AM34" s="377"/>
      <c r="AN34" s="377"/>
      <c r="AO34" s="376"/>
      <c r="AP34" s="380"/>
      <c r="AQ34" s="377"/>
      <c r="AR34" s="377"/>
      <c r="AS34" s="377"/>
      <c r="AT34" s="378"/>
      <c r="AU34" s="379"/>
      <c r="AV34" s="377"/>
      <c r="AW34" s="377"/>
      <c r="AX34" s="377"/>
      <c r="AY34" s="376"/>
      <c r="AZ34" s="380"/>
      <c r="BA34" s="377"/>
      <c r="BB34" s="377"/>
      <c r="BC34" s="377"/>
      <c r="BD34" s="378"/>
      <c r="BE34" s="379"/>
      <c r="BF34" s="377"/>
      <c r="BG34" s="377"/>
      <c r="BH34" s="377"/>
      <c r="BI34" s="376"/>
      <c r="BJ34" s="380"/>
      <c r="BK34" s="377"/>
      <c r="BL34" s="377"/>
      <c r="BM34" s="377"/>
      <c r="BN34" s="378"/>
      <c r="BO34" s="379"/>
      <c r="BP34" s="377"/>
      <c r="BQ34" s="377"/>
      <c r="BR34" s="377"/>
      <c r="BS34" s="376"/>
      <c r="BT34" s="380"/>
      <c r="BU34" s="377"/>
      <c r="BV34" s="377"/>
      <c r="BW34" s="377"/>
      <c r="BX34" s="378"/>
      <c r="BY34" s="379"/>
      <c r="BZ34" s="377"/>
      <c r="CA34" s="377"/>
      <c r="CB34" s="377"/>
      <c r="CC34" s="376"/>
      <c r="CD34" s="380"/>
      <c r="CE34" s="377"/>
      <c r="CF34" s="377"/>
      <c r="CG34" s="377"/>
      <c r="CH34" s="376"/>
      <c r="CI34" s="380"/>
      <c r="CJ34" s="377"/>
      <c r="CK34" s="377"/>
      <c r="CL34" s="377"/>
      <c r="CM34" s="378"/>
    </row>
    <row r="35" spans="1:91" ht="25.5" customHeight="1">
      <c r="A35" s="416">
        <v>4178</v>
      </c>
      <c r="B35" s="417" t="s">
        <v>11</v>
      </c>
      <c r="C35" s="417" t="s">
        <v>44</v>
      </c>
      <c r="D35" s="417" t="s">
        <v>76</v>
      </c>
      <c r="E35" s="381" t="s">
        <v>53</v>
      </c>
      <c r="F35" s="417"/>
      <c r="G35" s="381" t="s">
        <v>924</v>
      </c>
      <c r="H35" s="384" t="s">
        <v>54</v>
      </c>
      <c r="I35" s="385"/>
      <c r="J35" s="381"/>
      <c r="K35" s="382"/>
      <c r="L35" s="418" t="s">
        <v>78</v>
      </c>
      <c r="M35" s="417" t="s">
        <v>77</v>
      </c>
      <c r="N35" s="417"/>
      <c r="O35" s="417" t="s">
        <v>77</v>
      </c>
      <c r="P35" s="419" t="s">
        <v>77</v>
      </c>
      <c r="Q35" s="418"/>
      <c r="R35" s="417"/>
      <c r="S35" s="417"/>
      <c r="T35" s="417"/>
      <c r="U35" s="420" t="s">
        <v>80</v>
      </c>
      <c r="V35" s="416"/>
      <c r="W35" s="381"/>
      <c r="X35" s="381"/>
      <c r="Y35" s="381"/>
      <c r="Z35" s="382"/>
      <c r="AA35" s="383"/>
      <c r="AB35" s="381"/>
      <c r="AC35" s="381"/>
      <c r="AD35" s="381"/>
      <c r="AE35" s="384"/>
      <c r="AF35" s="385"/>
      <c r="AG35" s="381"/>
      <c r="AH35" s="381"/>
      <c r="AI35" s="381"/>
      <c r="AJ35" s="382"/>
      <c r="AK35" s="383"/>
      <c r="AL35" s="381"/>
      <c r="AM35" s="381"/>
      <c r="AN35" s="381"/>
      <c r="AO35" s="384"/>
      <c r="AP35" s="385"/>
      <c r="AQ35" s="381"/>
      <c r="AR35" s="381"/>
      <c r="AS35" s="381"/>
      <c r="AT35" s="382"/>
      <c r="AU35" s="383"/>
      <c r="AV35" s="381"/>
      <c r="AW35" s="381"/>
      <c r="AX35" s="381"/>
      <c r="AY35" s="384"/>
      <c r="AZ35" s="385"/>
      <c r="BA35" s="381"/>
      <c r="BB35" s="381"/>
      <c r="BC35" s="381"/>
      <c r="BD35" s="382"/>
      <c r="BE35" s="383"/>
      <c r="BF35" s="381"/>
      <c r="BG35" s="381"/>
      <c r="BH35" s="381"/>
      <c r="BI35" s="384"/>
      <c r="BJ35" s="385"/>
      <c r="BK35" s="381"/>
      <c r="BL35" s="381"/>
      <c r="BM35" s="381"/>
      <c r="BN35" s="382"/>
      <c r="BO35" s="383"/>
      <c r="BP35" s="381"/>
      <c r="BQ35" s="381"/>
      <c r="BR35" s="381"/>
      <c r="BS35" s="384"/>
      <c r="BT35" s="385"/>
      <c r="BU35" s="381"/>
      <c r="BV35" s="381"/>
      <c r="BW35" s="381"/>
      <c r="BX35" s="382"/>
      <c r="BY35" s="383"/>
      <c r="BZ35" s="381"/>
      <c r="CA35" s="381"/>
      <c r="CB35" s="381"/>
      <c r="CC35" s="384"/>
      <c r="CD35" s="385"/>
      <c r="CE35" s="381"/>
      <c r="CF35" s="381"/>
      <c r="CG35" s="381"/>
      <c r="CH35" s="384"/>
      <c r="CI35" s="385"/>
      <c r="CJ35" s="381"/>
      <c r="CK35" s="381"/>
      <c r="CL35" s="381"/>
      <c r="CM35" s="382"/>
    </row>
    <row r="36" spans="1:91" ht="25.5" customHeight="1">
      <c r="A36" s="386">
        <v>4179</v>
      </c>
      <c r="B36" s="387" t="s">
        <v>11</v>
      </c>
      <c r="C36" s="387" t="s">
        <v>44</v>
      </c>
      <c r="D36" s="387" t="s">
        <v>76</v>
      </c>
      <c r="E36" s="372" t="s">
        <v>53</v>
      </c>
      <c r="F36" s="387"/>
      <c r="G36" s="372" t="s">
        <v>926</v>
      </c>
      <c r="H36" s="371" t="s">
        <v>54</v>
      </c>
      <c r="I36" s="375"/>
      <c r="J36" s="372"/>
      <c r="K36" s="373"/>
      <c r="L36" s="388" t="s">
        <v>78</v>
      </c>
      <c r="M36" s="387" t="s">
        <v>77</v>
      </c>
      <c r="N36" s="387"/>
      <c r="O36" s="387" t="s">
        <v>77</v>
      </c>
      <c r="P36" s="389" t="s">
        <v>77</v>
      </c>
      <c r="Q36" s="388"/>
      <c r="R36" s="387"/>
      <c r="S36" s="387"/>
      <c r="T36" s="387"/>
      <c r="U36" s="390" t="s">
        <v>80</v>
      </c>
      <c r="V36" s="386"/>
      <c r="W36" s="372"/>
      <c r="X36" s="372"/>
      <c r="Y36" s="372"/>
      <c r="Z36" s="373"/>
      <c r="AA36" s="374"/>
      <c r="AB36" s="372"/>
      <c r="AC36" s="372"/>
      <c r="AD36" s="372"/>
      <c r="AE36" s="371"/>
      <c r="AF36" s="375"/>
      <c r="AG36" s="372"/>
      <c r="AH36" s="372"/>
      <c r="AI36" s="372"/>
      <c r="AJ36" s="373"/>
      <c r="AK36" s="374"/>
      <c r="AL36" s="372"/>
      <c r="AM36" s="372"/>
      <c r="AN36" s="372"/>
      <c r="AO36" s="371"/>
      <c r="AP36" s="375"/>
      <c r="AQ36" s="372"/>
      <c r="AR36" s="372"/>
      <c r="AS36" s="372"/>
      <c r="AT36" s="373"/>
      <c r="AU36" s="374"/>
      <c r="AV36" s="372"/>
      <c r="AW36" s="372"/>
      <c r="AX36" s="372"/>
      <c r="AY36" s="371"/>
      <c r="AZ36" s="375"/>
      <c r="BA36" s="372"/>
      <c r="BB36" s="372"/>
      <c r="BC36" s="372"/>
      <c r="BD36" s="373"/>
      <c r="BE36" s="374"/>
      <c r="BF36" s="372"/>
      <c r="BG36" s="372"/>
      <c r="BH36" s="372"/>
      <c r="BI36" s="371"/>
      <c r="BJ36" s="375"/>
      <c r="BK36" s="372"/>
      <c r="BL36" s="372"/>
      <c r="BM36" s="372"/>
      <c r="BN36" s="373"/>
      <c r="BO36" s="374"/>
      <c r="BP36" s="372"/>
      <c r="BQ36" s="372"/>
      <c r="BR36" s="372"/>
      <c r="BS36" s="371"/>
      <c r="BT36" s="375"/>
      <c r="BU36" s="372"/>
      <c r="BV36" s="372"/>
      <c r="BW36" s="372"/>
      <c r="BX36" s="373"/>
      <c r="BY36" s="374"/>
      <c r="BZ36" s="372"/>
      <c r="CA36" s="372"/>
      <c r="CB36" s="372"/>
      <c r="CC36" s="371"/>
      <c r="CD36" s="375"/>
      <c r="CE36" s="372"/>
      <c r="CF36" s="372"/>
      <c r="CG36" s="372"/>
      <c r="CH36" s="371"/>
      <c r="CI36" s="375"/>
      <c r="CJ36" s="372"/>
      <c r="CK36" s="372"/>
      <c r="CL36" s="372"/>
      <c r="CM36" s="373"/>
    </row>
    <row r="37" spans="1:91" ht="25.5" customHeight="1">
      <c r="A37" s="386">
        <v>4180</v>
      </c>
      <c r="B37" s="387" t="s">
        <v>11</v>
      </c>
      <c r="C37" s="387" t="s">
        <v>44</v>
      </c>
      <c r="D37" s="387" t="s">
        <v>76</v>
      </c>
      <c r="E37" s="372" t="s">
        <v>53</v>
      </c>
      <c r="F37" s="387"/>
      <c r="G37" s="372" t="s">
        <v>928</v>
      </c>
      <c r="H37" s="371" t="s">
        <v>54</v>
      </c>
      <c r="I37" s="375"/>
      <c r="J37" s="372"/>
      <c r="K37" s="373"/>
      <c r="L37" s="388" t="s">
        <v>78</v>
      </c>
      <c r="M37" s="387" t="s">
        <v>77</v>
      </c>
      <c r="N37" s="387"/>
      <c r="O37" s="387" t="s">
        <v>77</v>
      </c>
      <c r="P37" s="389" t="s">
        <v>77</v>
      </c>
      <c r="Q37" s="388"/>
      <c r="R37" s="387"/>
      <c r="S37" s="387"/>
      <c r="T37" s="387"/>
      <c r="U37" s="390" t="s">
        <v>80</v>
      </c>
      <c r="V37" s="386"/>
      <c r="W37" s="372"/>
      <c r="X37" s="372"/>
      <c r="Y37" s="372"/>
      <c r="Z37" s="373"/>
      <c r="AA37" s="374"/>
      <c r="AB37" s="372"/>
      <c r="AC37" s="372"/>
      <c r="AD37" s="372"/>
      <c r="AE37" s="371"/>
      <c r="AF37" s="375"/>
      <c r="AG37" s="372"/>
      <c r="AH37" s="372"/>
      <c r="AI37" s="372"/>
      <c r="AJ37" s="373"/>
      <c r="AK37" s="374"/>
      <c r="AL37" s="372"/>
      <c r="AM37" s="372"/>
      <c r="AN37" s="372"/>
      <c r="AO37" s="371"/>
      <c r="AP37" s="375"/>
      <c r="AQ37" s="372"/>
      <c r="AR37" s="372"/>
      <c r="AS37" s="372"/>
      <c r="AT37" s="373"/>
      <c r="AU37" s="374"/>
      <c r="AV37" s="372"/>
      <c r="AW37" s="372"/>
      <c r="AX37" s="372"/>
      <c r="AY37" s="371"/>
      <c r="AZ37" s="375"/>
      <c r="BA37" s="372"/>
      <c r="BB37" s="372"/>
      <c r="BC37" s="372"/>
      <c r="BD37" s="373"/>
      <c r="BE37" s="374"/>
      <c r="BF37" s="372"/>
      <c r="BG37" s="372"/>
      <c r="BH37" s="372"/>
      <c r="BI37" s="371"/>
      <c r="BJ37" s="375"/>
      <c r="BK37" s="372"/>
      <c r="BL37" s="372"/>
      <c r="BM37" s="372"/>
      <c r="BN37" s="373"/>
      <c r="BO37" s="374"/>
      <c r="BP37" s="372"/>
      <c r="BQ37" s="372"/>
      <c r="BR37" s="372"/>
      <c r="BS37" s="371"/>
      <c r="BT37" s="375"/>
      <c r="BU37" s="372"/>
      <c r="BV37" s="372"/>
      <c r="BW37" s="372"/>
      <c r="BX37" s="373"/>
      <c r="BY37" s="374"/>
      <c r="BZ37" s="372"/>
      <c r="CA37" s="372"/>
      <c r="CB37" s="372"/>
      <c r="CC37" s="371"/>
      <c r="CD37" s="375"/>
      <c r="CE37" s="372"/>
      <c r="CF37" s="372"/>
      <c r="CG37" s="372"/>
      <c r="CH37" s="371"/>
      <c r="CI37" s="375"/>
      <c r="CJ37" s="372"/>
      <c r="CK37" s="372"/>
      <c r="CL37" s="372"/>
      <c r="CM37" s="373"/>
    </row>
    <row r="38" spans="1:91" ht="25.5" customHeight="1">
      <c r="A38" s="386">
        <v>4181</v>
      </c>
      <c r="B38" s="387" t="s">
        <v>11</v>
      </c>
      <c r="C38" s="387" t="s">
        <v>44</v>
      </c>
      <c r="D38" s="387" t="s">
        <v>76</v>
      </c>
      <c r="E38" s="372" t="s">
        <v>53</v>
      </c>
      <c r="F38" s="387"/>
      <c r="G38" s="372" t="s">
        <v>930</v>
      </c>
      <c r="H38" s="371" t="s">
        <v>54</v>
      </c>
      <c r="I38" s="375"/>
      <c r="J38" s="372"/>
      <c r="K38" s="373"/>
      <c r="L38" s="388" t="s">
        <v>78</v>
      </c>
      <c r="M38" s="387" t="s">
        <v>77</v>
      </c>
      <c r="N38" s="387"/>
      <c r="O38" s="387" t="s">
        <v>77</v>
      </c>
      <c r="P38" s="389" t="s">
        <v>77</v>
      </c>
      <c r="Q38" s="388"/>
      <c r="R38" s="387"/>
      <c r="S38" s="387"/>
      <c r="T38" s="387"/>
      <c r="U38" s="390" t="s">
        <v>80</v>
      </c>
      <c r="V38" s="386"/>
      <c r="W38" s="372"/>
      <c r="X38" s="372"/>
      <c r="Y38" s="372"/>
      <c r="Z38" s="373"/>
      <c r="AA38" s="374"/>
      <c r="AB38" s="372"/>
      <c r="AC38" s="372"/>
      <c r="AD38" s="372"/>
      <c r="AE38" s="371"/>
      <c r="AF38" s="375"/>
      <c r="AG38" s="372"/>
      <c r="AH38" s="372"/>
      <c r="AI38" s="372"/>
      <c r="AJ38" s="373"/>
      <c r="AK38" s="374"/>
      <c r="AL38" s="372"/>
      <c r="AM38" s="372"/>
      <c r="AN38" s="372"/>
      <c r="AO38" s="371"/>
      <c r="AP38" s="375"/>
      <c r="AQ38" s="372"/>
      <c r="AR38" s="372"/>
      <c r="AS38" s="372"/>
      <c r="AT38" s="373"/>
      <c r="AU38" s="374"/>
      <c r="AV38" s="372"/>
      <c r="AW38" s="372"/>
      <c r="AX38" s="372"/>
      <c r="AY38" s="371"/>
      <c r="AZ38" s="375"/>
      <c r="BA38" s="372"/>
      <c r="BB38" s="372"/>
      <c r="BC38" s="372"/>
      <c r="BD38" s="373"/>
      <c r="BE38" s="374"/>
      <c r="BF38" s="372"/>
      <c r="BG38" s="372"/>
      <c r="BH38" s="372"/>
      <c r="BI38" s="371"/>
      <c r="BJ38" s="375"/>
      <c r="BK38" s="372"/>
      <c r="BL38" s="372"/>
      <c r="BM38" s="372"/>
      <c r="BN38" s="373"/>
      <c r="BO38" s="374"/>
      <c r="BP38" s="372"/>
      <c r="BQ38" s="372"/>
      <c r="BR38" s="372"/>
      <c r="BS38" s="371"/>
      <c r="BT38" s="375"/>
      <c r="BU38" s="372"/>
      <c r="BV38" s="372"/>
      <c r="BW38" s="372"/>
      <c r="BX38" s="373"/>
      <c r="BY38" s="374"/>
      <c r="BZ38" s="372"/>
      <c r="CA38" s="372"/>
      <c r="CB38" s="372"/>
      <c r="CC38" s="371"/>
      <c r="CD38" s="375"/>
      <c r="CE38" s="372"/>
      <c r="CF38" s="372"/>
      <c r="CG38" s="372"/>
      <c r="CH38" s="371"/>
      <c r="CI38" s="375"/>
      <c r="CJ38" s="372"/>
      <c r="CK38" s="372"/>
      <c r="CL38" s="372"/>
      <c r="CM38" s="373"/>
    </row>
    <row r="39" spans="1:91" ht="25.5" customHeight="1" thickBot="1">
      <c r="A39" s="391">
        <v>4182</v>
      </c>
      <c r="B39" s="392" t="s">
        <v>11</v>
      </c>
      <c r="C39" s="392" t="s">
        <v>44</v>
      </c>
      <c r="D39" s="392" t="s">
        <v>76</v>
      </c>
      <c r="E39" s="393" t="s">
        <v>53</v>
      </c>
      <c r="F39" s="392"/>
      <c r="G39" s="393" t="s">
        <v>932</v>
      </c>
      <c r="H39" s="394" t="s">
        <v>54</v>
      </c>
      <c r="I39" s="395"/>
      <c r="J39" s="393"/>
      <c r="K39" s="396"/>
      <c r="L39" s="397" t="s">
        <v>78</v>
      </c>
      <c r="M39" s="392" t="s">
        <v>77</v>
      </c>
      <c r="N39" s="392"/>
      <c r="O39" s="392" t="s">
        <v>77</v>
      </c>
      <c r="P39" s="398" t="s">
        <v>77</v>
      </c>
      <c r="Q39" s="397"/>
      <c r="R39" s="392"/>
      <c r="S39" s="392"/>
      <c r="T39" s="392"/>
      <c r="U39" s="399" t="s">
        <v>80</v>
      </c>
      <c r="V39" s="391"/>
      <c r="W39" s="393"/>
      <c r="X39" s="393"/>
      <c r="Y39" s="393"/>
      <c r="Z39" s="396"/>
      <c r="AA39" s="400"/>
      <c r="AB39" s="393"/>
      <c r="AC39" s="393"/>
      <c r="AD39" s="393"/>
      <c r="AE39" s="394"/>
      <c r="AF39" s="395"/>
      <c r="AG39" s="393"/>
      <c r="AH39" s="393"/>
      <c r="AI39" s="393"/>
      <c r="AJ39" s="396"/>
      <c r="AK39" s="400"/>
      <c r="AL39" s="393"/>
      <c r="AM39" s="393"/>
      <c r="AN39" s="393"/>
      <c r="AO39" s="394"/>
      <c r="AP39" s="395"/>
      <c r="AQ39" s="393"/>
      <c r="AR39" s="393"/>
      <c r="AS39" s="393"/>
      <c r="AT39" s="396"/>
      <c r="AU39" s="400"/>
      <c r="AV39" s="393"/>
      <c r="AW39" s="393"/>
      <c r="AX39" s="393"/>
      <c r="AY39" s="394"/>
      <c r="AZ39" s="395"/>
      <c r="BA39" s="393"/>
      <c r="BB39" s="393"/>
      <c r="BC39" s="393"/>
      <c r="BD39" s="396"/>
      <c r="BE39" s="400"/>
      <c r="BF39" s="393"/>
      <c r="BG39" s="393"/>
      <c r="BH39" s="393"/>
      <c r="BI39" s="394"/>
      <c r="BJ39" s="395"/>
      <c r="BK39" s="393"/>
      <c r="BL39" s="393"/>
      <c r="BM39" s="393"/>
      <c r="BN39" s="396"/>
      <c r="BO39" s="400"/>
      <c r="BP39" s="393"/>
      <c r="BQ39" s="393"/>
      <c r="BR39" s="393"/>
      <c r="BS39" s="394"/>
      <c r="BT39" s="395"/>
      <c r="BU39" s="393"/>
      <c r="BV39" s="393"/>
      <c r="BW39" s="393"/>
      <c r="BX39" s="396"/>
      <c r="BY39" s="400"/>
      <c r="BZ39" s="393"/>
      <c r="CA39" s="393"/>
      <c r="CB39" s="393"/>
      <c r="CC39" s="394"/>
      <c r="CD39" s="395"/>
      <c r="CE39" s="393"/>
      <c r="CF39" s="393"/>
      <c r="CG39" s="393"/>
      <c r="CH39" s="394"/>
      <c r="CI39" s="395"/>
      <c r="CJ39" s="393"/>
      <c r="CK39" s="393"/>
      <c r="CL39" s="393"/>
      <c r="CM39" s="396"/>
    </row>
    <row r="40" spans="1:91" ht="25.5" customHeight="1">
      <c r="A40" s="401">
        <v>4183</v>
      </c>
      <c r="B40" s="402" t="s">
        <v>11</v>
      </c>
      <c r="C40" s="402" t="s">
        <v>44</v>
      </c>
      <c r="D40" s="402" t="s">
        <v>76</v>
      </c>
      <c r="E40" s="403" t="s">
        <v>53</v>
      </c>
      <c r="F40" s="402"/>
      <c r="G40" s="403" t="s">
        <v>934</v>
      </c>
      <c r="H40" s="404" t="s">
        <v>54</v>
      </c>
      <c r="I40" s="405"/>
      <c r="J40" s="403"/>
      <c r="K40" s="406"/>
      <c r="L40" s="407" t="s">
        <v>78</v>
      </c>
      <c r="M40" s="402" t="s">
        <v>77</v>
      </c>
      <c r="N40" s="402"/>
      <c r="O40" s="402" t="s">
        <v>77</v>
      </c>
      <c r="P40" s="408" t="s">
        <v>77</v>
      </c>
      <c r="Q40" s="407"/>
      <c r="R40" s="402"/>
      <c r="S40" s="402"/>
      <c r="T40" s="402"/>
      <c r="U40" s="409" t="s">
        <v>80</v>
      </c>
      <c r="V40" s="401"/>
      <c r="W40" s="403"/>
      <c r="X40" s="403"/>
      <c r="Y40" s="403"/>
      <c r="Z40" s="406"/>
      <c r="AA40" s="410"/>
      <c r="AB40" s="403"/>
      <c r="AC40" s="403"/>
      <c r="AD40" s="403"/>
      <c r="AE40" s="404"/>
      <c r="AF40" s="405"/>
      <c r="AG40" s="403"/>
      <c r="AH40" s="403"/>
      <c r="AI40" s="403"/>
      <c r="AJ40" s="406"/>
      <c r="AK40" s="410"/>
      <c r="AL40" s="403"/>
      <c r="AM40" s="403"/>
      <c r="AN40" s="403"/>
      <c r="AO40" s="404"/>
      <c r="AP40" s="405"/>
      <c r="AQ40" s="403"/>
      <c r="AR40" s="403"/>
      <c r="AS40" s="403"/>
      <c r="AT40" s="406"/>
      <c r="AU40" s="410"/>
      <c r="AV40" s="403"/>
      <c r="AW40" s="403"/>
      <c r="AX40" s="403"/>
      <c r="AY40" s="404"/>
      <c r="AZ40" s="405"/>
      <c r="BA40" s="403"/>
      <c r="BB40" s="403"/>
      <c r="BC40" s="403"/>
      <c r="BD40" s="406"/>
      <c r="BE40" s="410"/>
      <c r="BF40" s="403"/>
      <c r="BG40" s="403"/>
      <c r="BH40" s="403"/>
      <c r="BI40" s="404"/>
      <c r="BJ40" s="405"/>
      <c r="BK40" s="403"/>
      <c r="BL40" s="403"/>
      <c r="BM40" s="403"/>
      <c r="BN40" s="406"/>
      <c r="BO40" s="410"/>
      <c r="BP40" s="403"/>
      <c r="BQ40" s="403"/>
      <c r="BR40" s="403"/>
      <c r="BS40" s="404"/>
      <c r="BT40" s="405"/>
      <c r="BU40" s="403"/>
      <c r="BV40" s="403"/>
      <c r="BW40" s="403"/>
      <c r="BX40" s="406"/>
      <c r="BY40" s="410"/>
      <c r="BZ40" s="403"/>
      <c r="CA40" s="403"/>
      <c r="CB40" s="403"/>
      <c r="CC40" s="404"/>
      <c r="CD40" s="405"/>
      <c r="CE40" s="403"/>
      <c r="CF40" s="403"/>
      <c r="CG40" s="403"/>
      <c r="CH40" s="404"/>
      <c r="CI40" s="405"/>
      <c r="CJ40" s="403"/>
      <c r="CK40" s="403"/>
      <c r="CL40" s="403"/>
      <c r="CM40" s="406"/>
    </row>
    <row r="41" spans="1:91" ht="25.5" customHeight="1">
      <c r="A41" s="386">
        <v>4184</v>
      </c>
      <c r="B41" s="387" t="s">
        <v>11</v>
      </c>
      <c r="C41" s="387" t="s">
        <v>44</v>
      </c>
      <c r="D41" s="387" t="s">
        <v>76</v>
      </c>
      <c r="E41" s="372" t="s">
        <v>53</v>
      </c>
      <c r="F41" s="387"/>
      <c r="G41" s="372" t="s">
        <v>936</v>
      </c>
      <c r="H41" s="371" t="s">
        <v>54</v>
      </c>
      <c r="I41" s="375"/>
      <c r="J41" s="372"/>
      <c r="K41" s="373"/>
      <c r="L41" s="388" t="s">
        <v>78</v>
      </c>
      <c r="M41" s="387" t="s">
        <v>77</v>
      </c>
      <c r="N41" s="387"/>
      <c r="O41" s="387" t="s">
        <v>77</v>
      </c>
      <c r="P41" s="389" t="s">
        <v>77</v>
      </c>
      <c r="Q41" s="388"/>
      <c r="R41" s="387"/>
      <c r="S41" s="387"/>
      <c r="T41" s="387"/>
      <c r="U41" s="390" t="s">
        <v>80</v>
      </c>
      <c r="V41" s="386"/>
      <c r="W41" s="372"/>
      <c r="X41" s="372"/>
      <c r="Y41" s="372"/>
      <c r="Z41" s="373"/>
      <c r="AA41" s="374"/>
      <c r="AB41" s="372"/>
      <c r="AC41" s="372"/>
      <c r="AD41" s="372"/>
      <c r="AE41" s="371"/>
      <c r="AF41" s="375"/>
      <c r="AG41" s="372"/>
      <c r="AH41" s="372"/>
      <c r="AI41" s="372"/>
      <c r="AJ41" s="373"/>
      <c r="AK41" s="374"/>
      <c r="AL41" s="372"/>
      <c r="AM41" s="372"/>
      <c r="AN41" s="372"/>
      <c r="AO41" s="371"/>
      <c r="AP41" s="375"/>
      <c r="AQ41" s="372"/>
      <c r="AR41" s="372"/>
      <c r="AS41" s="372"/>
      <c r="AT41" s="373"/>
      <c r="AU41" s="374"/>
      <c r="AV41" s="372"/>
      <c r="AW41" s="372"/>
      <c r="AX41" s="372"/>
      <c r="AY41" s="371"/>
      <c r="AZ41" s="375"/>
      <c r="BA41" s="372"/>
      <c r="BB41" s="372"/>
      <c r="BC41" s="372"/>
      <c r="BD41" s="373"/>
      <c r="BE41" s="374"/>
      <c r="BF41" s="372"/>
      <c r="BG41" s="372"/>
      <c r="BH41" s="372"/>
      <c r="BI41" s="371"/>
      <c r="BJ41" s="375"/>
      <c r="BK41" s="372"/>
      <c r="BL41" s="372"/>
      <c r="BM41" s="372"/>
      <c r="BN41" s="373"/>
      <c r="BO41" s="374"/>
      <c r="BP41" s="372"/>
      <c r="BQ41" s="372"/>
      <c r="BR41" s="372"/>
      <c r="BS41" s="371"/>
      <c r="BT41" s="375"/>
      <c r="BU41" s="372"/>
      <c r="BV41" s="372"/>
      <c r="BW41" s="372"/>
      <c r="BX41" s="373"/>
      <c r="BY41" s="374"/>
      <c r="BZ41" s="372"/>
      <c r="CA41" s="372"/>
      <c r="CB41" s="372"/>
      <c r="CC41" s="371"/>
      <c r="CD41" s="375"/>
      <c r="CE41" s="372"/>
      <c r="CF41" s="372"/>
      <c r="CG41" s="372"/>
      <c r="CH41" s="371"/>
      <c r="CI41" s="375"/>
      <c r="CJ41" s="372"/>
      <c r="CK41" s="372"/>
      <c r="CL41" s="372"/>
      <c r="CM41" s="373"/>
    </row>
    <row r="42" spans="1:91" ht="25.5" customHeight="1">
      <c r="A42" s="386">
        <v>4185</v>
      </c>
      <c r="B42" s="387" t="s">
        <v>11</v>
      </c>
      <c r="C42" s="387" t="s">
        <v>44</v>
      </c>
      <c r="D42" s="387" t="s">
        <v>76</v>
      </c>
      <c r="E42" s="372" t="s">
        <v>53</v>
      </c>
      <c r="F42" s="387"/>
      <c r="G42" s="372" t="s">
        <v>938</v>
      </c>
      <c r="H42" s="371" t="s">
        <v>54</v>
      </c>
      <c r="I42" s="375"/>
      <c r="J42" s="372"/>
      <c r="K42" s="373"/>
      <c r="L42" s="388" t="s">
        <v>78</v>
      </c>
      <c r="M42" s="387" t="s">
        <v>77</v>
      </c>
      <c r="N42" s="387"/>
      <c r="O42" s="387" t="s">
        <v>77</v>
      </c>
      <c r="P42" s="389" t="s">
        <v>77</v>
      </c>
      <c r="Q42" s="388"/>
      <c r="R42" s="387"/>
      <c r="S42" s="387"/>
      <c r="T42" s="387"/>
      <c r="U42" s="390" t="s">
        <v>80</v>
      </c>
      <c r="V42" s="386"/>
      <c r="W42" s="372"/>
      <c r="X42" s="372"/>
      <c r="Y42" s="372"/>
      <c r="Z42" s="373"/>
      <c r="AA42" s="374"/>
      <c r="AB42" s="372"/>
      <c r="AC42" s="372"/>
      <c r="AD42" s="372"/>
      <c r="AE42" s="371"/>
      <c r="AF42" s="375"/>
      <c r="AG42" s="372"/>
      <c r="AH42" s="372"/>
      <c r="AI42" s="372"/>
      <c r="AJ42" s="373"/>
      <c r="AK42" s="374"/>
      <c r="AL42" s="372"/>
      <c r="AM42" s="372"/>
      <c r="AN42" s="372"/>
      <c r="AO42" s="371"/>
      <c r="AP42" s="375"/>
      <c r="AQ42" s="372"/>
      <c r="AR42" s="372"/>
      <c r="AS42" s="372"/>
      <c r="AT42" s="373"/>
      <c r="AU42" s="374"/>
      <c r="AV42" s="372"/>
      <c r="AW42" s="372"/>
      <c r="AX42" s="372"/>
      <c r="AY42" s="371"/>
      <c r="AZ42" s="375"/>
      <c r="BA42" s="372"/>
      <c r="BB42" s="372"/>
      <c r="BC42" s="372"/>
      <c r="BD42" s="373"/>
      <c r="BE42" s="374"/>
      <c r="BF42" s="372"/>
      <c r="BG42" s="372"/>
      <c r="BH42" s="372"/>
      <c r="BI42" s="371"/>
      <c r="BJ42" s="375"/>
      <c r="BK42" s="372"/>
      <c r="BL42" s="372"/>
      <c r="BM42" s="372"/>
      <c r="BN42" s="373"/>
      <c r="BO42" s="374"/>
      <c r="BP42" s="372"/>
      <c r="BQ42" s="372"/>
      <c r="BR42" s="372"/>
      <c r="BS42" s="371"/>
      <c r="BT42" s="375"/>
      <c r="BU42" s="372"/>
      <c r="BV42" s="372"/>
      <c r="BW42" s="372"/>
      <c r="BX42" s="373"/>
      <c r="BY42" s="374"/>
      <c r="BZ42" s="372"/>
      <c r="CA42" s="372"/>
      <c r="CB42" s="372"/>
      <c r="CC42" s="371"/>
      <c r="CD42" s="375"/>
      <c r="CE42" s="372"/>
      <c r="CF42" s="372"/>
      <c r="CG42" s="372"/>
      <c r="CH42" s="371"/>
      <c r="CI42" s="375"/>
      <c r="CJ42" s="372"/>
      <c r="CK42" s="372"/>
      <c r="CL42" s="372"/>
      <c r="CM42" s="373"/>
    </row>
    <row r="43" spans="1:91" ht="25.5" customHeight="1">
      <c r="A43" s="386">
        <v>4186</v>
      </c>
      <c r="B43" s="387" t="s">
        <v>11</v>
      </c>
      <c r="C43" s="387" t="s">
        <v>44</v>
      </c>
      <c r="D43" s="387" t="s">
        <v>76</v>
      </c>
      <c r="E43" s="372" t="s">
        <v>53</v>
      </c>
      <c r="F43" s="387"/>
      <c r="G43" s="372" t="s">
        <v>940</v>
      </c>
      <c r="H43" s="371" t="s">
        <v>54</v>
      </c>
      <c r="I43" s="375"/>
      <c r="J43" s="372"/>
      <c r="K43" s="373"/>
      <c r="L43" s="388" t="s">
        <v>78</v>
      </c>
      <c r="M43" s="387" t="s">
        <v>77</v>
      </c>
      <c r="N43" s="387"/>
      <c r="O43" s="387" t="s">
        <v>77</v>
      </c>
      <c r="P43" s="389" t="s">
        <v>77</v>
      </c>
      <c r="Q43" s="388"/>
      <c r="R43" s="387"/>
      <c r="S43" s="387"/>
      <c r="T43" s="387"/>
      <c r="U43" s="390" t="s">
        <v>80</v>
      </c>
      <c r="V43" s="386"/>
      <c r="W43" s="372"/>
      <c r="X43" s="372"/>
      <c r="Y43" s="372"/>
      <c r="Z43" s="373"/>
      <c r="AA43" s="374"/>
      <c r="AB43" s="372"/>
      <c r="AC43" s="372"/>
      <c r="AD43" s="372"/>
      <c r="AE43" s="371"/>
      <c r="AF43" s="375"/>
      <c r="AG43" s="372"/>
      <c r="AH43" s="372"/>
      <c r="AI43" s="372"/>
      <c r="AJ43" s="373"/>
      <c r="AK43" s="374"/>
      <c r="AL43" s="372"/>
      <c r="AM43" s="372"/>
      <c r="AN43" s="372"/>
      <c r="AO43" s="371"/>
      <c r="AP43" s="375"/>
      <c r="AQ43" s="372"/>
      <c r="AR43" s="372"/>
      <c r="AS43" s="372"/>
      <c r="AT43" s="373"/>
      <c r="AU43" s="374"/>
      <c r="AV43" s="372"/>
      <c r="AW43" s="372"/>
      <c r="AX43" s="372"/>
      <c r="AY43" s="371"/>
      <c r="AZ43" s="375"/>
      <c r="BA43" s="372"/>
      <c r="BB43" s="372"/>
      <c r="BC43" s="372"/>
      <c r="BD43" s="373"/>
      <c r="BE43" s="374"/>
      <c r="BF43" s="372"/>
      <c r="BG43" s="372"/>
      <c r="BH43" s="372"/>
      <c r="BI43" s="371"/>
      <c r="BJ43" s="375"/>
      <c r="BK43" s="372"/>
      <c r="BL43" s="372"/>
      <c r="BM43" s="372"/>
      <c r="BN43" s="373"/>
      <c r="BO43" s="374"/>
      <c r="BP43" s="372"/>
      <c r="BQ43" s="372"/>
      <c r="BR43" s="372"/>
      <c r="BS43" s="371"/>
      <c r="BT43" s="375"/>
      <c r="BU43" s="372"/>
      <c r="BV43" s="372"/>
      <c r="BW43" s="372"/>
      <c r="BX43" s="373"/>
      <c r="BY43" s="374"/>
      <c r="BZ43" s="372"/>
      <c r="CA43" s="372"/>
      <c r="CB43" s="372"/>
      <c r="CC43" s="371"/>
      <c r="CD43" s="375"/>
      <c r="CE43" s="372"/>
      <c r="CF43" s="372"/>
      <c r="CG43" s="372"/>
      <c r="CH43" s="371"/>
      <c r="CI43" s="375"/>
      <c r="CJ43" s="372"/>
      <c r="CK43" s="372"/>
      <c r="CL43" s="372"/>
      <c r="CM43" s="373"/>
    </row>
    <row r="44" spans="1:91" ht="25.5" customHeight="1" thickBot="1">
      <c r="A44" s="411">
        <v>4187</v>
      </c>
      <c r="B44" s="412" t="s">
        <v>11</v>
      </c>
      <c r="C44" s="412" t="s">
        <v>44</v>
      </c>
      <c r="D44" s="412" t="s">
        <v>76</v>
      </c>
      <c r="E44" s="377" t="s">
        <v>53</v>
      </c>
      <c r="F44" s="412"/>
      <c r="G44" s="377" t="s">
        <v>942</v>
      </c>
      <c r="H44" s="376" t="s">
        <v>54</v>
      </c>
      <c r="I44" s="380"/>
      <c r="J44" s="377"/>
      <c r="K44" s="378"/>
      <c r="L44" s="413" t="s">
        <v>78</v>
      </c>
      <c r="M44" s="412" t="s">
        <v>77</v>
      </c>
      <c r="N44" s="412"/>
      <c r="O44" s="412" t="s">
        <v>77</v>
      </c>
      <c r="P44" s="414" t="s">
        <v>77</v>
      </c>
      <c r="Q44" s="413"/>
      <c r="R44" s="412"/>
      <c r="S44" s="412"/>
      <c r="T44" s="412"/>
      <c r="U44" s="415" t="s">
        <v>80</v>
      </c>
      <c r="V44" s="411"/>
      <c r="W44" s="377"/>
      <c r="X44" s="377"/>
      <c r="Y44" s="377"/>
      <c r="Z44" s="378"/>
      <c r="AA44" s="379"/>
      <c r="AB44" s="377"/>
      <c r="AC44" s="377"/>
      <c r="AD44" s="377"/>
      <c r="AE44" s="376"/>
      <c r="AF44" s="380"/>
      <c r="AG44" s="377"/>
      <c r="AH44" s="377"/>
      <c r="AI44" s="377"/>
      <c r="AJ44" s="378"/>
      <c r="AK44" s="379"/>
      <c r="AL44" s="377"/>
      <c r="AM44" s="377"/>
      <c r="AN44" s="377"/>
      <c r="AO44" s="376"/>
      <c r="AP44" s="380"/>
      <c r="AQ44" s="377"/>
      <c r="AR44" s="377"/>
      <c r="AS44" s="377"/>
      <c r="AT44" s="378"/>
      <c r="AU44" s="379"/>
      <c r="AV44" s="377"/>
      <c r="AW44" s="377"/>
      <c r="AX44" s="377"/>
      <c r="AY44" s="376"/>
      <c r="AZ44" s="380"/>
      <c r="BA44" s="377"/>
      <c r="BB44" s="377"/>
      <c r="BC44" s="377"/>
      <c r="BD44" s="378"/>
      <c r="BE44" s="379"/>
      <c r="BF44" s="377"/>
      <c r="BG44" s="377"/>
      <c r="BH44" s="377"/>
      <c r="BI44" s="376"/>
      <c r="BJ44" s="380"/>
      <c r="BK44" s="377"/>
      <c r="BL44" s="377"/>
      <c r="BM44" s="377"/>
      <c r="BN44" s="378"/>
      <c r="BO44" s="379"/>
      <c r="BP44" s="377"/>
      <c r="BQ44" s="377"/>
      <c r="BR44" s="377"/>
      <c r="BS44" s="376"/>
      <c r="BT44" s="380"/>
      <c r="BU44" s="377"/>
      <c r="BV44" s="377"/>
      <c r="BW44" s="377"/>
      <c r="BX44" s="378"/>
      <c r="BY44" s="379"/>
      <c r="BZ44" s="377"/>
      <c r="CA44" s="377"/>
      <c r="CB44" s="377"/>
      <c r="CC44" s="376"/>
      <c r="CD44" s="380"/>
      <c r="CE44" s="377"/>
      <c r="CF44" s="377"/>
      <c r="CG44" s="377"/>
      <c r="CH44" s="376"/>
      <c r="CI44" s="380"/>
      <c r="CJ44" s="377"/>
      <c r="CK44" s="377"/>
      <c r="CL44" s="377"/>
      <c r="CM44" s="378"/>
    </row>
    <row r="45" spans="1:91" ht="25.5" customHeight="1">
      <c r="A45" s="416">
        <v>4188</v>
      </c>
      <c r="B45" s="417" t="s">
        <v>11</v>
      </c>
      <c r="C45" s="417" t="s">
        <v>44</v>
      </c>
      <c r="D45" s="417" t="s">
        <v>76</v>
      </c>
      <c r="E45" s="381" t="s">
        <v>53</v>
      </c>
      <c r="F45" s="417"/>
      <c r="G45" s="381" t="s">
        <v>944</v>
      </c>
      <c r="H45" s="384" t="s">
        <v>54</v>
      </c>
      <c r="I45" s="385"/>
      <c r="J45" s="381"/>
      <c r="K45" s="382"/>
      <c r="L45" s="418" t="s">
        <v>78</v>
      </c>
      <c r="M45" s="417" t="s">
        <v>77</v>
      </c>
      <c r="N45" s="417"/>
      <c r="O45" s="417" t="s">
        <v>77</v>
      </c>
      <c r="P45" s="419" t="s">
        <v>77</v>
      </c>
      <c r="Q45" s="418"/>
      <c r="R45" s="417"/>
      <c r="S45" s="417"/>
      <c r="T45" s="417"/>
      <c r="U45" s="420" t="s">
        <v>80</v>
      </c>
      <c r="V45" s="416"/>
      <c r="W45" s="381"/>
      <c r="X45" s="381"/>
      <c r="Y45" s="381"/>
      <c r="Z45" s="382"/>
      <c r="AA45" s="383"/>
      <c r="AB45" s="381"/>
      <c r="AC45" s="381"/>
      <c r="AD45" s="381"/>
      <c r="AE45" s="384"/>
      <c r="AF45" s="385"/>
      <c r="AG45" s="381"/>
      <c r="AH45" s="381"/>
      <c r="AI45" s="381"/>
      <c r="AJ45" s="382"/>
      <c r="AK45" s="383"/>
      <c r="AL45" s="381"/>
      <c r="AM45" s="381"/>
      <c r="AN45" s="381"/>
      <c r="AO45" s="384"/>
      <c r="AP45" s="385"/>
      <c r="AQ45" s="381"/>
      <c r="AR45" s="381"/>
      <c r="AS45" s="381"/>
      <c r="AT45" s="382"/>
      <c r="AU45" s="383"/>
      <c r="AV45" s="381"/>
      <c r="AW45" s="381"/>
      <c r="AX45" s="381"/>
      <c r="AY45" s="384"/>
      <c r="AZ45" s="385"/>
      <c r="BA45" s="381"/>
      <c r="BB45" s="381"/>
      <c r="BC45" s="381"/>
      <c r="BD45" s="382"/>
      <c r="BE45" s="383"/>
      <c r="BF45" s="381"/>
      <c r="BG45" s="381"/>
      <c r="BH45" s="381"/>
      <c r="BI45" s="384"/>
      <c r="BJ45" s="385"/>
      <c r="BK45" s="381"/>
      <c r="BL45" s="381"/>
      <c r="BM45" s="381"/>
      <c r="BN45" s="382"/>
      <c r="BO45" s="383"/>
      <c r="BP45" s="381"/>
      <c r="BQ45" s="381"/>
      <c r="BR45" s="381"/>
      <c r="BS45" s="384"/>
      <c r="BT45" s="385"/>
      <c r="BU45" s="381"/>
      <c r="BV45" s="381"/>
      <c r="BW45" s="381"/>
      <c r="BX45" s="382"/>
      <c r="BY45" s="383"/>
      <c r="BZ45" s="381"/>
      <c r="CA45" s="381"/>
      <c r="CB45" s="381"/>
      <c r="CC45" s="384"/>
      <c r="CD45" s="385"/>
      <c r="CE45" s="381"/>
      <c r="CF45" s="381"/>
      <c r="CG45" s="381"/>
      <c r="CH45" s="384"/>
      <c r="CI45" s="385"/>
      <c r="CJ45" s="381"/>
      <c r="CK45" s="381"/>
      <c r="CL45" s="381"/>
      <c r="CM45" s="382"/>
    </row>
    <row r="46" spans="1:91" ht="25.5" customHeight="1">
      <c r="A46" s="386">
        <v>4189</v>
      </c>
      <c r="B46" s="387" t="s">
        <v>11</v>
      </c>
      <c r="C46" s="387" t="s">
        <v>44</v>
      </c>
      <c r="D46" s="387" t="s">
        <v>76</v>
      </c>
      <c r="E46" s="372" t="s">
        <v>53</v>
      </c>
      <c r="F46" s="387"/>
      <c r="G46" s="372" t="s">
        <v>946</v>
      </c>
      <c r="H46" s="371" t="s">
        <v>54</v>
      </c>
      <c r="I46" s="375"/>
      <c r="J46" s="372"/>
      <c r="K46" s="373"/>
      <c r="L46" s="388" t="s">
        <v>78</v>
      </c>
      <c r="M46" s="387" t="s">
        <v>77</v>
      </c>
      <c r="N46" s="387"/>
      <c r="O46" s="387" t="s">
        <v>77</v>
      </c>
      <c r="P46" s="389" t="s">
        <v>77</v>
      </c>
      <c r="Q46" s="388"/>
      <c r="R46" s="387"/>
      <c r="S46" s="387"/>
      <c r="T46" s="387"/>
      <c r="U46" s="390" t="s">
        <v>80</v>
      </c>
      <c r="V46" s="386"/>
      <c r="W46" s="372"/>
      <c r="X46" s="372"/>
      <c r="Y46" s="372"/>
      <c r="Z46" s="373"/>
      <c r="AA46" s="374"/>
      <c r="AB46" s="372"/>
      <c r="AC46" s="372"/>
      <c r="AD46" s="372"/>
      <c r="AE46" s="371"/>
      <c r="AF46" s="375"/>
      <c r="AG46" s="372"/>
      <c r="AH46" s="372"/>
      <c r="AI46" s="372"/>
      <c r="AJ46" s="373"/>
      <c r="AK46" s="374"/>
      <c r="AL46" s="372"/>
      <c r="AM46" s="372"/>
      <c r="AN46" s="372"/>
      <c r="AO46" s="371"/>
      <c r="AP46" s="375"/>
      <c r="AQ46" s="372"/>
      <c r="AR46" s="372"/>
      <c r="AS46" s="372"/>
      <c r="AT46" s="373"/>
      <c r="AU46" s="374"/>
      <c r="AV46" s="372"/>
      <c r="AW46" s="372"/>
      <c r="AX46" s="372"/>
      <c r="AY46" s="371"/>
      <c r="AZ46" s="375"/>
      <c r="BA46" s="372"/>
      <c r="BB46" s="372"/>
      <c r="BC46" s="372"/>
      <c r="BD46" s="373"/>
      <c r="BE46" s="374"/>
      <c r="BF46" s="372"/>
      <c r="BG46" s="372"/>
      <c r="BH46" s="372"/>
      <c r="BI46" s="371"/>
      <c r="BJ46" s="375"/>
      <c r="BK46" s="372"/>
      <c r="BL46" s="372"/>
      <c r="BM46" s="372"/>
      <c r="BN46" s="373"/>
      <c r="BO46" s="374"/>
      <c r="BP46" s="372"/>
      <c r="BQ46" s="372"/>
      <c r="BR46" s="372"/>
      <c r="BS46" s="371"/>
      <c r="BT46" s="375"/>
      <c r="BU46" s="372"/>
      <c r="BV46" s="372"/>
      <c r="BW46" s="372"/>
      <c r="BX46" s="373"/>
      <c r="BY46" s="374"/>
      <c r="BZ46" s="372"/>
      <c r="CA46" s="372"/>
      <c r="CB46" s="372"/>
      <c r="CC46" s="371"/>
      <c r="CD46" s="375"/>
      <c r="CE46" s="372"/>
      <c r="CF46" s="372"/>
      <c r="CG46" s="372"/>
      <c r="CH46" s="371"/>
      <c r="CI46" s="375"/>
      <c r="CJ46" s="372"/>
      <c r="CK46" s="372"/>
      <c r="CL46" s="372"/>
      <c r="CM46" s="373"/>
    </row>
    <row r="47" spans="1:91" ht="25.5" customHeight="1">
      <c r="A47" s="386">
        <v>4190</v>
      </c>
      <c r="B47" s="387" t="s">
        <v>11</v>
      </c>
      <c r="C47" s="387" t="s">
        <v>44</v>
      </c>
      <c r="D47" s="387" t="s">
        <v>76</v>
      </c>
      <c r="E47" s="372" t="s">
        <v>53</v>
      </c>
      <c r="F47" s="387"/>
      <c r="G47" s="372" t="s">
        <v>948</v>
      </c>
      <c r="H47" s="371" t="s">
        <v>54</v>
      </c>
      <c r="I47" s="375"/>
      <c r="J47" s="372"/>
      <c r="K47" s="373"/>
      <c r="L47" s="388" t="s">
        <v>78</v>
      </c>
      <c r="M47" s="387" t="s">
        <v>77</v>
      </c>
      <c r="N47" s="387"/>
      <c r="O47" s="387" t="s">
        <v>77</v>
      </c>
      <c r="P47" s="389" t="s">
        <v>77</v>
      </c>
      <c r="Q47" s="388"/>
      <c r="R47" s="387"/>
      <c r="S47" s="387"/>
      <c r="T47" s="387"/>
      <c r="U47" s="390" t="s">
        <v>80</v>
      </c>
      <c r="V47" s="386"/>
      <c r="W47" s="372"/>
      <c r="X47" s="372"/>
      <c r="Y47" s="372"/>
      <c r="Z47" s="373"/>
      <c r="AA47" s="374"/>
      <c r="AB47" s="372"/>
      <c r="AC47" s="372"/>
      <c r="AD47" s="372"/>
      <c r="AE47" s="371"/>
      <c r="AF47" s="375"/>
      <c r="AG47" s="372"/>
      <c r="AH47" s="372"/>
      <c r="AI47" s="372"/>
      <c r="AJ47" s="373"/>
      <c r="AK47" s="374"/>
      <c r="AL47" s="372"/>
      <c r="AM47" s="372"/>
      <c r="AN47" s="372"/>
      <c r="AO47" s="371"/>
      <c r="AP47" s="375"/>
      <c r="AQ47" s="372"/>
      <c r="AR47" s="372"/>
      <c r="AS47" s="372"/>
      <c r="AT47" s="373"/>
      <c r="AU47" s="374"/>
      <c r="AV47" s="372"/>
      <c r="AW47" s="372"/>
      <c r="AX47" s="372"/>
      <c r="AY47" s="371"/>
      <c r="AZ47" s="375"/>
      <c r="BA47" s="372"/>
      <c r="BB47" s="372"/>
      <c r="BC47" s="372"/>
      <c r="BD47" s="373"/>
      <c r="BE47" s="374"/>
      <c r="BF47" s="372"/>
      <c r="BG47" s="372"/>
      <c r="BH47" s="372"/>
      <c r="BI47" s="371"/>
      <c r="BJ47" s="375"/>
      <c r="BK47" s="372"/>
      <c r="BL47" s="372"/>
      <c r="BM47" s="372"/>
      <c r="BN47" s="373"/>
      <c r="BO47" s="374"/>
      <c r="BP47" s="372"/>
      <c r="BQ47" s="372"/>
      <c r="BR47" s="372"/>
      <c r="BS47" s="371"/>
      <c r="BT47" s="375"/>
      <c r="BU47" s="372"/>
      <c r="BV47" s="372"/>
      <c r="BW47" s="372"/>
      <c r="BX47" s="373"/>
      <c r="BY47" s="374"/>
      <c r="BZ47" s="372"/>
      <c r="CA47" s="372"/>
      <c r="CB47" s="372"/>
      <c r="CC47" s="371"/>
      <c r="CD47" s="375"/>
      <c r="CE47" s="372"/>
      <c r="CF47" s="372"/>
      <c r="CG47" s="372"/>
      <c r="CH47" s="371"/>
      <c r="CI47" s="375"/>
      <c r="CJ47" s="372"/>
      <c r="CK47" s="372"/>
      <c r="CL47" s="372"/>
      <c r="CM47" s="373"/>
    </row>
    <row r="48" spans="1:91" ht="25.5" customHeight="1">
      <c r="A48" s="386">
        <v>4191</v>
      </c>
      <c r="B48" s="387" t="s">
        <v>11</v>
      </c>
      <c r="C48" s="387" t="s">
        <v>44</v>
      </c>
      <c r="D48" s="387" t="s">
        <v>76</v>
      </c>
      <c r="E48" s="372" t="s">
        <v>53</v>
      </c>
      <c r="F48" s="387"/>
      <c r="G48" s="372" t="s">
        <v>950</v>
      </c>
      <c r="H48" s="371" t="s">
        <v>54</v>
      </c>
      <c r="I48" s="375"/>
      <c r="J48" s="372"/>
      <c r="K48" s="373"/>
      <c r="L48" s="388" t="s">
        <v>78</v>
      </c>
      <c r="M48" s="387" t="s">
        <v>77</v>
      </c>
      <c r="N48" s="387"/>
      <c r="O48" s="387" t="s">
        <v>77</v>
      </c>
      <c r="P48" s="389" t="s">
        <v>77</v>
      </c>
      <c r="Q48" s="388"/>
      <c r="R48" s="387"/>
      <c r="S48" s="387"/>
      <c r="T48" s="387"/>
      <c r="U48" s="390" t="s">
        <v>80</v>
      </c>
      <c r="V48" s="386"/>
      <c r="W48" s="372"/>
      <c r="X48" s="372"/>
      <c r="Y48" s="372"/>
      <c r="Z48" s="373"/>
      <c r="AA48" s="374"/>
      <c r="AB48" s="372"/>
      <c r="AC48" s="372"/>
      <c r="AD48" s="372"/>
      <c r="AE48" s="371"/>
      <c r="AF48" s="375"/>
      <c r="AG48" s="372"/>
      <c r="AH48" s="372"/>
      <c r="AI48" s="372"/>
      <c r="AJ48" s="373"/>
      <c r="AK48" s="374"/>
      <c r="AL48" s="372"/>
      <c r="AM48" s="372"/>
      <c r="AN48" s="372"/>
      <c r="AO48" s="371"/>
      <c r="AP48" s="375"/>
      <c r="AQ48" s="372"/>
      <c r="AR48" s="372"/>
      <c r="AS48" s="372"/>
      <c r="AT48" s="373"/>
      <c r="AU48" s="374"/>
      <c r="AV48" s="372"/>
      <c r="AW48" s="372"/>
      <c r="AX48" s="372"/>
      <c r="AY48" s="371"/>
      <c r="AZ48" s="375"/>
      <c r="BA48" s="372"/>
      <c r="BB48" s="372"/>
      <c r="BC48" s="372"/>
      <c r="BD48" s="373"/>
      <c r="BE48" s="374"/>
      <c r="BF48" s="372"/>
      <c r="BG48" s="372"/>
      <c r="BH48" s="372"/>
      <c r="BI48" s="371"/>
      <c r="BJ48" s="375"/>
      <c r="BK48" s="372"/>
      <c r="BL48" s="372"/>
      <c r="BM48" s="372"/>
      <c r="BN48" s="373"/>
      <c r="BO48" s="374"/>
      <c r="BP48" s="372"/>
      <c r="BQ48" s="372"/>
      <c r="BR48" s="372"/>
      <c r="BS48" s="371"/>
      <c r="BT48" s="375"/>
      <c r="BU48" s="372"/>
      <c r="BV48" s="372"/>
      <c r="BW48" s="372"/>
      <c r="BX48" s="373"/>
      <c r="BY48" s="374"/>
      <c r="BZ48" s="372"/>
      <c r="CA48" s="372"/>
      <c r="CB48" s="372"/>
      <c r="CC48" s="371"/>
      <c r="CD48" s="375"/>
      <c r="CE48" s="372"/>
      <c r="CF48" s="372"/>
      <c r="CG48" s="372"/>
      <c r="CH48" s="371"/>
      <c r="CI48" s="375"/>
      <c r="CJ48" s="372"/>
      <c r="CK48" s="372"/>
      <c r="CL48" s="372"/>
      <c r="CM48" s="373"/>
    </row>
    <row r="49" spans="1:91" ht="25.5" customHeight="1" thickBot="1">
      <c r="A49" s="391">
        <v>4192</v>
      </c>
      <c r="B49" s="392" t="s">
        <v>11</v>
      </c>
      <c r="C49" s="392" t="s">
        <v>44</v>
      </c>
      <c r="D49" s="392" t="s">
        <v>76</v>
      </c>
      <c r="E49" s="393" t="s">
        <v>53</v>
      </c>
      <c r="F49" s="392"/>
      <c r="G49" s="393" t="s">
        <v>952</v>
      </c>
      <c r="H49" s="394" t="s">
        <v>54</v>
      </c>
      <c r="I49" s="395"/>
      <c r="J49" s="393"/>
      <c r="K49" s="396"/>
      <c r="L49" s="397" t="s">
        <v>78</v>
      </c>
      <c r="M49" s="392" t="s">
        <v>77</v>
      </c>
      <c r="N49" s="392"/>
      <c r="O49" s="392" t="s">
        <v>77</v>
      </c>
      <c r="P49" s="398" t="s">
        <v>77</v>
      </c>
      <c r="Q49" s="397"/>
      <c r="R49" s="392"/>
      <c r="S49" s="392"/>
      <c r="T49" s="392"/>
      <c r="U49" s="399" t="s">
        <v>80</v>
      </c>
      <c r="V49" s="391"/>
      <c r="W49" s="393"/>
      <c r="X49" s="393"/>
      <c r="Y49" s="393"/>
      <c r="Z49" s="396"/>
      <c r="AA49" s="400"/>
      <c r="AB49" s="393"/>
      <c r="AC49" s="393"/>
      <c r="AD49" s="393"/>
      <c r="AE49" s="394"/>
      <c r="AF49" s="395"/>
      <c r="AG49" s="393"/>
      <c r="AH49" s="393"/>
      <c r="AI49" s="393"/>
      <c r="AJ49" s="396"/>
      <c r="AK49" s="400"/>
      <c r="AL49" s="393"/>
      <c r="AM49" s="393"/>
      <c r="AN49" s="393"/>
      <c r="AO49" s="394"/>
      <c r="AP49" s="395"/>
      <c r="AQ49" s="393"/>
      <c r="AR49" s="393"/>
      <c r="AS49" s="393"/>
      <c r="AT49" s="396"/>
      <c r="AU49" s="400"/>
      <c r="AV49" s="393"/>
      <c r="AW49" s="393"/>
      <c r="AX49" s="393"/>
      <c r="AY49" s="394"/>
      <c r="AZ49" s="395"/>
      <c r="BA49" s="393"/>
      <c r="BB49" s="393"/>
      <c r="BC49" s="393"/>
      <c r="BD49" s="396"/>
      <c r="BE49" s="400"/>
      <c r="BF49" s="393"/>
      <c r="BG49" s="393"/>
      <c r="BH49" s="393"/>
      <c r="BI49" s="394"/>
      <c r="BJ49" s="395"/>
      <c r="BK49" s="393"/>
      <c r="BL49" s="393"/>
      <c r="BM49" s="393"/>
      <c r="BN49" s="396"/>
      <c r="BO49" s="400"/>
      <c r="BP49" s="393"/>
      <c r="BQ49" s="393"/>
      <c r="BR49" s="393"/>
      <c r="BS49" s="394"/>
      <c r="BT49" s="395"/>
      <c r="BU49" s="393"/>
      <c r="BV49" s="393"/>
      <c r="BW49" s="393"/>
      <c r="BX49" s="396"/>
      <c r="BY49" s="400"/>
      <c r="BZ49" s="393"/>
      <c r="CA49" s="393"/>
      <c r="CB49" s="393"/>
      <c r="CC49" s="394"/>
      <c r="CD49" s="395"/>
      <c r="CE49" s="393"/>
      <c r="CF49" s="393"/>
      <c r="CG49" s="393"/>
      <c r="CH49" s="394"/>
      <c r="CI49" s="395"/>
      <c r="CJ49" s="393"/>
      <c r="CK49" s="393"/>
      <c r="CL49" s="393"/>
      <c r="CM49" s="396"/>
    </row>
    <row r="50" spans="1:91" ht="25.5" customHeight="1">
      <c r="A50" s="401">
        <v>4193</v>
      </c>
      <c r="B50" s="402" t="s">
        <v>11</v>
      </c>
      <c r="C50" s="402" t="s">
        <v>44</v>
      </c>
      <c r="D50" s="402" t="s">
        <v>76</v>
      </c>
      <c r="E50" s="403" t="s">
        <v>53</v>
      </c>
      <c r="F50" s="402"/>
      <c r="G50" s="403" t="s">
        <v>954</v>
      </c>
      <c r="H50" s="404" t="s">
        <v>54</v>
      </c>
      <c r="I50" s="405"/>
      <c r="J50" s="403"/>
      <c r="K50" s="406"/>
      <c r="L50" s="407" t="s">
        <v>78</v>
      </c>
      <c r="M50" s="402" t="s">
        <v>77</v>
      </c>
      <c r="N50" s="402"/>
      <c r="O50" s="402" t="s">
        <v>77</v>
      </c>
      <c r="P50" s="408" t="s">
        <v>77</v>
      </c>
      <c r="Q50" s="407"/>
      <c r="R50" s="402"/>
      <c r="S50" s="402"/>
      <c r="T50" s="402"/>
      <c r="U50" s="409" t="s">
        <v>80</v>
      </c>
      <c r="V50" s="401"/>
      <c r="W50" s="403"/>
      <c r="X50" s="403"/>
      <c r="Y50" s="403"/>
      <c r="Z50" s="406"/>
      <c r="AA50" s="410"/>
      <c r="AB50" s="403"/>
      <c r="AC50" s="403"/>
      <c r="AD50" s="403"/>
      <c r="AE50" s="404"/>
      <c r="AF50" s="405"/>
      <c r="AG50" s="403"/>
      <c r="AH50" s="403"/>
      <c r="AI50" s="403"/>
      <c r="AJ50" s="406"/>
      <c r="AK50" s="410"/>
      <c r="AL50" s="403"/>
      <c r="AM50" s="403"/>
      <c r="AN50" s="403"/>
      <c r="AO50" s="404"/>
      <c r="AP50" s="405"/>
      <c r="AQ50" s="403"/>
      <c r="AR50" s="403"/>
      <c r="AS50" s="403"/>
      <c r="AT50" s="406"/>
      <c r="AU50" s="410"/>
      <c r="AV50" s="403"/>
      <c r="AW50" s="403"/>
      <c r="AX50" s="403"/>
      <c r="AY50" s="404"/>
      <c r="AZ50" s="405"/>
      <c r="BA50" s="403"/>
      <c r="BB50" s="403"/>
      <c r="BC50" s="403"/>
      <c r="BD50" s="406"/>
      <c r="BE50" s="410"/>
      <c r="BF50" s="403"/>
      <c r="BG50" s="403"/>
      <c r="BH50" s="403"/>
      <c r="BI50" s="404"/>
      <c r="BJ50" s="405"/>
      <c r="BK50" s="403"/>
      <c r="BL50" s="403"/>
      <c r="BM50" s="403"/>
      <c r="BN50" s="406"/>
      <c r="BO50" s="410"/>
      <c r="BP50" s="403"/>
      <c r="BQ50" s="403"/>
      <c r="BR50" s="403"/>
      <c r="BS50" s="404"/>
      <c r="BT50" s="405"/>
      <c r="BU50" s="403"/>
      <c r="BV50" s="403"/>
      <c r="BW50" s="403"/>
      <c r="BX50" s="406"/>
      <c r="BY50" s="410"/>
      <c r="BZ50" s="403"/>
      <c r="CA50" s="403"/>
      <c r="CB50" s="403"/>
      <c r="CC50" s="404"/>
      <c r="CD50" s="405"/>
      <c r="CE50" s="403"/>
      <c r="CF50" s="403"/>
      <c r="CG50" s="403"/>
      <c r="CH50" s="404"/>
      <c r="CI50" s="405"/>
      <c r="CJ50" s="403"/>
      <c r="CK50" s="403"/>
      <c r="CL50" s="403"/>
      <c r="CM50" s="406"/>
    </row>
    <row r="51" spans="1:91" ht="25.5" customHeight="1">
      <c r="A51" s="386">
        <v>4194</v>
      </c>
      <c r="B51" s="387" t="s">
        <v>11</v>
      </c>
      <c r="C51" s="387" t="s">
        <v>44</v>
      </c>
      <c r="D51" s="387" t="s">
        <v>76</v>
      </c>
      <c r="E51" s="372" t="s">
        <v>53</v>
      </c>
      <c r="F51" s="387"/>
      <c r="G51" s="372" t="s">
        <v>956</v>
      </c>
      <c r="H51" s="371" t="s">
        <v>54</v>
      </c>
      <c r="I51" s="375"/>
      <c r="J51" s="372"/>
      <c r="K51" s="373"/>
      <c r="L51" s="388" t="s">
        <v>78</v>
      </c>
      <c r="M51" s="387" t="s">
        <v>77</v>
      </c>
      <c r="N51" s="387"/>
      <c r="O51" s="387" t="s">
        <v>77</v>
      </c>
      <c r="P51" s="389" t="s">
        <v>77</v>
      </c>
      <c r="Q51" s="388"/>
      <c r="R51" s="387"/>
      <c r="S51" s="387"/>
      <c r="T51" s="387"/>
      <c r="U51" s="390" t="s">
        <v>80</v>
      </c>
      <c r="V51" s="386"/>
      <c r="W51" s="372"/>
      <c r="X51" s="372"/>
      <c r="Y51" s="372"/>
      <c r="Z51" s="373"/>
      <c r="AA51" s="374"/>
      <c r="AB51" s="372"/>
      <c r="AC51" s="372"/>
      <c r="AD51" s="372"/>
      <c r="AE51" s="371"/>
      <c r="AF51" s="375"/>
      <c r="AG51" s="372"/>
      <c r="AH51" s="372"/>
      <c r="AI51" s="372"/>
      <c r="AJ51" s="373"/>
      <c r="AK51" s="374"/>
      <c r="AL51" s="372"/>
      <c r="AM51" s="372"/>
      <c r="AN51" s="372"/>
      <c r="AO51" s="371"/>
      <c r="AP51" s="375"/>
      <c r="AQ51" s="372"/>
      <c r="AR51" s="372"/>
      <c r="AS51" s="372"/>
      <c r="AT51" s="373"/>
      <c r="AU51" s="374"/>
      <c r="AV51" s="372"/>
      <c r="AW51" s="372"/>
      <c r="AX51" s="372"/>
      <c r="AY51" s="371"/>
      <c r="AZ51" s="375"/>
      <c r="BA51" s="372"/>
      <c r="BB51" s="372"/>
      <c r="BC51" s="372"/>
      <c r="BD51" s="373"/>
      <c r="BE51" s="374"/>
      <c r="BF51" s="372"/>
      <c r="BG51" s="372"/>
      <c r="BH51" s="372"/>
      <c r="BI51" s="371"/>
      <c r="BJ51" s="375"/>
      <c r="BK51" s="372"/>
      <c r="BL51" s="372"/>
      <c r="BM51" s="372"/>
      <c r="BN51" s="373"/>
      <c r="BO51" s="374"/>
      <c r="BP51" s="372"/>
      <c r="BQ51" s="372"/>
      <c r="BR51" s="372"/>
      <c r="BS51" s="371"/>
      <c r="BT51" s="375"/>
      <c r="BU51" s="372"/>
      <c r="BV51" s="372"/>
      <c r="BW51" s="372"/>
      <c r="BX51" s="373"/>
      <c r="BY51" s="374"/>
      <c r="BZ51" s="372"/>
      <c r="CA51" s="372"/>
      <c r="CB51" s="372"/>
      <c r="CC51" s="371"/>
      <c r="CD51" s="375"/>
      <c r="CE51" s="372"/>
      <c r="CF51" s="372"/>
      <c r="CG51" s="372"/>
      <c r="CH51" s="371"/>
      <c r="CI51" s="375"/>
      <c r="CJ51" s="372"/>
      <c r="CK51" s="372"/>
      <c r="CL51" s="372"/>
      <c r="CM51" s="373"/>
    </row>
    <row r="52" spans="1:91" ht="25.5" customHeight="1">
      <c r="A52" s="386">
        <v>4195</v>
      </c>
      <c r="B52" s="387" t="s">
        <v>11</v>
      </c>
      <c r="C52" s="387" t="s">
        <v>44</v>
      </c>
      <c r="D52" s="387" t="s">
        <v>76</v>
      </c>
      <c r="E52" s="372" t="s">
        <v>53</v>
      </c>
      <c r="F52" s="387"/>
      <c r="G52" s="372" t="s">
        <v>958</v>
      </c>
      <c r="H52" s="371" t="s">
        <v>54</v>
      </c>
      <c r="I52" s="375"/>
      <c r="J52" s="372"/>
      <c r="K52" s="373"/>
      <c r="L52" s="388" t="s">
        <v>78</v>
      </c>
      <c r="M52" s="387" t="s">
        <v>77</v>
      </c>
      <c r="N52" s="387"/>
      <c r="O52" s="387" t="s">
        <v>77</v>
      </c>
      <c r="P52" s="389" t="s">
        <v>77</v>
      </c>
      <c r="Q52" s="388"/>
      <c r="R52" s="387"/>
      <c r="S52" s="387"/>
      <c r="T52" s="387"/>
      <c r="U52" s="390" t="s">
        <v>80</v>
      </c>
      <c r="V52" s="386"/>
      <c r="W52" s="372"/>
      <c r="X52" s="372"/>
      <c r="Y52" s="372"/>
      <c r="Z52" s="373"/>
      <c r="AA52" s="374"/>
      <c r="AB52" s="372"/>
      <c r="AC52" s="372"/>
      <c r="AD52" s="372"/>
      <c r="AE52" s="371"/>
      <c r="AF52" s="375"/>
      <c r="AG52" s="372"/>
      <c r="AH52" s="372"/>
      <c r="AI52" s="372"/>
      <c r="AJ52" s="373"/>
      <c r="AK52" s="374"/>
      <c r="AL52" s="372"/>
      <c r="AM52" s="372"/>
      <c r="AN52" s="372"/>
      <c r="AO52" s="371"/>
      <c r="AP52" s="375"/>
      <c r="AQ52" s="372"/>
      <c r="AR52" s="372"/>
      <c r="AS52" s="372"/>
      <c r="AT52" s="373"/>
      <c r="AU52" s="374"/>
      <c r="AV52" s="372"/>
      <c r="AW52" s="372"/>
      <c r="AX52" s="372"/>
      <c r="AY52" s="371"/>
      <c r="AZ52" s="375"/>
      <c r="BA52" s="372"/>
      <c r="BB52" s="372"/>
      <c r="BC52" s="372"/>
      <c r="BD52" s="373"/>
      <c r="BE52" s="374"/>
      <c r="BF52" s="372"/>
      <c r="BG52" s="372"/>
      <c r="BH52" s="372"/>
      <c r="BI52" s="371"/>
      <c r="BJ52" s="375"/>
      <c r="BK52" s="372"/>
      <c r="BL52" s="372"/>
      <c r="BM52" s="372"/>
      <c r="BN52" s="373"/>
      <c r="BO52" s="374"/>
      <c r="BP52" s="372"/>
      <c r="BQ52" s="372"/>
      <c r="BR52" s="372"/>
      <c r="BS52" s="371"/>
      <c r="BT52" s="375"/>
      <c r="BU52" s="372"/>
      <c r="BV52" s="372"/>
      <c r="BW52" s="372"/>
      <c r="BX52" s="373"/>
      <c r="BY52" s="374"/>
      <c r="BZ52" s="372"/>
      <c r="CA52" s="372"/>
      <c r="CB52" s="372"/>
      <c r="CC52" s="371"/>
      <c r="CD52" s="375"/>
      <c r="CE52" s="372"/>
      <c r="CF52" s="372"/>
      <c r="CG52" s="372"/>
      <c r="CH52" s="371"/>
      <c r="CI52" s="375"/>
      <c r="CJ52" s="372"/>
      <c r="CK52" s="372"/>
      <c r="CL52" s="372"/>
      <c r="CM52" s="373"/>
    </row>
    <row r="53" spans="1:91" ht="25.5" customHeight="1">
      <c r="A53" s="386">
        <v>4196</v>
      </c>
      <c r="B53" s="387" t="s">
        <v>11</v>
      </c>
      <c r="C53" s="387" t="s">
        <v>44</v>
      </c>
      <c r="D53" s="387" t="s">
        <v>76</v>
      </c>
      <c r="E53" s="372" t="s">
        <v>53</v>
      </c>
      <c r="F53" s="387"/>
      <c r="G53" s="372" t="s">
        <v>960</v>
      </c>
      <c r="H53" s="371" t="s">
        <v>54</v>
      </c>
      <c r="I53" s="375"/>
      <c r="J53" s="372"/>
      <c r="K53" s="373"/>
      <c r="L53" s="388" t="s">
        <v>78</v>
      </c>
      <c r="M53" s="387" t="s">
        <v>77</v>
      </c>
      <c r="N53" s="387"/>
      <c r="O53" s="387" t="s">
        <v>77</v>
      </c>
      <c r="P53" s="389" t="s">
        <v>77</v>
      </c>
      <c r="Q53" s="388"/>
      <c r="R53" s="387"/>
      <c r="S53" s="387"/>
      <c r="T53" s="387"/>
      <c r="U53" s="390" t="s">
        <v>80</v>
      </c>
      <c r="V53" s="386"/>
      <c r="W53" s="372"/>
      <c r="X53" s="372"/>
      <c r="Y53" s="372"/>
      <c r="Z53" s="373"/>
      <c r="AA53" s="374"/>
      <c r="AB53" s="372"/>
      <c r="AC53" s="372"/>
      <c r="AD53" s="372"/>
      <c r="AE53" s="371"/>
      <c r="AF53" s="375"/>
      <c r="AG53" s="372"/>
      <c r="AH53" s="372"/>
      <c r="AI53" s="372"/>
      <c r="AJ53" s="373"/>
      <c r="AK53" s="374"/>
      <c r="AL53" s="372"/>
      <c r="AM53" s="372"/>
      <c r="AN53" s="372"/>
      <c r="AO53" s="371"/>
      <c r="AP53" s="375"/>
      <c r="AQ53" s="372"/>
      <c r="AR53" s="372"/>
      <c r="AS53" s="372"/>
      <c r="AT53" s="373"/>
      <c r="AU53" s="374"/>
      <c r="AV53" s="372"/>
      <c r="AW53" s="372"/>
      <c r="AX53" s="372"/>
      <c r="AY53" s="371"/>
      <c r="AZ53" s="375"/>
      <c r="BA53" s="372"/>
      <c r="BB53" s="372"/>
      <c r="BC53" s="372"/>
      <c r="BD53" s="373"/>
      <c r="BE53" s="374"/>
      <c r="BF53" s="372"/>
      <c r="BG53" s="372"/>
      <c r="BH53" s="372"/>
      <c r="BI53" s="371"/>
      <c r="BJ53" s="375"/>
      <c r="BK53" s="372"/>
      <c r="BL53" s="372"/>
      <c r="BM53" s="372"/>
      <c r="BN53" s="373"/>
      <c r="BO53" s="374"/>
      <c r="BP53" s="372"/>
      <c r="BQ53" s="372"/>
      <c r="BR53" s="372"/>
      <c r="BS53" s="371"/>
      <c r="BT53" s="375"/>
      <c r="BU53" s="372"/>
      <c r="BV53" s="372"/>
      <c r="BW53" s="372"/>
      <c r="BX53" s="373"/>
      <c r="BY53" s="374"/>
      <c r="BZ53" s="372"/>
      <c r="CA53" s="372"/>
      <c r="CB53" s="372"/>
      <c r="CC53" s="371"/>
      <c r="CD53" s="375"/>
      <c r="CE53" s="372"/>
      <c r="CF53" s="372"/>
      <c r="CG53" s="372"/>
      <c r="CH53" s="371"/>
      <c r="CI53" s="375"/>
      <c r="CJ53" s="372"/>
      <c r="CK53" s="372"/>
      <c r="CL53" s="372"/>
      <c r="CM53" s="373"/>
    </row>
    <row r="54" spans="1:91" ht="25.5" customHeight="1" thickBot="1">
      <c r="A54" s="411">
        <v>4197</v>
      </c>
      <c r="B54" s="412" t="s">
        <v>11</v>
      </c>
      <c r="C54" s="412" t="s">
        <v>44</v>
      </c>
      <c r="D54" s="412" t="s">
        <v>76</v>
      </c>
      <c r="E54" s="377" t="s">
        <v>53</v>
      </c>
      <c r="F54" s="412"/>
      <c r="G54" s="377" t="s">
        <v>962</v>
      </c>
      <c r="H54" s="376" t="s">
        <v>54</v>
      </c>
      <c r="I54" s="380"/>
      <c r="J54" s="377"/>
      <c r="K54" s="378"/>
      <c r="L54" s="413" t="s">
        <v>78</v>
      </c>
      <c r="M54" s="412" t="s">
        <v>77</v>
      </c>
      <c r="N54" s="412"/>
      <c r="O54" s="412" t="s">
        <v>77</v>
      </c>
      <c r="P54" s="414" t="s">
        <v>77</v>
      </c>
      <c r="Q54" s="413"/>
      <c r="R54" s="412"/>
      <c r="S54" s="412"/>
      <c r="T54" s="412"/>
      <c r="U54" s="415" t="s">
        <v>80</v>
      </c>
      <c r="V54" s="411"/>
      <c r="W54" s="377"/>
      <c r="X54" s="377"/>
      <c r="Y54" s="377"/>
      <c r="Z54" s="378"/>
      <c r="AA54" s="379"/>
      <c r="AB54" s="377"/>
      <c r="AC54" s="377"/>
      <c r="AD54" s="377"/>
      <c r="AE54" s="376"/>
      <c r="AF54" s="380"/>
      <c r="AG54" s="377"/>
      <c r="AH54" s="377"/>
      <c r="AI54" s="377"/>
      <c r="AJ54" s="378"/>
      <c r="AK54" s="379"/>
      <c r="AL54" s="377"/>
      <c r="AM54" s="377"/>
      <c r="AN54" s="377"/>
      <c r="AO54" s="376"/>
      <c r="AP54" s="380"/>
      <c r="AQ54" s="377"/>
      <c r="AR54" s="377"/>
      <c r="AS54" s="377"/>
      <c r="AT54" s="378"/>
      <c r="AU54" s="379"/>
      <c r="AV54" s="377"/>
      <c r="AW54" s="377"/>
      <c r="AX54" s="377"/>
      <c r="AY54" s="376"/>
      <c r="AZ54" s="380"/>
      <c r="BA54" s="377"/>
      <c r="BB54" s="377"/>
      <c r="BC54" s="377"/>
      <c r="BD54" s="378"/>
      <c r="BE54" s="379"/>
      <c r="BF54" s="377"/>
      <c r="BG54" s="377"/>
      <c r="BH54" s="377"/>
      <c r="BI54" s="376"/>
      <c r="BJ54" s="380"/>
      <c r="BK54" s="377"/>
      <c r="BL54" s="377"/>
      <c r="BM54" s="377"/>
      <c r="BN54" s="378"/>
      <c r="BO54" s="379"/>
      <c r="BP54" s="377"/>
      <c r="BQ54" s="377"/>
      <c r="BR54" s="377"/>
      <c r="BS54" s="376"/>
      <c r="BT54" s="380"/>
      <c r="BU54" s="377"/>
      <c r="BV54" s="377"/>
      <c r="BW54" s="377"/>
      <c r="BX54" s="378"/>
      <c r="BY54" s="379"/>
      <c r="BZ54" s="377"/>
      <c r="CA54" s="377"/>
      <c r="CB54" s="377"/>
      <c r="CC54" s="376"/>
      <c r="CD54" s="380"/>
      <c r="CE54" s="377"/>
      <c r="CF54" s="377"/>
      <c r="CG54" s="377"/>
      <c r="CH54" s="376"/>
      <c r="CI54" s="380"/>
      <c r="CJ54" s="377"/>
      <c r="CK54" s="377"/>
      <c r="CL54" s="377"/>
      <c r="CM54" s="378"/>
    </row>
    <row r="55" spans="1:91" ht="25.5" customHeight="1">
      <c r="A55" s="416">
        <v>4198</v>
      </c>
      <c r="B55" s="417" t="s">
        <v>11</v>
      </c>
      <c r="C55" s="417" t="s">
        <v>44</v>
      </c>
      <c r="D55" s="417" t="s">
        <v>76</v>
      </c>
      <c r="E55" s="381" t="s">
        <v>53</v>
      </c>
      <c r="F55" s="417"/>
      <c r="G55" s="381" t="s">
        <v>964</v>
      </c>
      <c r="H55" s="384" t="s">
        <v>54</v>
      </c>
      <c r="I55" s="385"/>
      <c r="J55" s="381"/>
      <c r="K55" s="382"/>
      <c r="L55" s="418" t="s">
        <v>78</v>
      </c>
      <c r="M55" s="417" t="s">
        <v>77</v>
      </c>
      <c r="N55" s="417"/>
      <c r="O55" s="417" t="s">
        <v>77</v>
      </c>
      <c r="P55" s="419" t="s">
        <v>77</v>
      </c>
      <c r="Q55" s="418"/>
      <c r="R55" s="417"/>
      <c r="S55" s="417"/>
      <c r="T55" s="417"/>
      <c r="U55" s="420" t="s">
        <v>80</v>
      </c>
      <c r="V55" s="416"/>
      <c r="W55" s="381"/>
      <c r="X55" s="381"/>
      <c r="Y55" s="381"/>
      <c r="Z55" s="382"/>
      <c r="AA55" s="383"/>
      <c r="AB55" s="381"/>
      <c r="AC55" s="381"/>
      <c r="AD55" s="381"/>
      <c r="AE55" s="384"/>
      <c r="AF55" s="385"/>
      <c r="AG55" s="381"/>
      <c r="AH55" s="381"/>
      <c r="AI55" s="381"/>
      <c r="AJ55" s="382"/>
      <c r="AK55" s="383"/>
      <c r="AL55" s="381"/>
      <c r="AM55" s="381"/>
      <c r="AN55" s="381"/>
      <c r="AO55" s="384"/>
      <c r="AP55" s="385"/>
      <c r="AQ55" s="381"/>
      <c r="AR55" s="381"/>
      <c r="AS55" s="381"/>
      <c r="AT55" s="382"/>
      <c r="AU55" s="383"/>
      <c r="AV55" s="381"/>
      <c r="AW55" s="381"/>
      <c r="AX55" s="381"/>
      <c r="AY55" s="384"/>
      <c r="AZ55" s="385"/>
      <c r="BA55" s="381"/>
      <c r="BB55" s="381"/>
      <c r="BC55" s="381"/>
      <c r="BD55" s="382"/>
      <c r="BE55" s="383"/>
      <c r="BF55" s="381"/>
      <c r="BG55" s="381"/>
      <c r="BH55" s="381"/>
      <c r="BI55" s="384"/>
      <c r="BJ55" s="385"/>
      <c r="BK55" s="381"/>
      <c r="BL55" s="381"/>
      <c r="BM55" s="381"/>
      <c r="BN55" s="382"/>
      <c r="BO55" s="383"/>
      <c r="BP55" s="381"/>
      <c r="BQ55" s="381"/>
      <c r="BR55" s="381"/>
      <c r="BS55" s="384"/>
      <c r="BT55" s="385"/>
      <c r="BU55" s="381"/>
      <c r="BV55" s="381"/>
      <c r="BW55" s="381"/>
      <c r="BX55" s="382"/>
      <c r="BY55" s="383"/>
      <c r="BZ55" s="381"/>
      <c r="CA55" s="381"/>
      <c r="CB55" s="381"/>
      <c r="CC55" s="384"/>
      <c r="CD55" s="385"/>
      <c r="CE55" s="381"/>
      <c r="CF55" s="381"/>
      <c r="CG55" s="381"/>
      <c r="CH55" s="384"/>
      <c r="CI55" s="385"/>
      <c r="CJ55" s="381"/>
      <c r="CK55" s="381"/>
      <c r="CL55" s="381"/>
      <c r="CM55" s="382"/>
    </row>
    <row r="56" spans="1:91" ht="25.5" customHeight="1">
      <c r="A56" s="386">
        <v>4199</v>
      </c>
      <c r="B56" s="387" t="s">
        <v>11</v>
      </c>
      <c r="C56" s="387" t="s">
        <v>44</v>
      </c>
      <c r="D56" s="387" t="s">
        <v>76</v>
      </c>
      <c r="E56" s="372" t="s">
        <v>53</v>
      </c>
      <c r="F56" s="387"/>
      <c r="G56" s="372" t="s">
        <v>966</v>
      </c>
      <c r="H56" s="371" t="s">
        <v>54</v>
      </c>
      <c r="I56" s="375"/>
      <c r="J56" s="372"/>
      <c r="K56" s="373"/>
      <c r="L56" s="388" t="s">
        <v>78</v>
      </c>
      <c r="M56" s="387" t="s">
        <v>77</v>
      </c>
      <c r="N56" s="387"/>
      <c r="O56" s="387" t="s">
        <v>77</v>
      </c>
      <c r="P56" s="389" t="s">
        <v>77</v>
      </c>
      <c r="Q56" s="388"/>
      <c r="R56" s="387"/>
      <c r="S56" s="387"/>
      <c r="T56" s="387"/>
      <c r="U56" s="390" t="s">
        <v>80</v>
      </c>
      <c r="V56" s="386"/>
      <c r="W56" s="372"/>
      <c r="X56" s="372"/>
      <c r="Y56" s="372"/>
      <c r="Z56" s="373"/>
      <c r="AA56" s="374"/>
      <c r="AB56" s="372"/>
      <c r="AC56" s="372"/>
      <c r="AD56" s="372"/>
      <c r="AE56" s="371"/>
      <c r="AF56" s="375"/>
      <c r="AG56" s="372"/>
      <c r="AH56" s="372"/>
      <c r="AI56" s="372"/>
      <c r="AJ56" s="373"/>
      <c r="AK56" s="374"/>
      <c r="AL56" s="372"/>
      <c r="AM56" s="372"/>
      <c r="AN56" s="372"/>
      <c r="AO56" s="371"/>
      <c r="AP56" s="375"/>
      <c r="AQ56" s="372"/>
      <c r="AR56" s="372"/>
      <c r="AS56" s="372"/>
      <c r="AT56" s="373"/>
      <c r="AU56" s="374"/>
      <c r="AV56" s="372"/>
      <c r="AW56" s="372"/>
      <c r="AX56" s="372"/>
      <c r="AY56" s="371"/>
      <c r="AZ56" s="375"/>
      <c r="BA56" s="372"/>
      <c r="BB56" s="372"/>
      <c r="BC56" s="372"/>
      <c r="BD56" s="373"/>
      <c r="BE56" s="374"/>
      <c r="BF56" s="372"/>
      <c r="BG56" s="372"/>
      <c r="BH56" s="372"/>
      <c r="BI56" s="371"/>
      <c r="BJ56" s="375"/>
      <c r="BK56" s="372"/>
      <c r="BL56" s="372"/>
      <c r="BM56" s="372"/>
      <c r="BN56" s="373"/>
      <c r="BO56" s="374"/>
      <c r="BP56" s="372"/>
      <c r="BQ56" s="372"/>
      <c r="BR56" s="372"/>
      <c r="BS56" s="371"/>
      <c r="BT56" s="375"/>
      <c r="BU56" s="372"/>
      <c r="BV56" s="372"/>
      <c r="BW56" s="372"/>
      <c r="BX56" s="373"/>
      <c r="BY56" s="374"/>
      <c r="BZ56" s="372"/>
      <c r="CA56" s="372"/>
      <c r="CB56" s="372"/>
      <c r="CC56" s="371"/>
      <c r="CD56" s="375"/>
      <c r="CE56" s="372"/>
      <c r="CF56" s="372"/>
      <c r="CG56" s="372"/>
      <c r="CH56" s="371"/>
      <c r="CI56" s="375"/>
      <c r="CJ56" s="372"/>
      <c r="CK56" s="372"/>
      <c r="CL56" s="372"/>
      <c r="CM56" s="373"/>
    </row>
    <row r="57" spans="1:91" ht="25.5" customHeight="1">
      <c r="A57" s="386">
        <v>4200</v>
      </c>
      <c r="B57" s="387" t="s">
        <v>11</v>
      </c>
      <c r="C57" s="387" t="s">
        <v>44</v>
      </c>
      <c r="D57" s="387" t="s">
        <v>76</v>
      </c>
      <c r="E57" s="372" t="s">
        <v>53</v>
      </c>
      <c r="F57" s="387"/>
      <c r="G57" s="372" t="s">
        <v>968</v>
      </c>
      <c r="H57" s="371" t="s">
        <v>54</v>
      </c>
      <c r="I57" s="375"/>
      <c r="J57" s="372"/>
      <c r="K57" s="373"/>
      <c r="L57" s="388" t="s">
        <v>78</v>
      </c>
      <c r="M57" s="387" t="s">
        <v>77</v>
      </c>
      <c r="N57" s="387"/>
      <c r="O57" s="387" t="s">
        <v>77</v>
      </c>
      <c r="P57" s="389" t="s">
        <v>77</v>
      </c>
      <c r="Q57" s="388"/>
      <c r="R57" s="387"/>
      <c r="S57" s="387"/>
      <c r="T57" s="387"/>
      <c r="U57" s="390" t="s">
        <v>80</v>
      </c>
      <c r="V57" s="386"/>
      <c r="W57" s="372"/>
      <c r="X57" s="372"/>
      <c r="Y57" s="372"/>
      <c r="Z57" s="373"/>
      <c r="AA57" s="374"/>
      <c r="AB57" s="372"/>
      <c r="AC57" s="372"/>
      <c r="AD57" s="372"/>
      <c r="AE57" s="371"/>
      <c r="AF57" s="375"/>
      <c r="AG57" s="372"/>
      <c r="AH57" s="372"/>
      <c r="AI57" s="372"/>
      <c r="AJ57" s="373"/>
      <c r="AK57" s="374"/>
      <c r="AL57" s="372"/>
      <c r="AM57" s="372"/>
      <c r="AN57" s="372"/>
      <c r="AO57" s="371"/>
      <c r="AP57" s="375"/>
      <c r="AQ57" s="372"/>
      <c r="AR57" s="372"/>
      <c r="AS57" s="372"/>
      <c r="AT57" s="373"/>
      <c r="AU57" s="374"/>
      <c r="AV57" s="372"/>
      <c r="AW57" s="372"/>
      <c r="AX57" s="372"/>
      <c r="AY57" s="371"/>
      <c r="AZ57" s="375"/>
      <c r="BA57" s="372"/>
      <c r="BB57" s="372"/>
      <c r="BC57" s="372"/>
      <c r="BD57" s="373"/>
      <c r="BE57" s="374"/>
      <c r="BF57" s="372"/>
      <c r="BG57" s="372"/>
      <c r="BH57" s="372"/>
      <c r="BI57" s="371"/>
      <c r="BJ57" s="375"/>
      <c r="BK57" s="372"/>
      <c r="BL57" s="372"/>
      <c r="BM57" s="372"/>
      <c r="BN57" s="373"/>
      <c r="BO57" s="374"/>
      <c r="BP57" s="372"/>
      <c r="BQ57" s="372"/>
      <c r="BR57" s="372"/>
      <c r="BS57" s="371"/>
      <c r="BT57" s="375"/>
      <c r="BU57" s="372"/>
      <c r="BV57" s="372"/>
      <c r="BW57" s="372"/>
      <c r="BX57" s="373"/>
      <c r="BY57" s="374"/>
      <c r="BZ57" s="372"/>
      <c r="CA57" s="372"/>
      <c r="CB57" s="372"/>
      <c r="CC57" s="371"/>
      <c r="CD57" s="375"/>
      <c r="CE57" s="372"/>
      <c r="CF57" s="372"/>
      <c r="CG57" s="372"/>
      <c r="CH57" s="371"/>
      <c r="CI57" s="375"/>
      <c r="CJ57" s="372"/>
      <c r="CK57" s="372"/>
      <c r="CL57" s="372"/>
      <c r="CM57" s="373"/>
    </row>
    <row r="58" spans="1:91" ht="25.5" customHeight="1">
      <c r="A58" s="386">
        <v>4201</v>
      </c>
      <c r="B58" s="387" t="s">
        <v>11</v>
      </c>
      <c r="C58" s="387" t="s">
        <v>44</v>
      </c>
      <c r="D58" s="387" t="s">
        <v>76</v>
      </c>
      <c r="E58" s="372" t="s">
        <v>53</v>
      </c>
      <c r="F58" s="387"/>
      <c r="G58" s="372" t="s">
        <v>970</v>
      </c>
      <c r="H58" s="371" t="s">
        <v>54</v>
      </c>
      <c r="I58" s="375"/>
      <c r="J58" s="372"/>
      <c r="K58" s="373"/>
      <c r="L58" s="388" t="s">
        <v>78</v>
      </c>
      <c r="M58" s="387" t="s">
        <v>77</v>
      </c>
      <c r="N58" s="387"/>
      <c r="O58" s="387" t="s">
        <v>77</v>
      </c>
      <c r="P58" s="389" t="s">
        <v>77</v>
      </c>
      <c r="Q58" s="388"/>
      <c r="R58" s="387"/>
      <c r="S58" s="387"/>
      <c r="T58" s="387"/>
      <c r="U58" s="390" t="s">
        <v>80</v>
      </c>
      <c r="V58" s="386"/>
      <c r="W58" s="372"/>
      <c r="X58" s="372"/>
      <c r="Y58" s="372"/>
      <c r="Z58" s="373"/>
      <c r="AA58" s="374"/>
      <c r="AB58" s="372"/>
      <c r="AC58" s="372"/>
      <c r="AD58" s="372"/>
      <c r="AE58" s="371"/>
      <c r="AF58" s="375"/>
      <c r="AG58" s="372"/>
      <c r="AH58" s="372"/>
      <c r="AI58" s="372"/>
      <c r="AJ58" s="373"/>
      <c r="AK58" s="374"/>
      <c r="AL58" s="372"/>
      <c r="AM58" s="372"/>
      <c r="AN58" s="372"/>
      <c r="AO58" s="371"/>
      <c r="AP58" s="375"/>
      <c r="AQ58" s="372"/>
      <c r="AR58" s="372"/>
      <c r="AS58" s="372"/>
      <c r="AT58" s="373"/>
      <c r="AU58" s="374"/>
      <c r="AV58" s="372"/>
      <c r="AW58" s="372"/>
      <c r="AX58" s="372"/>
      <c r="AY58" s="371"/>
      <c r="AZ58" s="375"/>
      <c r="BA58" s="372"/>
      <c r="BB58" s="372"/>
      <c r="BC58" s="372"/>
      <c r="BD58" s="373"/>
      <c r="BE58" s="374"/>
      <c r="BF58" s="372"/>
      <c r="BG58" s="372"/>
      <c r="BH58" s="372"/>
      <c r="BI58" s="371"/>
      <c r="BJ58" s="375"/>
      <c r="BK58" s="372"/>
      <c r="BL58" s="372"/>
      <c r="BM58" s="372"/>
      <c r="BN58" s="373"/>
      <c r="BO58" s="374"/>
      <c r="BP58" s="372"/>
      <c r="BQ58" s="372"/>
      <c r="BR58" s="372"/>
      <c r="BS58" s="371"/>
      <c r="BT58" s="375"/>
      <c r="BU58" s="372"/>
      <c r="BV58" s="372"/>
      <c r="BW58" s="372"/>
      <c r="BX58" s="373"/>
      <c r="BY58" s="374"/>
      <c r="BZ58" s="372"/>
      <c r="CA58" s="372"/>
      <c r="CB58" s="372"/>
      <c r="CC58" s="371"/>
      <c r="CD58" s="375"/>
      <c r="CE58" s="372"/>
      <c r="CF58" s="372"/>
      <c r="CG58" s="372"/>
      <c r="CH58" s="371"/>
      <c r="CI58" s="375"/>
      <c r="CJ58" s="372"/>
      <c r="CK58" s="372"/>
      <c r="CL58" s="372"/>
      <c r="CM58" s="373"/>
    </row>
    <row r="59" spans="1:91" ht="25.5" customHeight="1" thickBot="1">
      <c r="A59" s="411">
        <v>4202</v>
      </c>
      <c r="B59" s="412" t="s">
        <v>11</v>
      </c>
      <c r="C59" s="412" t="s">
        <v>44</v>
      </c>
      <c r="D59" s="412" t="s">
        <v>76</v>
      </c>
      <c r="E59" s="377" t="s">
        <v>53</v>
      </c>
      <c r="F59" s="412"/>
      <c r="G59" s="377" t="s">
        <v>972</v>
      </c>
      <c r="H59" s="376" t="s">
        <v>54</v>
      </c>
      <c r="I59" s="380"/>
      <c r="J59" s="377"/>
      <c r="K59" s="378"/>
      <c r="L59" s="413" t="s">
        <v>78</v>
      </c>
      <c r="M59" s="412" t="s">
        <v>77</v>
      </c>
      <c r="N59" s="412"/>
      <c r="O59" s="412" t="s">
        <v>77</v>
      </c>
      <c r="P59" s="414" t="s">
        <v>77</v>
      </c>
      <c r="Q59" s="413"/>
      <c r="R59" s="412"/>
      <c r="S59" s="412"/>
      <c r="T59" s="412"/>
      <c r="U59" s="415" t="s">
        <v>80</v>
      </c>
      <c r="V59" s="411"/>
      <c r="W59" s="377"/>
      <c r="X59" s="377"/>
      <c r="Y59" s="377"/>
      <c r="Z59" s="378"/>
      <c r="AA59" s="379"/>
      <c r="AB59" s="377"/>
      <c r="AC59" s="377"/>
      <c r="AD59" s="377"/>
      <c r="AE59" s="376"/>
      <c r="AF59" s="380"/>
      <c r="AG59" s="377"/>
      <c r="AH59" s="377"/>
      <c r="AI59" s="377"/>
      <c r="AJ59" s="378"/>
      <c r="AK59" s="379"/>
      <c r="AL59" s="377"/>
      <c r="AM59" s="377"/>
      <c r="AN59" s="377"/>
      <c r="AO59" s="376"/>
      <c r="AP59" s="380"/>
      <c r="AQ59" s="377"/>
      <c r="AR59" s="377"/>
      <c r="AS59" s="377"/>
      <c r="AT59" s="378"/>
      <c r="AU59" s="379"/>
      <c r="AV59" s="377"/>
      <c r="AW59" s="377"/>
      <c r="AX59" s="377"/>
      <c r="AY59" s="376"/>
      <c r="AZ59" s="380"/>
      <c r="BA59" s="377"/>
      <c r="BB59" s="377"/>
      <c r="BC59" s="377"/>
      <c r="BD59" s="378"/>
      <c r="BE59" s="379"/>
      <c r="BF59" s="377"/>
      <c r="BG59" s="377"/>
      <c r="BH59" s="377"/>
      <c r="BI59" s="376"/>
      <c r="BJ59" s="380"/>
      <c r="BK59" s="377"/>
      <c r="BL59" s="377"/>
      <c r="BM59" s="377"/>
      <c r="BN59" s="378"/>
      <c r="BO59" s="379"/>
      <c r="BP59" s="377"/>
      <c r="BQ59" s="377"/>
      <c r="BR59" s="377"/>
      <c r="BS59" s="376"/>
      <c r="BT59" s="380"/>
      <c r="BU59" s="377"/>
      <c r="BV59" s="377"/>
      <c r="BW59" s="377"/>
      <c r="BX59" s="378"/>
      <c r="BY59" s="379"/>
      <c r="BZ59" s="377"/>
      <c r="CA59" s="377"/>
      <c r="CB59" s="377"/>
      <c r="CC59" s="376"/>
      <c r="CD59" s="380"/>
      <c r="CE59" s="377"/>
      <c r="CF59" s="377"/>
      <c r="CG59" s="377"/>
      <c r="CH59" s="376"/>
      <c r="CI59" s="380"/>
      <c r="CJ59" s="377"/>
      <c r="CK59" s="377"/>
      <c r="CL59" s="377"/>
      <c r="CM59" s="378"/>
    </row>
    <row r="60" spans="1:91" ht="15" customHeight="1" thickBot="1">
      <c r="A60" s="48"/>
      <c r="B60" s="179"/>
      <c r="C60" s="180"/>
      <c r="D60" s="181"/>
      <c r="E60" s="17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50"/>
      <c r="CH60" s="50"/>
      <c r="CI60" s="50"/>
      <c r="CJ60" s="50"/>
      <c r="CK60" s="50"/>
      <c r="CL60" s="50"/>
      <c r="CM60" s="51"/>
    </row>
    <row r="61" spans="1:91" ht="25.5" customHeight="1" thickBot="1">
      <c r="A61" s="275" t="s">
        <v>31</v>
      </c>
      <c r="B61" s="276"/>
      <c r="C61" s="277"/>
      <c r="D61" s="192"/>
      <c r="E61" s="278" t="s">
        <v>32</v>
      </c>
      <c r="F61" s="276"/>
      <c r="G61" s="277"/>
      <c r="H61" s="193" t="s">
        <v>8</v>
      </c>
      <c r="I61" s="192" t="s">
        <v>9</v>
      </c>
      <c r="J61" s="192" t="s">
        <v>33</v>
      </c>
      <c r="K61" s="192" t="s">
        <v>10</v>
      </c>
      <c r="L61" s="291"/>
      <c r="M61" s="292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  <c r="AA61" s="292"/>
      <c r="AB61" s="292"/>
      <c r="AC61" s="292"/>
      <c r="AD61" s="292"/>
      <c r="AE61" s="292"/>
      <c r="AF61" s="292"/>
      <c r="AG61" s="292"/>
      <c r="AH61" s="292"/>
      <c r="AI61" s="292"/>
      <c r="AJ61" s="292"/>
      <c r="AK61" s="292"/>
      <c r="AL61" s="292"/>
      <c r="AM61" s="292"/>
      <c r="AN61" s="292"/>
      <c r="AO61" s="292"/>
      <c r="AP61" s="292"/>
      <c r="AQ61" s="292"/>
      <c r="AR61" s="292"/>
      <c r="AS61" s="292"/>
      <c r="AT61" s="292"/>
      <c r="AU61" s="292"/>
      <c r="AV61" s="292"/>
      <c r="AW61" s="292"/>
      <c r="AX61" s="292"/>
      <c r="AY61" s="292"/>
      <c r="AZ61" s="292"/>
      <c r="BA61" s="292"/>
      <c r="BB61" s="292"/>
      <c r="BC61" s="292"/>
      <c r="BD61" s="292"/>
      <c r="BE61" s="293"/>
      <c r="BF61" s="300"/>
      <c r="BG61" s="300"/>
      <c r="BH61" s="300"/>
      <c r="BI61" s="300"/>
      <c r="BJ61" s="300"/>
      <c r="BK61" s="300"/>
      <c r="BL61" s="300"/>
      <c r="BM61" s="300"/>
      <c r="BN61" s="300"/>
      <c r="BO61" s="300"/>
      <c r="BP61" s="300"/>
      <c r="BQ61" s="300"/>
      <c r="BR61" s="300"/>
      <c r="BS61" s="300"/>
      <c r="BT61" s="300"/>
      <c r="BU61" s="301"/>
      <c r="BV61" s="291"/>
      <c r="BW61" s="247"/>
      <c r="BX61" s="247"/>
      <c r="BY61" s="247"/>
      <c r="BZ61" s="247"/>
      <c r="CA61" s="247"/>
      <c r="CB61" s="247"/>
      <c r="CC61" s="247"/>
      <c r="CD61" s="247"/>
      <c r="CE61" s="247"/>
      <c r="CF61" s="247"/>
      <c r="CG61" s="247"/>
      <c r="CH61" s="247"/>
      <c r="CI61" s="247"/>
      <c r="CJ61" s="247"/>
      <c r="CK61" s="247"/>
      <c r="CL61" s="247"/>
      <c r="CM61" s="248"/>
    </row>
    <row r="62" spans="1:91" ht="25.5" customHeight="1">
      <c r="A62" s="288"/>
      <c r="B62" s="289"/>
      <c r="C62" s="289"/>
      <c r="D62" s="52"/>
      <c r="E62" s="290"/>
      <c r="F62" s="290"/>
      <c r="G62" s="290"/>
      <c r="H62" s="53"/>
      <c r="I62" s="53"/>
      <c r="J62" s="53"/>
      <c r="K62" s="54"/>
      <c r="L62" s="294"/>
      <c r="M62" s="295"/>
      <c r="N62" s="295"/>
      <c r="O62" s="295"/>
      <c r="P62" s="295"/>
      <c r="Q62" s="295"/>
      <c r="R62" s="295"/>
      <c r="S62" s="295"/>
      <c r="T62" s="295"/>
      <c r="U62" s="295"/>
      <c r="V62" s="295"/>
      <c r="W62" s="295"/>
      <c r="X62" s="295"/>
      <c r="Y62" s="295"/>
      <c r="Z62" s="295"/>
      <c r="AA62" s="295"/>
      <c r="AB62" s="295"/>
      <c r="AC62" s="295"/>
      <c r="AD62" s="295"/>
      <c r="AE62" s="295"/>
      <c r="AF62" s="295"/>
      <c r="AG62" s="295"/>
      <c r="AH62" s="295"/>
      <c r="AI62" s="295"/>
      <c r="AJ62" s="295"/>
      <c r="AK62" s="295"/>
      <c r="AL62" s="295"/>
      <c r="AM62" s="295"/>
      <c r="AN62" s="295"/>
      <c r="AO62" s="295"/>
      <c r="AP62" s="295"/>
      <c r="AQ62" s="295"/>
      <c r="AR62" s="295"/>
      <c r="AS62" s="295"/>
      <c r="AT62" s="295"/>
      <c r="AU62" s="295"/>
      <c r="AV62" s="295"/>
      <c r="AW62" s="295"/>
      <c r="AX62" s="295"/>
      <c r="AY62" s="295"/>
      <c r="AZ62" s="295"/>
      <c r="BA62" s="295"/>
      <c r="BB62" s="295"/>
      <c r="BC62" s="295"/>
      <c r="BD62" s="295"/>
      <c r="BE62" s="296"/>
      <c r="BF62" s="302"/>
      <c r="BG62" s="302"/>
      <c r="BH62" s="302"/>
      <c r="BI62" s="302"/>
      <c r="BJ62" s="302"/>
      <c r="BK62" s="302"/>
      <c r="BL62" s="302"/>
      <c r="BM62" s="302"/>
      <c r="BN62" s="302"/>
      <c r="BO62" s="302"/>
      <c r="BP62" s="302"/>
      <c r="BQ62" s="302"/>
      <c r="BR62" s="302"/>
      <c r="BS62" s="302"/>
      <c r="BT62" s="302"/>
      <c r="BU62" s="303"/>
      <c r="BV62" s="306"/>
      <c r="BW62" s="249"/>
      <c r="BX62" s="249"/>
      <c r="BY62" s="249"/>
      <c r="BZ62" s="249"/>
      <c r="CA62" s="249"/>
      <c r="CB62" s="249"/>
      <c r="CC62" s="249"/>
      <c r="CD62" s="249"/>
      <c r="CE62" s="249"/>
      <c r="CF62" s="249"/>
      <c r="CG62" s="249"/>
      <c r="CH62" s="249"/>
      <c r="CI62" s="249"/>
      <c r="CJ62" s="249"/>
      <c r="CK62" s="249"/>
      <c r="CL62" s="249"/>
      <c r="CM62" s="250"/>
    </row>
    <row r="63" spans="1:91" ht="25.5" customHeight="1" thickBot="1">
      <c r="A63" s="288"/>
      <c r="B63" s="289"/>
      <c r="C63" s="289"/>
      <c r="D63" s="52"/>
      <c r="E63" s="290"/>
      <c r="F63" s="290"/>
      <c r="G63" s="290"/>
      <c r="H63" s="53"/>
      <c r="I63" s="53"/>
      <c r="J63" s="53"/>
      <c r="K63" s="54"/>
      <c r="L63" s="294"/>
      <c r="M63" s="295"/>
      <c r="N63" s="295"/>
      <c r="O63" s="295"/>
      <c r="P63" s="295"/>
      <c r="Q63" s="295"/>
      <c r="R63" s="295"/>
      <c r="S63" s="295"/>
      <c r="T63" s="295"/>
      <c r="U63" s="295"/>
      <c r="V63" s="295"/>
      <c r="W63" s="295"/>
      <c r="X63" s="295"/>
      <c r="Y63" s="295"/>
      <c r="Z63" s="295"/>
      <c r="AA63" s="295"/>
      <c r="AB63" s="295"/>
      <c r="AC63" s="295"/>
      <c r="AD63" s="295"/>
      <c r="AE63" s="295"/>
      <c r="AF63" s="295"/>
      <c r="AG63" s="295"/>
      <c r="AH63" s="295"/>
      <c r="AI63" s="295"/>
      <c r="AJ63" s="295"/>
      <c r="AK63" s="295"/>
      <c r="AL63" s="295"/>
      <c r="AM63" s="295"/>
      <c r="AN63" s="295"/>
      <c r="AO63" s="295"/>
      <c r="AP63" s="295"/>
      <c r="AQ63" s="295"/>
      <c r="AR63" s="295"/>
      <c r="AS63" s="295"/>
      <c r="AT63" s="295"/>
      <c r="AU63" s="295"/>
      <c r="AV63" s="295"/>
      <c r="AW63" s="295"/>
      <c r="AX63" s="295"/>
      <c r="AY63" s="295"/>
      <c r="AZ63" s="295"/>
      <c r="BA63" s="295"/>
      <c r="BB63" s="295"/>
      <c r="BC63" s="295"/>
      <c r="BD63" s="295"/>
      <c r="BE63" s="296"/>
      <c r="BF63" s="304"/>
      <c r="BG63" s="304"/>
      <c r="BH63" s="304"/>
      <c r="BI63" s="304"/>
      <c r="BJ63" s="304"/>
      <c r="BK63" s="304"/>
      <c r="BL63" s="304"/>
      <c r="BM63" s="304"/>
      <c r="BN63" s="304"/>
      <c r="BO63" s="304"/>
      <c r="BP63" s="304"/>
      <c r="BQ63" s="304"/>
      <c r="BR63" s="304"/>
      <c r="BS63" s="304"/>
      <c r="BT63" s="304"/>
      <c r="BU63" s="305"/>
      <c r="BV63" s="263"/>
      <c r="BW63" s="251"/>
      <c r="BX63" s="251"/>
      <c r="BY63" s="251"/>
      <c r="BZ63" s="251"/>
      <c r="CA63" s="251"/>
      <c r="CB63" s="251"/>
      <c r="CC63" s="251"/>
      <c r="CD63" s="251"/>
      <c r="CE63" s="251"/>
      <c r="CF63" s="251"/>
      <c r="CG63" s="251"/>
      <c r="CH63" s="251"/>
      <c r="CI63" s="251"/>
      <c r="CJ63" s="251"/>
      <c r="CK63" s="251"/>
      <c r="CL63" s="251"/>
      <c r="CM63" s="252"/>
    </row>
    <row r="64" spans="1:91" ht="27" customHeight="1">
      <c r="A64" s="288"/>
      <c r="B64" s="289"/>
      <c r="C64" s="289"/>
      <c r="D64" s="52"/>
      <c r="E64" s="290"/>
      <c r="F64" s="290"/>
      <c r="G64" s="290"/>
      <c r="H64" s="53"/>
      <c r="I64" s="53"/>
      <c r="J64" s="53"/>
      <c r="K64" s="54"/>
      <c r="L64" s="294"/>
      <c r="M64" s="295"/>
      <c r="N64" s="295"/>
      <c r="O64" s="295"/>
      <c r="P64" s="295"/>
      <c r="Q64" s="295"/>
      <c r="R64" s="295"/>
      <c r="S64" s="295"/>
      <c r="T64" s="295"/>
      <c r="U64" s="295"/>
      <c r="V64" s="295"/>
      <c r="W64" s="295"/>
      <c r="X64" s="295"/>
      <c r="Y64" s="295"/>
      <c r="Z64" s="295"/>
      <c r="AA64" s="295"/>
      <c r="AB64" s="295"/>
      <c r="AC64" s="295"/>
      <c r="AD64" s="295"/>
      <c r="AE64" s="295"/>
      <c r="AF64" s="295"/>
      <c r="AG64" s="295"/>
      <c r="AH64" s="295"/>
      <c r="AI64" s="295"/>
      <c r="AJ64" s="295"/>
      <c r="AK64" s="295"/>
      <c r="AL64" s="295"/>
      <c r="AM64" s="295"/>
      <c r="AN64" s="295"/>
      <c r="AO64" s="295"/>
      <c r="AP64" s="295"/>
      <c r="AQ64" s="295"/>
      <c r="AR64" s="295"/>
      <c r="AS64" s="295"/>
      <c r="AT64" s="295"/>
      <c r="AU64" s="295"/>
      <c r="AV64" s="295"/>
      <c r="AW64" s="295"/>
      <c r="AX64" s="295"/>
      <c r="AY64" s="295"/>
      <c r="AZ64" s="295"/>
      <c r="BA64" s="295"/>
      <c r="BB64" s="295"/>
      <c r="BC64" s="295"/>
      <c r="BD64" s="295"/>
      <c r="BE64" s="296"/>
      <c r="BF64" s="247" t="s">
        <v>89</v>
      </c>
      <c r="BG64" s="247"/>
      <c r="BH64" s="247"/>
      <c r="BI64" s="247"/>
      <c r="BJ64" s="247"/>
      <c r="BK64" s="247"/>
      <c r="BL64" s="247"/>
      <c r="BM64" s="247"/>
      <c r="BN64" s="247"/>
      <c r="BO64" s="247"/>
      <c r="BP64" s="247"/>
      <c r="BQ64" s="247"/>
      <c r="BR64" s="247"/>
      <c r="BS64" s="247"/>
      <c r="BT64" s="247"/>
      <c r="BU64" s="248"/>
      <c r="BV64" s="279" t="s">
        <v>90</v>
      </c>
      <c r="BW64" s="280"/>
      <c r="BX64" s="280"/>
      <c r="BY64" s="280"/>
      <c r="BZ64" s="280"/>
      <c r="CA64" s="280"/>
      <c r="CB64" s="280"/>
      <c r="CC64" s="280"/>
      <c r="CD64" s="280"/>
      <c r="CE64" s="280"/>
      <c r="CF64" s="280"/>
      <c r="CG64" s="280"/>
      <c r="CH64" s="280"/>
      <c r="CI64" s="280"/>
      <c r="CJ64" s="280"/>
      <c r="CK64" s="280"/>
      <c r="CL64" s="280"/>
      <c r="CM64" s="281"/>
    </row>
    <row r="65" spans="1:91" ht="25.5" customHeight="1">
      <c r="A65" s="288"/>
      <c r="B65" s="289"/>
      <c r="C65" s="289"/>
      <c r="D65" s="52"/>
      <c r="E65" s="290"/>
      <c r="F65" s="290"/>
      <c r="G65" s="290"/>
      <c r="H65" s="53"/>
      <c r="I65" s="53"/>
      <c r="J65" s="53"/>
      <c r="K65" s="54"/>
      <c r="L65" s="294"/>
      <c r="M65" s="295"/>
      <c r="N65" s="295"/>
      <c r="O65" s="295"/>
      <c r="P65" s="295"/>
      <c r="Q65" s="295"/>
      <c r="R65" s="295"/>
      <c r="S65" s="295"/>
      <c r="T65" s="295"/>
      <c r="U65" s="295"/>
      <c r="V65" s="295"/>
      <c r="W65" s="295"/>
      <c r="X65" s="295"/>
      <c r="Y65" s="295"/>
      <c r="Z65" s="295"/>
      <c r="AA65" s="295"/>
      <c r="AB65" s="295"/>
      <c r="AC65" s="295"/>
      <c r="AD65" s="295"/>
      <c r="AE65" s="295"/>
      <c r="AF65" s="295"/>
      <c r="AG65" s="295"/>
      <c r="AH65" s="295"/>
      <c r="AI65" s="295"/>
      <c r="AJ65" s="295"/>
      <c r="AK65" s="295"/>
      <c r="AL65" s="295"/>
      <c r="AM65" s="295"/>
      <c r="AN65" s="295"/>
      <c r="AO65" s="295"/>
      <c r="AP65" s="295"/>
      <c r="AQ65" s="295"/>
      <c r="AR65" s="295"/>
      <c r="AS65" s="295"/>
      <c r="AT65" s="295"/>
      <c r="AU65" s="295"/>
      <c r="AV65" s="295"/>
      <c r="AW65" s="295"/>
      <c r="AX65" s="295"/>
      <c r="AY65" s="295"/>
      <c r="AZ65" s="295"/>
      <c r="BA65" s="295"/>
      <c r="BB65" s="295"/>
      <c r="BC65" s="295"/>
      <c r="BD65" s="295"/>
      <c r="BE65" s="296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50"/>
      <c r="BV65" s="282"/>
      <c r="BW65" s="283"/>
      <c r="BX65" s="283"/>
      <c r="BY65" s="283"/>
      <c r="BZ65" s="283"/>
      <c r="CA65" s="283"/>
      <c r="CB65" s="283"/>
      <c r="CC65" s="283"/>
      <c r="CD65" s="283"/>
      <c r="CE65" s="283"/>
      <c r="CF65" s="283"/>
      <c r="CG65" s="283"/>
      <c r="CH65" s="283"/>
      <c r="CI65" s="283"/>
      <c r="CJ65" s="283"/>
      <c r="CK65" s="283"/>
      <c r="CL65" s="283"/>
      <c r="CM65" s="284"/>
    </row>
    <row r="66" spans="1:91" ht="25.5" customHeight="1" thickBot="1">
      <c r="A66" s="288"/>
      <c r="B66" s="289"/>
      <c r="C66" s="289"/>
      <c r="D66" s="52"/>
      <c r="E66" s="290"/>
      <c r="F66" s="290"/>
      <c r="G66" s="290"/>
      <c r="H66" s="53"/>
      <c r="I66" s="53"/>
      <c r="J66" s="53"/>
      <c r="K66" s="54"/>
      <c r="L66" s="294"/>
      <c r="M66" s="295"/>
      <c r="N66" s="295"/>
      <c r="O66" s="295"/>
      <c r="P66" s="295"/>
      <c r="Q66" s="295"/>
      <c r="R66" s="295"/>
      <c r="S66" s="295"/>
      <c r="T66" s="295"/>
      <c r="U66" s="295"/>
      <c r="V66" s="295"/>
      <c r="W66" s="295"/>
      <c r="X66" s="295"/>
      <c r="Y66" s="295"/>
      <c r="Z66" s="295"/>
      <c r="AA66" s="295"/>
      <c r="AB66" s="295"/>
      <c r="AC66" s="295"/>
      <c r="AD66" s="295"/>
      <c r="AE66" s="295"/>
      <c r="AF66" s="295"/>
      <c r="AG66" s="295"/>
      <c r="AH66" s="295"/>
      <c r="AI66" s="295"/>
      <c r="AJ66" s="295"/>
      <c r="AK66" s="295"/>
      <c r="AL66" s="295"/>
      <c r="AM66" s="295"/>
      <c r="AN66" s="295"/>
      <c r="AO66" s="295"/>
      <c r="AP66" s="295"/>
      <c r="AQ66" s="295"/>
      <c r="AR66" s="295"/>
      <c r="AS66" s="295"/>
      <c r="AT66" s="295"/>
      <c r="AU66" s="295"/>
      <c r="AV66" s="295"/>
      <c r="AW66" s="295"/>
      <c r="AX66" s="295"/>
      <c r="AY66" s="295"/>
      <c r="AZ66" s="295"/>
      <c r="BA66" s="295"/>
      <c r="BB66" s="295"/>
      <c r="BC66" s="295"/>
      <c r="BD66" s="295"/>
      <c r="BE66" s="296"/>
      <c r="BF66" s="251"/>
      <c r="BG66" s="251"/>
      <c r="BH66" s="251"/>
      <c r="BI66" s="251"/>
      <c r="BJ66" s="251"/>
      <c r="BK66" s="251"/>
      <c r="BL66" s="251"/>
      <c r="BM66" s="251"/>
      <c r="BN66" s="251"/>
      <c r="BO66" s="251"/>
      <c r="BP66" s="251"/>
      <c r="BQ66" s="251"/>
      <c r="BR66" s="251"/>
      <c r="BS66" s="251"/>
      <c r="BT66" s="251"/>
      <c r="BU66" s="252"/>
      <c r="BV66" s="285"/>
      <c r="BW66" s="286"/>
      <c r="BX66" s="286"/>
      <c r="BY66" s="286"/>
      <c r="BZ66" s="286"/>
      <c r="CA66" s="286"/>
      <c r="CB66" s="286"/>
      <c r="CC66" s="286"/>
      <c r="CD66" s="286"/>
      <c r="CE66" s="286"/>
      <c r="CF66" s="286"/>
      <c r="CG66" s="286"/>
      <c r="CH66" s="286"/>
      <c r="CI66" s="286"/>
      <c r="CJ66" s="286"/>
      <c r="CK66" s="286"/>
      <c r="CL66" s="286"/>
      <c r="CM66" s="287"/>
    </row>
    <row r="67" spans="1:91" ht="25.5" customHeight="1">
      <c r="A67" s="255" t="e">
        <f>IF(#REF!&lt;&gt;"",#REF!,"")</f>
        <v>#REF!</v>
      </c>
      <c r="B67" s="256"/>
      <c r="C67" s="256"/>
      <c r="D67" s="185"/>
      <c r="E67" s="257" t="e">
        <f>IF(#REF!&lt;&gt;"",#REF!,"")</f>
        <v>#REF!</v>
      </c>
      <c r="F67" s="257"/>
      <c r="G67" s="257"/>
      <c r="H67" s="186" t="e">
        <f>IF(#REF!&lt;&gt;"",#REF!,"")</f>
        <v>#REF!</v>
      </c>
      <c r="I67" s="186" t="e">
        <f>IF(#REF!&lt;&gt;"",#REF!,"")</f>
        <v>#REF!</v>
      </c>
      <c r="J67" s="186" t="e">
        <f>IF(#REF!&lt;&gt;"",#REF!,"")</f>
        <v>#REF!</v>
      </c>
      <c r="K67" s="187" t="e">
        <f>IF(#REF!&lt;&gt;"",#REF!,"")</f>
        <v>#REF!</v>
      </c>
      <c r="L67" s="294"/>
      <c r="M67" s="295"/>
      <c r="N67" s="295"/>
      <c r="O67" s="295"/>
      <c r="P67" s="295"/>
      <c r="Q67" s="295"/>
      <c r="R67" s="295"/>
      <c r="S67" s="295"/>
      <c r="T67" s="295"/>
      <c r="U67" s="295"/>
      <c r="V67" s="295"/>
      <c r="W67" s="295"/>
      <c r="X67" s="295"/>
      <c r="Y67" s="295"/>
      <c r="Z67" s="295"/>
      <c r="AA67" s="295"/>
      <c r="AB67" s="295"/>
      <c r="AC67" s="295"/>
      <c r="AD67" s="295"/>
      <c r="AE67" s="295"/>
      <c r="AF67" s="295"/>
      <c r="AG67" s="295"/>
      <c r="AH67" s="295"/>
      <c r="AI67" s="295"/>
      <c r="AJ67" s="295"/>
      <c r="AK67" s="295"/>
      <c r="AL67" s="295"/>
      <c r="AM67" s="295"/>
      <c r="AN67" s="295"/>
      <c r="AO67" s="295"/>
      <c r="AP67" s="295"/>
      <c r="AQ67" s="295"/>
      <c r="AR67" s="295"/>
      <c r="AS67" s="295"/>
      <c r="AT67" s="295"/>
      <c r="AU67" s="295"/>
      <c r="AV67" s="295"/>
      <c r="AW67" s="295"/>
      <c r="AX67" s="295"/>
      <c r="AY67" s="295"/>
      <c r="AZ67" s="295"/>
      <c r="BA67" s="295"/>
      <c r="BB67" s="295"/>
      <c r="BC67" s="295"/>
      <c r="BD67" s="295"/>
      <c r="BE67" s="296"/>
      <c r="BF67" s="272" t="s">
        <v>34</v>
      </c>
      <c r="BG67" s="272"/>
      <c r="BH67" s="272"/>
      <c r="BI67" s="272"/>
      <c r="BJ67" s="272"/>
      <c r="BK67" s="272"/>
      <c r="BL67" s="272"/>
      <c r="BM67" s="272"/>
      <c r="BN67" s="272"/>
      <c r="BO67" s="272"/>
      <c r="BP67" s="272"/>
      <c r="BQ67" s="272"/>
      <c r="BR67" s="272"/>
      <c r="BS67" s="272"/>
      <c r="BT67" s="272"/>
      <c r="BU67" s="254"/>
      <c r="BV67" s="273" t="s">
        <v>35</v>
      </c>
      <c r="BW67" s="272"/>
      <c r="BX67" s="274"/>
      <c r="BY67" s="253" t="s">
        <v>36</v>
      </c>
      <c r="BZ67" s="272"/>
      <c r="CA67" s="272"/>
      <c r="CB67" s="272"/>
      <c r="CC67" s="272"/>
      <c r="CD67" s="272"/>
      <c r="CE67" s="272"/>
      <c r="CF67" s="272"/>
      <c r="CG67" s="272"/>
      <c r="CH67" s="272"/>
      <c r="CI67" s="272"/>
      <c r="CJ67" s="272"/>
      <c r="CK67" s="274"/>
      <c r="CL67" s="253" t="s">
        <v>37</v>
      </c>
      <c r="CM67" s="254"/>
    </row>
    <row r="68" spans="1:91" ht="25.5" customHeight="1">
      <c r="A68" s="255" t="e">
        <f>IF(#REF!&lt;&gt;"",#REF!,"")</f>
        <v>#REF!</v>
      </c>
      <c r="B68" s="256"/>
      <c r="C68" s="256"/>
      <c r="D68" s="185"/>
      <c r="E68" s="257" t="e">
        <f>IF(#REF!&lt;&gt;"",#REF!,"")</f>
        <v>#REF!</v>
      </c>
      <c r="F68" s="257"/>
      <c r="G68" s="257"/>
      <c r="H68" s="186" t="e">
        <f>IF(#REF!&lt;&gt;"",#REF!,"")</f>
        <v>#REF!</v>
      </c>
      <c r="I68" s="186" t="e">
        <f>IF(#REF!&lt;&gt;"",#REF!,"")</f>
        <v>#REF!</v>
      </c>
      <c r="J68" s="186" t="e">
        <f>IF(#REF!&lt;&gt;"",#REF!,"")</f>
        <v>#REF!</v>
      </c>
      <c r="K68" s="187" t="e">
        <f>IF(#REF!&lt;&gt;"",#REF!,"")</f>
        <v>#REF!</v>
      </c>
      <c r="L68" s="294"/>
      <c r="M68" s="295"/>
      <c r="N68" s="295"/>
      <c r="O68" s="295"/>
      <c r="P68" s="295"/>
      <c r="Q68" s="295"/>
      <c r="R68" s="295"/>
      <c r="S68" s="295"/>
      <c r="T68" s="295"/>
      <c r="U68" s="295"/>
      <c r="V68" s="295"/>
      <c r="W68" s="295"/>
      <c r="X68" s="295"/>
      <c r="Y68" s="295"/>
      <c r="Z68" s="295"/>
      <c r="AA68" s="295"/>
      <c r="AB68" s="295"/>
      <c r="AC68" s="295"/>
      <c r="AD68" s="295"/>
      <c r="AE68" s="295"/>
      <c r="AF68" s="295"/>
      <c r="AG68" s="295"/>
      <c r="AH68" s="295"/>
      <c r="AI68" s="295"/>
      <c r="AJ68" s="295"/>
      <c r="AK68" s="295"/>
      <c r="AL68" s="295"/>
      <c r="AM68" s="295"/>
      <c r="AN68" s="295"/>
      <c r="AO68" s="295"/>
      <c r="AP68" s="295"/>
      <c r="AQ68" s="295"/>
      <c r="AR68" s="295"/>
      <c r="AS68" s="295"/>
      <c r="AT68" s="295"/>
      <c r="AU68" s="295"/>
      <c r="AV68" s="295"/>
      <c r="AW68" s="295"/>
      <c r="AX68" s="295"/>
      <c r="AY68" s="295"/>
      <c r="AZ68" s="295"/>
      <c r="BA68" s="295"/>
      <c r="BB68" s="295"/>
      <c r="BC68" s="295"/>
      <c r="BD68" s="295"/>
      <c r="BE68" s="296"/>
      <c r="BF68" s="258" t="s">
        <v>5</v>
      </c>
      <c r="BG68" s="259"/>
      <c r="BH68" s="259"/>
      <c r="BI68" s="259"/>
      <c r="BJ68" s="259"/>
      <c r="BK68" s="259"/>
      <c r="BL68" s="259"/>
      <c r="BM68" s="259"/>
      <c r="BN68" s="259"/>
      <c r="BO68" s="259"/>
      <c r="BP68" s="259"/>
      <c r="BQ68" s="259"/>
      <c r="BR68" s="259"/>
      <c r="BS68" s="259"/>
      <c r="BT68" s="259"/>
      <c r="BU68" s="260"/>
      <c r="BV68" s="261" t="s">
        <v>12</v>
      </c>
      <c r="BW68" s="259"/>
      <c r="BX68" s="262"/>
      <c r="BY68" s="265" t="s">
        <v>1698</v>
      </c>
      <c r="BZ68" s="266"/>
      <c r="CA68" s="266"/>
      <c r="CB68" s="266"/>
      <c r="CC68" s="266"/>
      <c r="CD68" s="266"/>
      <c r="CE68" s="266"/>
      <c r="CF68" s="266"/>
      <c r="CG68" s="266"/>
      <c r="CH68" s="266"/>
      <c r="CI68" s="266"/>
      <c r="CJ68" s="266"/>
      <c r="CK68" s="267"/>
      <c r="CL68" s="227" t="s">
        <v>11</v>
      </c>
      <c r="CM68" s="260"/>
    </row>
    <row r="69" spans="1:91" ht="25.5" customHeight="1" thickBot="1">
      <c r="A69" s="255" t="e">
        <f>IF(#REF!&lt;&gt;"",#REF!,"")</f>
        <v>#REF!</v>
      </c>
      <c r="B69" s="256"/>
      <c r="C69" s="256"/>
      <c r="D69" s="185"/>
      <c r="E69" s="257" t="e">
        <f>IF(#REF!&lt;&gt;"",#REF!,"")</f>
        <v>#REF!</v>
      </c>
      <c r="F69" s="257"/>
      <c r="G69" s="257"/>
      <c r="H69" s="186" t="e">
        <f>IF(#REF!&lt;&gt;"",#REF!,"")</f>
        <v>#REF!</v>
      </c>
      <c r="I69" s="186" t="e">
        <f>IF(#REF!&lt;&gt;"",#REF!,"")</f>
        <v>#REF!</v>
      </c>
      <c r="J69" s="186" t="e">
        <f>IF(#REF!&lt;&gt;"",#REF!,"")</f>
        <v>#REF!</v>
      </c>
      <c r="K69" s="187" t="e">
        <f>IF(#REF!&lt;&gt;"",#REF!,"")</f>
        <v>#REF!</v>
      </c>
      <c r="L69" s="297"/>
      <c r="M69" s="298"/>
      <c r="N69" s="298"/>
      <c r="O69" s="298"/>
      <c r="P69" s="298"/>
      <c r="Q69" s="298"/>
      <c r="R69" s="298"/>
      <c r="S69" s="298"/>
      <c r="T69" s="298"/>
      <c r="U69" s="298"/>
      <c r="V69" s="298"/>
      <c r="W69" s="298"/>
      <c r="X69" s="298"/>
      <c r="Y69" s="298"/>
      <c r="Z69" s="298"/>
      <c r="AA69" s="298"/>
      <c r="AB69" s="298"/>
      <c r="AC69" s="298"/>
      <c r="AD69" s="298"/>
      <c r="AE69" s="298"/>
      <c r="AF69" s="298"/>
      <c r="AG69" s="298"/>
      <c r="AH69" s="298"/>
      <c r="AI69" s="298"/>
      <c r="AJ69" s="298"/>
      <c r="AK69" s="298"/>
      <c r="AL69" s="298"/>
      <c r="AM69" s="298"/>
      <c r="AN69" s="298"/>
      <c r="AO69" s="298"/>
      <c r="AP69" s="298"/>
      <c r="AQ69" s="298"/>
      <c r="AR69" s="298"/>
      <c r="AS69" s="298"/>
      <c r="AT69" s="298"/>
      <c r="AU69" s="298"/>
      <c r="AV69" s="298"/>
      <c r="AW69" s="298"/>
      <c r="AX69" s="298"/>
      <c r="AY69" s="298"/>
      <c r="AZ69" s="298"/>
      <c r="BA69" s="298"/>
      <c r="BB69" s="298"/>
      <c r="BC69" s="298"/>
      <c r="BD69" s="298"/>
      <c r="BE69" s="299"/>
      <c r="BF69" s="251"/>
      <c r="BG69" s="251"/>
      <c r="BH69" s="251"/>
      <c r="BI69" s="251"/>
      <c r="BJ69" s="251"/>
      <c r="BK69" s="251"/>
      <c r="BL69" s="251"/>
      <c r="BM69" s="251"/>
      <c r="BN69" s="251"/>
      <c r="BO69" s="251"/>
      <c r="BP69" s="251"/>
      <c r="BQ69" s="251"/>
      <c r="BR69" s="251"/>
      <c r="BS69" s="251"/>
      <c r="BT69" s="251"/>
      <c r="BU69" s="252"/>
      <c r="BV69" s="263"/>
      <c r="BW69" s="251"/>
      <c r="BX69" s="264"/>
      <c r="BY69" s="268"/>
      <c r="BZ69" s="269"/>
      <c r="CA69" s="269"/>
      <c r="CB69" s="269"/>
      <c r="CC69" s="269"/>
      <c r="CD69" s="269"/>
      <c r="CE69" s="269"/>
      <c r="CF69" s="269"/>
      <c r="CG69" s="269"/>
      <c r="CH69" s="269"/>
      <c r="CI69" s="269"/>
      <c r="CJ69" s="269"/>
      <c r="CK69" s="270"/>
      <c r="CL69" s="271"/>
      <c r="CM69" s="252"/>
    </row>
    <row r="70" spans="1:91" ht="12" customHeight="1">
      <c r="A70" s="55"/>
      <c r="B70" s="56"/>
      <c r="C70" s="56"/>
      <c r="D70" s="56"/>
      <c r="E70" s="57"/>
      <c r="F70" s="58"/>
      <c r="G70" s="58"/>
      <c r="H70" s="58"/>
      <c r="I70" s="59"/>
      <c r="BL70" s="17"/>
      <c r="BM70" s="17"/>
      <c r="BN70" s="17"/>
      <c r="BO70" s="17"/>
      <c r="BP70" s="17"/>
      <c r="BQ70" s="17"/>
      <c r="BR70" s="17"/>
      <c r="BS70" s="17"/>
      <c r="BT70" s="61"/>
      <c r="CD70" s="57"/>
      <c r="CE70" s="57"/>
      <c r="CF70" s="57"/>
      <c r="CG70" s="57"/>
      <c r="CH70" s="57"/>
      <c r="CI70" s="57"/>
      <c r="CJ70" s="57"/>
      <c r="CK70" s="57"/>
      <c r="CL70" s="57"/>
      <c r="CM70" s="57"/>
    </row>
  </sheetData>
  <mergeCells count="45"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BV64:CM66"/>
    <mergeCell ref="A65:C65"/>
    <mergeCell ref="E65:G65"/>
    <mergeCell ref="A66:C66"/>
    <mergeCell ref="E66:G66"/>
    <mergeCell ref="A67:C67"/>
    <mergeCell ref="E67:G67"/>
    <mergeCell ref="BF67:BU67"/>
    <mergeCell ref="BV67:BX67"/>
    <mergeCell ref="BY67:CK67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BF64:BU66"/>
    <mergeCell ref="G7:G9"/>
    <mergeCell ref="H7:H9"/>
    <mergeCell ref="I7:K7"/>
    <mergeCell ref="J8:K8"/>
    <mergeCell ref="A61:C61"/>
    <mergeCell ref="E61:G61"/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29" orientation="landscape" r:id="rId1"/>
  <headerFooter alignWithMargins="0">
    <oddFooter xml:space="preserve">&amp;L&amp;Z&amp;F&amp;C&amp;D&amp;RConcise DesignShutdown Key 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DQ70"/>
  <sheetViews>
    <sheetView showGridLines="0" view="pageBreakPreview" topLeftCell="C1" zoomScale="50" zoomScaleNormal="50" zoomScaleSheetLayoutView="50" zoomScalePageLayoutView="50" workbookViewId="0">
      <selection activeCell="I1" sqref="I1:K9"/>
    </sheetView>
  </sheetViews>
  <sheetFormatPr defaultColWidth="12.7109375" defaultRowHeight="12" customHeight="1"/>
  <cols>
    <col min="1" max="1" width="8.7109375" style="21" hidden="1" customWidth="1"/>
    <col min="2" max="2" width="7.42578125" style="21" hidden="1" customWidth="1"/>
    <col min="3" max="3" width="19" style="21" customWidth="1"/>
    <col min="4" max="4" width="25.42578125" style="21" hidden="1" customWidth="1"/>
    <col min="5" max="5" width="95.85546875" style="27" bestFit="1" customWidth="1"/>
    <col min="6" max="6" width="18.42578125" style="196" hidden="1" customWidth="1"/>
    <col min="7" max="7" width="31.5703125" style="196" bestFit="1" customWidth="1"/>
    <col min="8" max="8" width="33" style="196" bestFit="1" customWidth="1"/>
    <col min="9" max="10" width="8.42578125" style="41" customWidth="1"/>
    <col min="11" max="11" width="10.85546875" style="41" bestFit="1" customWidth="1"/>
    <col min="12" max="12" width="6.140625" style="60" hidden="1" customWidth="1"/>
    <col min="13" max="14" width="6.140625" style="27" customWidth="1"/>
    <col min="15" max="16" width="6.140625" style="27" hidden="1" customWidth="1"/>
    <col min="17" max="21" width="6.140625" style="27" customWidth="1"/>
    <col min="22" max="22" width="6.140625" style="60" customWidth="1"/>
    <col min="23" max="31" width="6.140625" style="27" customWidth="1"/>
    <col min="32" max="32" width="6.140625" style="60" customWidth="1"/>
    <col min="33" max="41" width="6.140625" style="27" customWidth="1"/>
    <col min="42" max="42" width="6.140625" style="60" customWidth="1"/>
    <col min="43" max="51" width="6.140625" style="27" customWidth="1"/>
    <col min="52" max="52" width="6.140625" style="60" customWidth="1"/>
    <col min="53" max="61" width="6.140625" style="27" customWidth="1"/>
    <col min="62" max="62" width="6.140625" style="60" customWidth="1"/>
    <col min="63" max="71" width="6.140625" style="27" customWidth="1"/>
    <col min="72" max="72" width="6.140625" style="60" customWidth="1"/>
    <col min="73" max="80" width="6.140625" style="27" customWidth="1"/>
    <col min="81" max="81" width="6.140625" style="62" customWidth="1"/>
    <col min="82" max="91" width="6.140625" style="27" customWidth="1"/>
    <col min="92" max="16384" width="12.7109375" style="27"/>
  </cols>
  <sheetData>
    <row r="1" spans="1:121" s="194" customFormat="1" ht="20.25" customHeight="1">
      <c r="A1" s="15"/>
      <c r="B1" s="16"/>
      <c r="C1" s="16"/>
      <c r="D1" s="16"/>
      <c r="E1" s="17"/>
      <c r="F1" s="195"/>
      <c r="G1" s="195"/>
      <c r="H1" s="195"/>
      <c r="I1" s="18"/>
      <c r="J1" s="19" t="s">
        <v>13</v>
      </c>
      <c r="K1" s="20"/>
      <c r="L1" s="407">
        <v>1</v>
      </c>
      <c r="M1" s="402">
        <v>2</v>
      </c>
      <c r="N1" s="402">
        <v>3</v>
      </c>
      <c r="O1" s="402">
        <v>4</v>
      </c>
      <c r="P1" s="408">
        <v>6</v>
      </c>
      <c r="Q1" s="407">
        <v>7</v>
      </c>
      <c r="R1" s="402">
        <v>238</v>
      </c>
      <c r="S1" s="402">
        <v>889</v>
      </c>
      <c r="T1" s="402">
        <v>887</v>
      </c>
      <c r="U1" s="409">
        <v>888</v>
      </c>
      <c r="V1" s="401">
        <v>231</v>
      </c>
      <c r="W1" s="403">
        <v>7777</v>
      </c>
      <c r="X1" s="403"/>
      <c r="Y1" s="403"/>
      <c r="Z1" s="406"/>
      <c r="AA1" s="410"/>
      <c r="AB1" s="403"/>
      <c r="AC1" s="403"/>
      <c r="AD1" s="403"/>
      <c r="AE1" s="404"/>
      <c r="AF1" s="405"/>
      <c r="AG1" s="403"/>
      <c r="AH1" s="403"/>
      <c r="AI1" s="403"/>
      <c r="AJ1" s="406"/>
      <c r="AK1" s="410"/>
      <c r="AL1" s="403"/>
      <c r="AM1" s="403"/>
      <c r="AN1" s="403"/>
      <c r="AO1" s="404"/>
      <c r="AP1" s="405"/>
      <c r="AQ1" s="403"/>
      <c r="AR1" s="403"/>
      <c r="AS1" s="403"/>
      <c r="AT1" s="406"/>
      <c r="AU1" s="410"/>
      <c r="AV1" s="403"/>
      <c r="AW1" s="403"/>
      <c r="AX1" s="403"/>
      <c r="AY1" s="404"/>
      <c r="AZ1" s="405"/>
      <c r="BA1" s="403"/>
      <c r="BB1" s="403"/>
      <c r="BC1" s="403"/>
      <c r="BD1" s="406"/>
      <c r="BE1" s="410"/>
      <c r="BF1" s="403"/>
      <c r="BG1" s="403"/>
      <c r="BH1" s="403"/>
      <c r="BI1" s="404"/>
      <c r="BJ1" s="405"/>
      <c r="BK1" s="403"/>
      <c r="BL1" s="403"/>
      <c r="BM1" s="403"/>
      <c r="BN1" s="406"/>
      <c r="BO1" s="410"/>
      <c r="BP1" s="403"/>
      <c r="BQ1" s="403"/>
      <c r="BR1" s="403"/>
      <c r="BS1" s="404"/>
      <c r="BT1" s="405"/>
      <c r="BU1" s="403"/>
      <c r="BV1" s="403"/>
      <c r="BW1" s="403"/>
      <c r="BX1" s="406"/>
      <c r="BY1" s="410"/>
      <c r="BZ1" s="403"/>
      <c r="CA1" s="403"/>
      <c r="CB1" s="403"/>
      <c r="CC1" s="404"/>
      <c r="CD1" s="405"/>
      <c r="CE1" s="403"/>
      <c r="CF1" s="403"/>
      <c r="CG1" s="403"/>
      <c r="CH1" s="404"/>
      <c r="CI1" s="405"/>
      <c r="CJ1" s="403"/>
      <c r="CK1" s="403"/>
      <c r="CL1" s="403"/>
      <c r="CM1" s="406"/>
      <c r="CN1" s="21"/>
      <c r="CO1" s="21"/>
      <c r="CP1" s="21"/>
      <c r="CQ1" s="21"/>
      <c r="CR1" s="21"/>
      <c r="CS1" s="21"/>
      <c r="CT1" s="21"/>
      <c r="CU1" s="21"/>
      <c r="CV1" s="21"/>
      <c r="CW1" s="21"/>
      <c r="CX1" s="21"/>
      <c r="CY1" s="21"/>
      <c r="CZ1" s="21"/>
      <c r="DA1" s="21"/>
      <c r="DB1" s="21"/>
      <c r="DC1" s="21"/>
      <c r="DD1" s="21"/>
      <c r="DE1" s="21"/>
      <c r="DF1" s="21"/>
      <c r="DG1" s="21"/>
      <c r="DH1" s="21"/>
      <c r="DI1" s="21"/>
      <c r="DJ1" s="21"/>
      <c r="DK1" s="21"/>
      <c r="DL1" s="21"/>
      <c r="DM1" s="21"/>
      <c r="DN1" s="21"/>
      <c r="DO1" s="21"/>
      <c r="DP1" s="21"/>
      <c r="DQ1" s="21"/>
    </row>
    <row r="2" spans="1:121" s="194" customFormat="1" ht="24" customHeight="1" thickBot="1">
      <c r="A2" s="22"/>
      <c r="B2" s="21"/>
      <c r="C2" s="21"/>
      <c r="D2" s="21"/>
      <c r="F2" s="196"/>
      <c r="G2" s="196"/>
      <c r="H2" s="196"/>
      <c r="I2" s="23"/>
      <c r="J2" s="24" t="s">
        <v>14</v>
      </c>
      <c r="K2" s="25"/>
      <c r="L2" s="388" t="s">
        <v>11</v>
      </c>
      <c r="M2" s="387" t="s">
        <v>11</v>
      </c>
      <c r="N2" s="387" t="s">
        <v>11</v>
      </c>
      <c r="O2" s="387" t="s">
        <v>11</v>
      </c>
      <c r="P2" s="389" t="s">
        <v>11</v>
      </c>
      <c r="Q2" s="388" t="s">
        <v>77</v>
      </c>
      <c r="R2" s="387" t="s">
        <v>11</v>
      </c>
      <c r="S2" s="387" t="s">
        <v>11</v>
      </c>
      <c r="T2" s="387" t="s">
        <v>11</v>
      </c>
      <c r="U2" s="390" t="s">
        <v>11</v>
      </c>
      <c r="V2" s="386" t="s">
        <v>11</v>
      </c>
      <c r="W2" s="372" t="s">
        <v>11</v>
      </c>
      <c r="X2" s="372"/>
      <c r="Y2" s="372"/>
      <c r="Z2" s="373"/>
      <c r="AA2" s="374"/>
      <c r="AB2" s="372"/>
      <c r="AC2" s="372"/>
      <c r="AD2" s="372"/>
      <c r="AE2" s="371"/>
      <c r="AF2" s="375"/>
      <c r="AG2" s="372"/>
      <c r="AH2" s="372"/>
      <c r="AI2" s="372"/>
      <c r="AJ2" s="373"/>
      <c r="AK2" s="374"/>
      <c r="AL2" s="372"/>
      <c r="AM2" s="372"/>
      <c r="AN2" s="372"/>
      <c r="AO2" s="371"/>
      <c r="AP2" s="375"/>
      <c r="AQ2" s="372"/>
      <c r="AR2" s="372"/>
      <c r="AS2" s="372"/>
      <c r="AT2" s="373"/>
      <c r="AU2" s="374"/>
      <c r="AV2" s="372"/>
      <c r="AW2" s="372"/>
      <c r="AX2" s="372"/>
      <c r="AY2" s="371"/>
      <c r="AZ2" s="375"/>
      <c r="BA2" s="372"/>
      <c r="BB2" s="372"/>
      <c r="BC2" s="372"/>
      <c r="BD2" s="373"/>
      <c r="BE2" s="374"/>
      <c r="BF2" s="372"/>
      <c r="BG2" s="372"/>
      <c r="BH2" s="372"/>
      <c r="BI2" s="371"/>
      <c r="BJ2" s="375"/>
      <c r="BK2" s="372"/>
      <c r="BL2" s="372"/>
      <c r="BM2" s="372"/>
      <c r="BN2" s="373"/>
      <c r="BO2" s="374"/>
      <c r="BP2" s="372"/>
      <c r="BQ2" s="372"/>
      <c r="BR2" s="372"/>
      <c r="BS2" s="371"/>
      <c r="BT2" s="375"/>
      <c r="BU2" s="372"/>
      <c r="BV2" s="372"/>
      <c r="BW2" s="372"/>
      <c r="BX2" s="373"/>
      <c r="BY2" s="374"/>
      <c r="BZ2" s="372"/>
      <c r="CA2" s="372"/>
      <c r="CB2" s="372"/>
      <c r="CC2" s="371"/>
      <c r="CD2" s="375"/>
      <c r="CE2" s="372"/>
      <c r="CF2" s="372"/>
      <c r="CG2" s="372"/>
      <c r="CH2" s="371"/>
      <c r="CI2" s="375"/>
      <c r="CJ2" s="372"/>
      <c r="CK2" s="372"/>
      <c r="CL2" s="372"/>
      <c r="CM2" s="373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  <c r="DO2" s="26"/>
      <c r="DP2" s="26"/>
      <c r="DQ2" s="21"/>
    </row>
    <row r="3" spans="1:121" ht="111" customHeight="1">
      <c r="A3" s="22"/>
      <c r="I3" s="307" t="s">
        <v>15</v>
      </c>
      <c r="J3" s="308"/>
      <c r="K3" s="309"/>
      <c r="L3" s="421" t="s">
        <v>76</v>
      </c>
      <c r="M3" s="422" t="s">
        <v>76</v>
      </c>
      <c r="N3" s="422" t="s">
        <v>76</v>
      </c>
      <c r="O3" s="422" t="s">
        <v>76</v>
      </c>
      <c r="P3" s="423" t="s">
        <v>76</v>
      </c>
      <c r="Q3" s="421"/>
      <c r="R3" s="422" t="s">
        <v>16</v>
      </c>
      <c r="S3" s="422" t="s">
        <v>44</v>
      </c>
      <c r="T3" s="422" t="s">
        <v>44</v>
      </c>
      <c r="U3" s="424" t="s">
        <v>44</v>
      </c>
      <c r="V3" s="425" t="s">
        <v>44</v>
      </c>
      <c r="W3" s="372" t="s">
        <v>93</v>
      </c>
      <c r="X3" s="372"/>
      <c r="Y3" s="372"/>
      <c r="Z3" s="373"/>
      <c r="AA3" s="374"/>
      <c r="AB3" s="372"/>
      <c r="AC3" s="372"/>
      <c r="AD3" s="372"/>
      <c r="AE3" s="371"/>
      <c r="AF3" s="375"/>
      <c r="AG3" s="372"/>
      <c r="AH3" s="372"/>
      <c r="AI3" s="372"/>
      <c r="AJ3" s="373"/>
      <c r="AK3" s="374"/>
      <c r="AL3" s="372"/>
      <c r="AM3" s="372"/>
      <c r="AN3" s="372"/>
      <c r="AO3" s="371"/>
      <c r="AP3" s="375"/>
      <c r="AQ3" s="372"/>
      <c r="AR3" s="372"/>
      <c r="AS3" s="372"/>
      <c r="AT3" s="373"/>
      <c r="AU3" s="374"/>
      <c r="AV3" s="372"/>
      <c r="AW3" s="372"/>
      <c r="AX3" s="372"/>
      <c r="AY3" s="371"/>
      <c r="AZ3" s="375"/>
      <c r="BA3" s="372"/>
      <c r="BB3" s="372"/>
      <c r="BC3" s="372"/>
      <c r="BD3" s="373"/>
      <c r="BE3" s="374"/>
      <c r="BF3" s="372"/>
      <c r="BG3" s="372"/>
      <c r="BH3" s="372"/>
      <c r="BI3" s="371"/>
      <c r="BJ3" s="375"/>
      <c r="BK3" s="372"/>
      <c r="BL3" s="372"/>
      <c r="BM3" s="372"/>
      <c r="BN3" s="373"/>
      <c r="BO3" s="374"/>
      <c r="BP3" s="372"/>
      <c r="BQ3" s="372"/>
      <c r="BR3" s="372"/>
      <c r="BS3" s="371"/>
      <c r="BT3" s="375"/>
      <c r="BU3" s="372"/>
      <c r="BV3" s="372"/>
      <c r="BW3" s="372"/>
      <c r="BX3" s="373"/>
      <c r="BY3" s="374"/>
      <c r="BZ3" s="372"/>
      <c r="CA3" s="372"/>
      <c r="CB3" s="372"/>
      <c r="CC3" s="371"/>
      <c r="CD3" s="375"/>
      <c r="CE3" s="372"/>
      <c r="CF3" s="372"/>
      <c r="CG3" s="372"/>
      <c r="CH3" s="371"/>
      <c r="CI3" s="375"/>
      <c r="CJ3" s="372"/>
      <c r="CK3" s="372"/>
      <c r="CL3" s="372"/>
      <c r="CM3" s="373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</row>
    <row r="4" spans="1:121" s="29" customFormat="1" ht="156.75" customHeight="1">
      <c r="A4" s="22"/>
      <c r="B4" s="21"/>
      <c r="C4" s="21"/>
      <c r="D4" s="21"/>
      <c r="F4" s="21"/>
      <c r="G4" s="21"/>
      <c r="H4" s="30"/>
      <c r="I4" s="310" t="s">
        <v>17</v>
      </c>
      <c r="J4" s="311"/>
      <c r="K4" s="312"/>
      <c r="L4" s="421" t="s">
        <v>76</v>
      </c>
      <c r="M4" s="422" t="s">
        <v>76</v>
      </c>
      <c r="N4" s="422" t="s">
        <v>76</v>
      </c>
      <c r="O4" s="422" t="s">
        <v>76</v>
      </c>
      <c r="P4" s="423" t="s">
        <v>76</v>
      </c>
      <c r="Q4" s="421" t="s">
        <v>77</v>
      </c>
      <c r="R4" s="422" t="s">
        <v>76</v>
      </c>
      <c r="S4" s="422" t="s">
        <v>76</v>
      </c>
      <c r="T4" s="422" t="s">
        <v>76</v>
      </c>
      <c r="U4" s="424" t="s">
        <v>76</v>
      </c>
      <c r="V4" s="425" t="s">
        <v>76</v>
      </c>
      <c r="W4" s="372" t="s">
        <v>93</v>
      </c>
      <c r="X4" s="372"/>
      <c r="Y4" s="372"/>
      <c r="Z4" s="373"/>
      <c r="AA4" s="374"/>
      <c r="AB4" s="372"/>
      <c r="AC4" s="372"/>
      <c r="AD4" s="372"/>
      <c r="AE4" s="371"/>
      <c r="AF4" s="375"/>
      <c r="AG4" s="372"/>
      <c r="AH4" s="372"/>
      <c r="AI4" s="372"/>
      <c r="AJ4" s="373"/>
      <c r="AK4" s="374"/>
      <c r="AL4" s="372"/>
      <c r="AM4" s="372"/>
      <c r="AN4" s="372"/>
      <c r="AO4" s="371"/>
      <c r="AP4" s="375"/>
      <c r="AQ4" s="372"/>
      <c r="AR4" s="372"/>
      <c r="AS4" s="372"/>
      <c r="AT4" s="373"/>
      <c r="AU4" s="374"/>
      <c r="AV4" s="372"/>
      <c r="AW4" s="372"/>
      <c r="AX4" s="372"/>
      <c r="AY4" s="371"/>
      <c r="AZ4" s="375"/>
      <c r="BA4" s="372"/>
      <c r="BB4" s="372"/>
      <c r="BC4" s="372"/>
      <c r="BD4" s="373"/>
      <c r="BE4" s="374"/>
      <c r="BF4" s="372"/>
      <c r="BG4" s="372"/>
      <c r="BH4" s="372"/>
      <c r="BI4" s="371"/>
      <c r="BJ4" s="375"/>
      <c r="BK4" s="372"/>
      <c r="BL4" s="372"/>
      <c r="BM4" s="372"/>
      <c r="BN4" s="373"/>
      <c r="BO4" s="374"/>
      <c r="BP4" s="372"/>
      <c r="BQ4" s="372"/>
      <c r="BR4" s="372"/>
      <c r="BS4" s="371"/>
      <c r="BT4" s="375"/>
      <c r="BU4" s="372"/>
      <c r="BV4" s="372"/>
      <c r="BW4" s="372"/>
      <c r="BX4" s="373"/>
      <c r="BY4" s="374"/>
      <c r="BZ4" s="372"/>
      <c r="CA4" s="372"/>
      <c r="CB4" s="372"/>
      <c r="CC4" s="371"/>
      <c r="CD4" s="375"/>
      <c r="CE4" s="372"/>
      <c r="CF4" s="372"/>
      <c r="CG4" s="372"/>
      <c r="CH4" s="371"/>
      <c r="CI4" s="375"/>
      <c r="CJ4" s="372"/>
      <c r="CK4" s="372"/>
      <c r="CL4" s="372"/>
      <c r="CM4" s="373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6"/>
      <c r="DF4" s="28"/>
      <c r="DG4" s="26"/>
      <c r="DH4" s="28"/>
      <c r="DI4" s="26"/>
      <c r="DJ4" s="28"/>
      <c r="DK4" s="26"/>
      <c r="DL4" s="28"/>
      <c r="DM4" s="26"/>
      <c r="DN4" s="28"/>
      <c r="DO4" s="26"/>
      <c r="DP4" s="28"/>
      <c r="DQ4" s="28"/>
    </row>
    <row r="5" spans="1:121" s="21" customFormat="1" ht="408" customHeight="1">
      <c r="A5" s="22"/>
      <c r="H5" s="30" t="s">
        <v>18</v>
      </c>
      <c r="I5" s="203" t="s">
        <v>7</v>
      </c>
      <c r="J5" s="204"/>
      <c r="K5" s="313"/>
      <c r="L5" s="426" t="s">
        <v>69</v>
      </c>
      <c r="M5" s="427" t="s">
        <v>72</v>
      </c>
      <c r="N5" s="427" t="s">
        <v>71</v>
      </c>
      <c r="O5" s="427" t="s">
        <v>83</v>
      </c>
      <c r="P5" s="428" t="s">
        <v>82</v>
      </c>
      <c r="Q5" s="426"/>
      <c r="R5" s="427" t="s">
        <v>56</v>
      </c>
      <c r="S5" s="427" t="s">
        <v>59</v>
      </c>
      <c r="T5" s="427" t="s">
        <v>57</v>
      </c>
      <c r="U5" s="429" t="s">
        <v>58</v>
      </c>
      <c r="V5" s="430" t="s">
        <v>55</v>
      </c>
      <c r="W5" s="372" t="s">
        <v>93</v>
      </c>
      <c r="X5" s="372"/>
      <c r="Y5" s="372"/>
      <c r="Z5" s="373"/>
      <c r="AA5" s="374"/>
      <c r="AB5" s="372"/>
      <c r="AC5" s="372"/>
      <c r="AD5" s="372"/>
      <c r="AE5" s="371"/>
      <c r="AF5" s="375"/>
      <c r="AG5" s="372"/>
      <c r="AH5" s="372"/>
      <c r="AI5" s="372"/>
      <c r="AJ5" s="373"/>
      <c r="AK5" s="374"/>
      <c r="AL5" s="372"/>
      <c r="AM5" s="372"/>
      <c r="AN5" s="372"/>
      <c r="AO5" s="371"/>
      <c r="AP5" s="375"/>
      <c r="AQ5" s="372"/>
      <c r="AR5" s="372"/>
      <c r="AS5" s="372"/>
      <c r="AT5" s="373"/>
      <c r="AU5" s="374"/>
      <c r="AV5" s="372"/>
      <c r="AW5" s="372"/>
      <c r="AX5" s="372"/>
      <c r="AY5" s="371"/>
      <c r="AZ5" s="375"/>
      <c r="BA5" s="372"/>
      <c r="BB5" s="372"/>
      <c r="BC5" s="372"/>
      <c r="BD5" s="373"/>
      <c r="BE5" s="374"/>
      <c r="BF5" s="372"/>
      <c r="BG5" s="372"/>
      <c r="BH5" s="372"/>
      <c r="BI5" s="371"/>
      <c r="BJ5" s="375"/>
      <c r="BK5" s="372"/>
      <c r="BL5" s="372"/>
      <c r="BM5" s="372"/>
      <c r="BN5" s="373"/>
      <c r="BO5" s="374"/>
      <c r="BP5" s="372"/>
      <c r="BQ5" s="372"/>
      <c r="BR5" s="372"/>
      <c r="BS5" s="371"/>
      <c r="BT5" s="375"/>
      <c r="BU5" s="372"/>
      <c r="BV5" s="372"/>
      <c r="BW5" s="372"/>
      <c r="BX5" s="373"/>
      <c r="BY5" s="374"/>
      <c r="BZ5" s="372"/>
      <c r="CA5" s="372"/>
      <c r="CB5" s="372"/>
      <c r="CC5" s="371"/>
      <c r="CD5" s="375"/>
      <c r="CE5" s="372"/>
      <c r="CF5" s="372"/>
      <c r="CG5" s="372"/>
      <c r="CH5" s="371"/>
      <c r="CI5" s="375"/>
      <c r="CJ5" s="372"/>
      <c r="CK5" s="372"/>
      <c r="CL5" s="372"/>
      <c r="CM5" s="373"/>
      <c r="CN5" s="31"/>
      <c r="CO5" s="32"/>
      <c r="CP5" s="31"/>
      <c r="CQ5" s="32"/>
      <c r="CR5" s="31"/>
      <c r="CS5" s="32"/>
      <c r="CT5" s="31"/>
      <c r="CU5" s="32"/>
      <c r="CV5" s="31"/>
      <c r="CW5" s="33"/>
      <c r="CX5" s="31"/>
      <c r="CY5" s="33"/>
      <c r="CZ5" s="31"/>
      <c r="DA5" s="31"/>
      <c r="DB5" s="31"/>
      <c r="DC5" s="32"/>
      <c r="DD5" s="31"/>
      <c r="DE5" s="31"/>
      <c r="DF5" s="31"/>
      <c r="DG5" s="31"/>
      <c r="DH5" s="31"/>
      <c r="DI5" s="31"/>
      <c r="DJ5" s="31"/>
      <c r="DK5" s="32"/>
      <c r="DL5" s="31"/>
      <c r="DM5" s="33"/>
      <c r="DN5" s="31"/>
      <c r="DO5" s="31"/>
      <c r="DP5" s="31"/>
      <c r="DQ5" s="33"/>
    </row>
    <row r="6" spans="1:121" s="21" customFormat="1" ht="140.25" customHeight="1" thickBot="1">
      <c r="A6" s="22"/>
      <c r="D6" s="197"/>
      <c r="E6" s="197" t="s">
        <v>19</v>
      </c>
      <c r="I6" s="232" t="s">
        <v>20</v>
      </c>
      <c r="J6" s="233"/>
      <c r="K6" s="314"/>
      <c r="L6" s="431" t="s">
        <v>66</v>
      </c>
      <c r="M6" s="432" t="s">
        <v>64</v>
      </c>
      <c r="N6" s="432" t="s">
        <v>65</v>
      </c>
      <c r="O6" s="432" t="s">
        <v>67</v>
      </c>
      <c r="P6" s="433" t="s">
        <v>68</v>
      </c>
      <c r="Q6" s="431"/>
      <c r="R6" s="432" t="s">
        <v>21</v>
      </c>
      <c r="S6" s="432" t="s">
        <v>63</v>
      </c>
      <c r="T6" s="432" t="s">
        <v>61</v>
      </c>
      <c r="U6" s="434" t="s">
        <v>62</v>
      </c>
      <c r="V6" s="435" t="s">
        <v>60</v>
      </c>
      <c r="W6" s="393" t="s">
        <v>92</v>
      </c>
      <c r="X6" s="393"/>
      <c r="Y6" s="393"/>
      <c r="Z6" s="396"/>
      <c r="AA6" s="400"/>
      <c r="AB6" s="393"/>
      <c r="AC6" s="393"/>
      <c r="AD6" s="393"/>
      <c r="AE6" s="394"/>
      <c r="AF6" s="395"/>
      <c r="AG6" s="393"/>
      <c r="AH6" s="393"/>
      <c r="AI6" s="393"/>
      <c r="AJ6" s="396"/>
      <c r="AK6" s="400"/>
      <c r="AL6" s="393"/>
      <c r="AM6" s="393"/>
      <c r="AN6" s="393"/>
      <c r="AO6" s="394"/>
      <c r="AP6" s="395"/>
      <c r="AQ6" s="393"/>
      <c r="AR6" s="393"/>
      <c r="AS6" s="393"/>
      <c r="AT6" s="396"/>
      <c r="AU6" s="400"/>
      <c r="AV6" s="393"/>
      <c r="AW6" s="393"/>
      <c r="AX6" s="393"/>
      <c r="AY6" s="394"/>
      <c r="AZ6" s="395"/>
      <c r="BA6" s="393"/>
      <c r="BB6" s="393"/>
      <c r="BC6" s="393"/>
      <c r="BD6" s="396"/>
      <c r="BE6" s="400"/>
      <c r="BF6" s="393"/>
      <c r="BG6" s="393"/>
      <c r="BH6" s="393"/>
      <c r="BI6" s="394"/>
      <c r="BJ6" s="395"/>
      <c r="BK6" s="393"/>
      <c r="BL6" s="393"/>
      <c r="BM6" s="393"/>
      <c r="BN6" s="396"/>
      <c r="BO6" s="400"/>
      <c r="BP6" s="393"/>
      <c r="BQ6" s="393"/>
      <c r="BR6" s="393"/>
      <c r="BS6" s="394"/>
      <c r="BT6" s="395"/>
      <c r="BU6" s="393"/>
      <c r="BV6" s="393"/>
      <c r="BW6" s="393"/>
      <c r="BX6" s="396"/>
      <c r="BY6" s="400"/>
      <c r="BZ6" s="393"/>
      <c r="CA6" s="393"/>
      <c r="CB6" s="393"/>
      <c r="CC6" s="394"/>
      <c r="CD6" s="395"/>
      <c r="CE6" s="393"/>
      <c r="CF6" s="393"/>
      <c r="CG6" s="393"/>
      <c r="CH6" s="394"/>
      <c r="CI6" s="395"/>
      <c r="CJ6" s="393"/>
      <c r="CK6" s="393"/>
      <c r="CL6" s="393"/>
      <c r="CM6" s="396"/>
      <c r="CN6" s="28"/>
      <c r="CO6" s="28"/>
      <c r="CP6" s="28"/>
      <c r="CQ6" s="34"/>
      <c r="CR6" s="33"/>
      <c r="CS6" s="33"/>
      <c r="CT6" s="34"/>
      <c r="CU6" s="35"/>
      <c r="CV6" s="36"/>
      <c r="CW6" s="37"/>
      <c r="CX6" s="37"/>
      <c r="CY6" s="37"/>
      <c r="CZ6" s="38"/>
      <c r="DA6" s="39"/>
      <c r="DB6" s="39"/>
      <c r="DC6" s="39"/>
      <c r="DD6" s="28"/>
      <c r="DE6" s="39"/>
      <c r="DF6" s="40"/>
      <c r="DG6" s="39"/>
      <c r="DH6" s="40"/>
      <c r="DI6" s="39"/>
      <c r="DJ6" s="40"/>
      <c r="DK6" s="39"/>
      <c r="DL6" s="40"/>
      <c r="DM6" s="39"/>
      <c r="DN6" s="40"/>
      <c r="DO6" s="39"/>
      <c r="DP6" s="40"/>
      <c r="DQ6" s="40"/>
    </row>
    <row r="7" spans="1:121" s="41" customFormat="1" ht="25.5" customHeight="1">
      <c r="A7" s="221" t="s">
        <v>22</v>
      </c>
      <c r="B7" s="212" t="s">
        <v>23</v>
      </c>
      <c r="C7" s="212" t="s">
        <v>24</v>
      </c>
      <c r="D7" s="212" t="s">
        <v>25</v>
      </c>
      <c r="E7" s="212" t="s">
        <v>7</v>
      </c>
      <c r="F7" s="212" t="s">
        <v>26</v>
      </c>
      <c r="G7" s="212" t="s">
        <v>20</v>
      </c>
      <c r="H7" s="225" t="s">
        <v>27</v>
      </c>
      <c r="I7" s="318" t="s">
        <v>28</v>
      </c>
      <c r="J7" s="212"/>
      <c r="K7" s="319"/>
      <c r="L7" s="407"/>
      <c r="M7" s="402"/>
      <c r="N7" s="402"/>
      <c r="O7" s="402"/>
      <c r="P7" s="408"/>
      <c r="Q7" s="407"/>
      <c r="R7" s="402"/>
      <c r="S7" s="402"/>
      <c r="T7" s="402"/>
      <c r="U7" s="409"/>
      <c r="V7" s="401"/>
      <c r="W7" s="403" t="s">
        <v>93</v>
      </c>
      <c r="X7" s="403"/>
      <c r="Y7" s="403"/>
      <c r="Z7" s="406"/>
      <c r="AA7" s="410"/>
      <c r="AB7" s="403"/>
      <c r="AC7" s="403"/>
      <c r="AD7" s="403"/>
      <c r="AE7" s="404"/>
      <c r="AF7" s="405"/>
      <c r="AG7" s="403"/>
      <c r="AH7" s="403"/>
      <c r="AI7" s="403"/>
      <c r="AJ7" s="406"/>
      <c r="AK7" s="410"/>
      <c r="AL7" s="403"/>
      <c r="AM7" s="403"/>
      <c r="AN7" s="403"/>
      <c r="AO7" s="404"/>
      <c r="AP7" s="405"/>
      <c r="AQ7" s="403"/>
      <c r="AR7" s="403"/>
      <c r="AS7" s="403"/>
      <c r="AT7" s="406"/>
      <c r="AU7" s="410"/>
      <c r="AV7" s="403"/>
      <c r="AW7" s="403"/>
      <c r="AX7" s="403"/>
      <c r="AY7" s="404"/>
      <c r="AZ7" s="405"/>
      <c r="BA7" s="403"/>
      <c r="BB7" s="403"/>
      <c r="BC7" s="403"/>
      <c r="BD7" s="406"/>
      <c r="BE7" s="410"/>
      <c r="BF7" s="403"/>
      <c r="BG7" s="403"/>
      <c r="BH7" s="403"/>
      <c r="BI7" s="404"/>
      <c r="BJ7" s="405"/>
      <c r="BK7" s="403"/>
      <c r="BL7" s="403"/>
      <c r="BM7" s="403"/>
      <c r="BN7" s="406"/>
      <c r="BO7" s="410"/>
      <c r="BP7" s="403"/>
      <c r="BQ7" s="403"/>
      <c r="BR7" s="403"/>
      <c r="BS7" s="404"/>
      <c r="BT7" s="405"/>
      <c r="BU7" s="403"/>
      <c r="BV7" s="403"/>
      <c r="BW7" s="403"/>
      <c r="BX7" s="406"/>
      <c r="BY7" s="410"/>
      <c r="BZ7" s="403"/>
      <c r="CA7" s="403"/>
      <c r="CB7" s="403"/>
      <c r="CC7" s="404"/>
      <c r="CD7" s="405"/>
      <c r="CE7" s="403"/>
      <c r="CF7" s="403"/>
      <c r="CG7" s="403"/>
      <c r="CH7" s="404"/>
      <c r="CI7" s="405"/>
      <c r="CJ7" s="403"/>
      <c r="CK7" s="403"/>
      <c r="CL7" s="403"/>
      <c r="CM7" s="406"/>
    </row>
    <row r="8" spans="1:121" s="41" customFormat="1" ht="25.5" customHeight="1">
      <c r="A8" s="222"/>
      <c r="B8" s="213"/>
      <c r="C8" s="213"/>
      <c r="D8" s="213"/>
      <c r="E8" s="213"/>
      <c r="F8" s="213"/>
      <c r="G8" s="213"/>
      <c r="H8" s="226"/>
      <c r="I8" s="42"/>
      <c r="J8" s="214" t="s">
        <v>29</v>
      </c>
      <c r="K8" s="320"/>
      <c r="L8" s="388"/>
      <c r="M8" s="387"/>
      <c r="N8" s="387"/>
      <c r="O8" s="387"/>
      <c r="P8" s="389"/>
      <c r="Q8" s="388"/>
      <c r="R8" s="387"/>
      <c r="S8" s="387"/>
      <c r="T8" s="387"/>
      <c r="U8" s="390"/>
      <c r="V8" s="386"/>
      <c r="W8" s="372" t="s">
        <v>93</v>
      </c>
      <c r="X8" s="372"/>
      <c r="Y8" s="372"/>
      <c r="Z8" s="373"/>
      <c r="AA8" s="374"/>
      <c r="AB8" s="372"/>
      <c r="AC8" s="372"/>
      <c r="AD8" s="372"/>
      <c r="AE8" s="371"/>
      <c r="AF8" s="375"/>
      <c r="AG8" s="372"/>
      <c r="AH8" s="372"/>
      <c r="AI8" s="372"/>
      <c r="AJ8" s="373"/>
      <c r="AK8" s="374"/>
      <c r="AL8" s="372"/>
      <c r="AM8" s="372"/>
      <c r="AN8" s="372"/>
      <c r="AO8" s="371"/>
      <c r="AP8" s="375"/>
      <c r="AQ8" s="372"/>
      <c r="AR8" s="372"/>
      <c r="AS8" s="372"/>
      <c r="AT8" s="373"/>
      <c r="AU8" s="374"/>
      <c r="AV8" s="372"/>
      <c r="AW8" s="372"/>
      <c r="AX8" s="372"/>
      <c r="AY8" s="371"/>
      <c r="AZ8" s="375"/>
      <c r="BA8" s="372"/>
      <c r="BB8" s="372"/>
      <c r="BC8" s="372"/>
      <c r="BD8" s="373"/>
      <c r="BE8" s="374"/>
      <c r="BF8" s="372"/>
      <c r="BG8" s="372"/>
      <c r="BH8" s="372"/>
      <c r="BI8" s="371"/>
      <c r="BJ8" s="375"/>
      <c r="BK8" s="372"/>
      <c r="BL8" s="372"/>
      <c r="BM8" s="372"/>
      <c r="BN8" s="373"/>
      <c r="BO8" s="374"/>
      <c r="BP8" s="372"/>
      <c r="BQ8" s="372"/>
      <c r="BR8" s="372"/>
      <c r="BS8" s="371"/>
      <c r="BT8" s="375"/>
      <c r="BU8" s="372"/>
      <c r="BV8" s="372"/>
      <c r="BW8" s="372"/>
      <c r="BX8" s="373"/>
      <c r="BY8" s="374"/>
      <c r="BZ8" s="372"/>
      <c r="CA8" s="372"/>
      <c r="CB8" s="372"/>
      <c r="CC8" s="371"/>
      <c r="CD8" s="375"/>
      <c r="CE8" s="372"/>
      <c r="CF8" s="372"/>
      <c r="CG8" s="372"/>
      <c r="CH8" s="371"/>
      <c r="CI8" s="375"/>
      <c r="CJ8" s="372"/>
      <c r="CK8" s="372"/>
      <c r="CL8" s="372"/>
      <c r="CM8" s="373"/>
    </row>
    <row r="9" spans="1:121" s="41" customFormat="1" ht="25.5" customHeight="1" thickBot="1">
      <c r="A9" s="315"/>
      <c r="B9" s="316"/>
      <c r="C9" s="316"/>
      <c r="D9" s="316"/>
      <c r="E9" s="316"/>
      <c r="F9" s="316"/>
      <c r="G9" s="316"/>
      <c r="H9" s="317"/>
      <c r="I9" s="43"/>
      <c r="J9" s="191"/>
      <c r="K9" s="44" t="s">
        <v>30</v>
      </c>
      <c r="L9" s="413"/>
      <c r="M9" s="412"/>
      <c r="N9" s="412"/>
      <c r="O9" s="412"/>
      <c r="P9" s="414"/>
      <c r="Q9" s="413"/>
      <c r="R9" s="412"/>
      <c r="S9" s="412"/>
      <c r="T9" s="412"/>
      <c r="U9" s="415"/>
      <c r="V9" s="411"/>
      <c r="W9" s="377" t="s">
        <v>93</v>
      </c>
      <c r="X9" s="377"/>
      <c r="Y9" s="377"/>
      <c r="Z9" s="378"/>
      <c r="AA9" s="379"/>
      <c r="AB9" s="377"/>
      <c r="AC9" s="377"/>
      <c r="AD9" s="377"/>
      <c r="AE9" s="376"/>
      <c r="AF9" s="380"/>
      <c r="AG9" s="377"/>
      <c r="AH9" s="377"/>
      <c r="AI9" s="377"/>
      <c r="AJ9" s="378"/>
      <c r="AK9" s="379"/>
      <c r="AL9" s="377"/>
      <c r="AM9" s="377"/>
      <c r="AN9" s="377"/>
      <c r="AO9" s="376"/>
      <c r="AP9" s="380"/>
      <c r="AQ9" s="377"/>
      <c r="AR9" s="377"/>
      <c r="AS9" s="377"/>
      <c r="AT9" s="378"/>
      <c r="AU9" s="379"/>
      <c r="AV9" s="377"/>
      <c r="AW9" s="377"/>
      <c r="AX9" s="377"/>
      <c r="AY9" s="376"/>
      <c r="AZ9" s="380"/>
      <c r="BA9" s="377"/>
      <c r="BB9" s="377"/>
      <c r="BC9" s="377"/>
      <c r="BD9" s="378"/>
      <c r="BE9" s="379"/>
      <c r="BF9" s="377"/>
      <c r="BG9" s="377"/>
      <c r="BH9" s="377"/>
      <c r="BI9" s="376"/>
      <c r="BJ9" s="380"/>
      <c r="BK9" s="377"/>
      <c r="BL9" s="377"/>
      <c r="BM9" s="377"/>
      <c r="BN9" s="378"/>
      <c r="BO9" s="379"/>
      <c r="BP9" s="377"/>
      <c r="BQ9" s="377"/>
      <c r="BR9" s="377"/>
      <c r="BS9" s="376"/>
      <c r="BT9" s="380"/>
      <c r="BU9" s="377"/>
      <c r="BV9" s="377"/>
      <c r="BW9" s="377"/>
      <c r="BX9" s="378"/>
      <c r="BY9" s="379"/>
      <c r="BZ9" s="377"/>
      <c r="CA9" s="377"/>
      <c r="CB9" s="377"/>
      <c r="CC9" s="376"/>
      <c r="CD9" s="380"/>
      <c r="CE9" s="377"/>
      <c r="CF9" s="377"/>
      <c r="CG9" s="377"/>
      <c r="CH9" s="376"/>
      <c r="CI9" s="380"/>
      <c r="CJ9" s="377"/>
      <c r="CK9" s="377"/>
      <c r="CL9" s="377"/>
      <c r="CM9" s="378"/>
    </row>
    <row r="10" spans="1:121" ht="25.5" hidden="1" customHeight="1">
      <c r="A10" s="100">
        <v>4203</v>
      </c>
      <c r="B10" s="101" t="s">
        <v>11</v>
      </c>
      <c r="C10" s="101" t="s">
        <v>44</v>
      </c>
      <c r="D10" s="101" t="s">
        <v>76</v>
      </c>
      <c r="E10" s="102" t="s">
        <v>53</v>
      </c>
      <c r="F10" s="101"/>
      <c r="G10" s="102" t="s">
        <v>974</v>
      </c>
      <c r="H10" s="177" t="s">
        <v>54</v>
      </c>
      <c r="I10" s="104"/>
      <c r="J10" s="102"/>
      <c r="K10" s="103"/>
      <c r="L10" s="347" t="s">
        <v>78</v>
      </c>
      <c r="M10" s="342" t="s">
        <v>77</v>
      </c>
      <c r="N10" s="342"/>
      <c r="O10" s="342" t="s">
        <v>77</v>
      </c>
      <c r="P10" s="348" t="s">
        <v>77</v>
      </c>
      <c r="Q10" s="347"/>
      <c r="R10" s="342"/>
      <c r="S10" s="342"/>
      <c r="T10" s="342"/>
      <c r="U10" s="349" t="s">
        <v>80</v>
      </c>
      <c r="V10" s="341"/>
      <c r="W10" s="343"/>
      <c r="X10" s="343"/>
      <c r="Y10" s="343"/>
      <c r="Z10" s="346"/>
      <c r="AA10" s="350"/>
      <c r="AB10" s="343"/>
      <c r="AC10" s="343"/>
      <c r="AD10" s="343"/>
      <c r="AE10" s="344"/>
      <c r="AF10" s="345"/>
      <c r="AG10" s="343"/>
      <c r="AH10" s="343"/>
      <c r="AI10" s="343"/>
      <c r="AJ10" s="346"/>
      <c r="AK10" s="350"/>
      <c r="AL10" s="343"/>
      <c r="AM10" s="343"/>
      <c r="AN10" s="343"/>
      <c r="AO10" s="344"/>
      <c r="AP10" s="345"/>
      <c r="AQ10" s="343"/>
      <c r="AR10" s="343"/>
      <c r="AS10" s="343"/>
      <c r="AT10" s="346"/>
      <c r="AU10" s="350"/>
      <c r="AV10" s="343"/>
      <c r="AW10" s="343"/>
      <c r="AX10" s="343"/>
      <c r="AY10" s="344"/>
      <c r="AZ10" s="345"/>
      <c r="BA10" s="343"/>
      <c r="BB10" s="343"/>
      <c r="BC10" s="343"/>
      <c r="BD10" s="346"/>
      <c r="BE10" s="350"/>
      <c r="BF10" s="343"/>
      <c r="BG10" s="343"/>
      <c r="BH10" s="343"/>
      <c r="BI10" s="344"/>
      <c r="BJ10" s="345"/>
      <c r="BK10" s="343"/>
      <c r="BL10" s="343"/>
      <c r="BM10" s="343"/>
      <c r="BN10" s="346"/>
      <c r="BO10" s="350"/>
      <c r="BP10" s="343"/>
      <c r="BQ10" s="343"/>
      <c r="BR10" s="343"/>
      <c r="BS10" s="344"/>
      <c r="BT10" s="345"/>
      <c r="BU10" s="343"/>
      <c r="BV10" s="343"/>
      <c r="BW10" s="343"/>
      <c r="BX10" s="346"/>
      <c r="BY10" s="350"/>
      <c r="BZ10" s="343"/>
      <c r="CA10" s="343"/>
      <c r="CB10" s="343"/>
      <c r="CC10" s="344"/>
      <c r="CD10" s="345"/>
      <c r="CE10" s="343"/>
      <c r="CF10" s="343"/>
      <c r="CG10" s="343"/>
      <c r="CH10" s="344"/>
      <c r="CI10" s="345"/>
      <c r="CJ10" s="343"/>
      <c r="CK10" s="343"/>
      <c r="CL10" s="343"/>
      <c r="CM10" s="346"/>
      <c r="CN10" s="45"/>
      <c r="CO10" s="45"/>
      <c r="CP10" s="45"/>
      <c r="CQ10" s="45"/>
      <c r="CR10" s="45"/>
      <c r="CS10" s="45"/>
      <c r="CT10" s="45"/>
      <c r="CU10" s="45"/>
      <c r="CV10" s="45"/>
      <c r="CW10" s="45"/>
      <c r="CX10" s="45"/>
      <c r="CY10" s="45"/>
      <c r="CZ10" s="45"/>
      <c r="DA10" s="45"/>
      <c r="DB10" s="45"/>
      <c r="DC10" s="45"/>
      <c r="DD10" s="45"/>
      <c r="DE10" s="45"/>
      <c r="DF10" s="45"/>
      <c r="DG10" s="45"/>
      <c r="DH10" s="45"/>
      <c r="DI10" s="45"/>
      <c r="DJ10" s="45"/>
      <c r="DK10" s="45"/>
      <c r="DL10" s="45"/>
      <c r="DM10" s="45"/>
      <c r="DN10" s="45"/>
    </row>
    <row r="11" spans="1:121" ht="25.5" customHeight="1">
      <c r="A11" s="321">
        <v>4204</v>
      </c>
      <c r="B11" s="322" t="s">
        <v>11</v>
      </c>
      <c r="C11" s="322" t="s">
        <v>44</v>
      </c>
      <c r="D11" s="322" t="s">
        <v>76</v>
      </c>
      <c r="E11" s="323" t="s">
        <v>53</v>
      </c>
      <c r="F11" s="322"/>
      <c r="G11" s="323" t="s">
        <v>976</v>
      </c>
      <c r="H11" s="324" t="s">
        <v>54</v>
      </c>
      <c r="I11" s="325"/>
      <c r="J11" s="323"/>
      <c r="K11" s="326"/>
      <c r="L11" s="327" t="s">
        <v>78</v>
      </c>
      <c r="M11" s="322" t="s">
        <v>77</v>
      </c>
      <c r="N11" s="322"/>
      <c r="O11" s="322" t="s">
        <v>77</v>
      </c>
      <c r="P11" s="328" t="s">
        <v>77</v>
      </c>
      <c r="Q11" s="327"/>
      <c r="R11" s="322"/>
      <c r="S11" s="322"/>
      <c r="T11" s="322"/>
      <c r="U11" s="329" t="s">
        <v>80</v>
      </c>
      <c r="V11" s="321"/>
      <c r="W11" s="323"/>
      <c r="X11" s="323"/>
      <c r="Y11" s="323"/>
      <c r="Z11" s="326"/>
      <c r="AA11" s="330"/>
      <c r="AB11" s="323"/>
      <c r="AC11" s="323"/>
      <c r="AD11" s="323"/>
      <c r="AE11" s="324"/>
      <c r="AF11" s="325"/>
      <c r="AG11" s="323"/>
      <c r="AH11" s="323"/>
      <c r="AI11" s="323"/>
      <c r="AJ11" s="326"/>
      <c r="AK11" s="330"/>
      <c r="AL11" s="323"/>
      <c r="AM11" s="323"/>
      <c r="AN11" s="323"/>
      <c r="AO11" s="324"/>
      <c r="AP11" s="325"/>
      <c r="AQ11" s="323"/>
      <c r="AR11" s="323"/>
      <c r="AS11" s="323"/>
      <c r="AT11" s="326"/>
      <c r="AU11" s="330"/>
      <c r="AV11" s="323"/>
      <c r="AW11" s="323"/>
      <c r="AX11" s="323"/>
      <c r="AY11" s="324"/>
      <c r="AZ11" s="325"/>
      <c r="BA11" s="323"/>
      <c r="BB11" s="323"/>
      <c r="BC11" s="323"/>
      <c r="BD11" s="326"/>
      <c r="BE11" s="330"/>
      <c r="BF11" s="323"/>
      <c r="BG11" s="323"/>
      <c r="BH11" s="323"/>
      <c r="BI11" s="324"/>
      <c r="BJ11" s="325"/>
      <c r="BK11" s="323"/>
      <c r="BL11" s="323"/>
      <c r="BM11" s="323"/>
      <c r="BN11" s="326"/>
      <c r="BO11" s="330"/>
      <c r="BP11" s="323"/>
      <c r="BQ11" s="323"/>
      <c r="BR11" s="323"/>
      <c r="BS11" s="324"/>
      <c r="BT11" s="325"/>
      <c r="BU11" s="323"/>
      <c r="BV11" s="323"/>
      <c r="BW11" s="323"/>
      <c r="BX11" s="326"/>
      <c r="BY11" s="330"/>
      <c r="BZ11" s="323"/>
      <c r="CA11" s="323"/>
      <c r="CB11" s="323"/>
      <c r="CC11" s="324"/>
      <c r="CD11" s="325"/>
      <c r="CE11" s="323"/>
      <c r="CF11" s="323"/>
      <c r="CG11" s="323"/>
      <c r="CH11" s="324"/>
      <c r="CI11" s="325"/>
      <c r="CJ11" s="323"/>
      <c r="CK11" s="323"/>
      <c r="CL11" s="323"/>
      <c r="CM11" s="326"/>
      <c r="CN11" s="46"/>
      <c r="CO11" s="45"/>
      <c r="CP11" s="45"/>
      <c r="CQ11" s="45"/>
      <c r="CR11" s="46"/>
      <c r="CS11" s="45"/>
      <c r="CT11" s="45"/>
      <c r="CU11" s="45"/>
      <c r="CV11" s="45"/>
      <c r="CW11" s="45"/>
      <c r="CX11" s="46"/>
      <c r="CY11" s="45"/>
      <c r="CZ11" s="45"/>
      <c r="DA11" s="46"/>
      <c r="DB11" s="47"/>
      <c r="DC11" s="46"/>
      <c r="DD11" s="46"/>
      <c r="DE11" s="45"/>
      <c r="DF11" s="46"/>
      <c r="DG11" s="46"/>
      <c r="DH11" s="45"/>
      <c r="DI11" s="45"/>
      <c r="DJ11" s="45"/>
      <c r="DK11" s="45"/>
      <c r="DL11" s="45"/>
      <c r="DM11" s="45"/>
      <c r="DN11" s="45"/>
    </row>
    <row r="12" spans="1:121" ht="25.5" customHeight="1">
      <c r="A12" s="321">
        <v>4205</v>
      </c>
      <c r="B12" s="322" t="s">
        <v>11</v>
      </c>
      <c r="C12" s="322" t="s">
        <v>44</v>
      </c>
      <c r="D12" s="322" t="s">
        <v>76</v>
      </c>
      <c r="E12" s="323" t="s">
        <v>53</v>
      </c>
      <c r="F12" s="322"/>
      <c r="G12" s="323" t="s">
        <v>978</v>
      </c>
      <c r="H12" s="324" t="s">
        <v>54</v>
      </c>
      <c r="I12" s="325"/>
      <c r="J12" s="323"/>
      <c r="K12" s="326"/>
      <c r="L12" s="327" t="s">
        <v>78</v>
      </c>
      <c r="M12" s="322" t="s">
        <v>77</v>
      </c>
      <c r="N12" s="322"/>
      <c r="O12" s="322" t="s">
        <v>77</v>
      </c>
      <c r="P12" s="328" t="s">
        <v>77</v>
      </c>
      <c r="Q12" s="327"/>
      <c r="R12" s="322"/>
      <c r="S12" s="322"/>
      <c r="T12" s="322"/>
      <c r="U12" s="329" t="s">
        <v>80</v>
      </c>
      <c r="V12" s="321"/>
      <c r="W12" s="323"/>
      <c r="X12" s="323"/>
      <c r="Y12" s="323"/>
      <c r="Z12" s="326"/>
      <c r="AA12" s="330"/>
      <c r="AB12" s="323"/>
      <c r="AC12" s="323"/>
      <c r="AD12" s="323"/>
      <c r="AE12" s="324"/>
      <c r="AF12" s="325"/>
      <c r="AG12" s="323"/>
      <c r="AH12" s="323"/>
      <c r="AI12" s="323"/>
      <c r="AJ12" s="326"/>
      <c r="AK12" s="330"/>
      <c r="AL12" s="323"/>
      <c r="AM12" s="323"/>
      <c r="AN12" s="323"/>
      <c r="AO12" s="324"/>
      <c r="AP12" s="325"/>
      <c r="AQ12" s="323"/>
      <c r="AR12" s="323"/>
      <c r="AS12" s="323"/>
      <c r="AT12" s="326"/>
      <c r="AU12" s="330"/>
      <c r="AV12" s="323"/>
      <c r="AW12" s="323"/>
      <c r="AX12" s="323"/>
      <c r="AY12" s="324"/>
      <c r="AZ12" s="325"/>
      <c r="BA12" s="323"/>
      <c r="BB12" s="323"/>
      <c r="BC12" s="323"/>
      <c r="BD12" s="326"/>
      <c r="BE12" s="330"/>
      <c r="BF12" s="323"/>
      <c r="BG12" s="323"/>
      <c r="BH12" s="323"/>
      <c r="BI12" s="324"/>
      <c r="BJ12" s="325"/>
      <c r="BK12" s="323"/>
      <c r="BL12" s="323"/>
      <c r="BM12" s="323"/>
      <c r="BN12" s="326"/>
      <c r="BO12" s="330"/>
      <c r="BP12" s="323"/>
      <c r="BQ12" s="323"/>
      <c r="BR12" s="323"/>
      <c r="BS12" s="324"/>
      <c r="BT12" s="325"/>
      <c r="BU12" s="323"/>
      <c r="BV12" s="323"/>
      <c r="BW12" s="323"/>
      <c r="BX12" s="326"/>
      <c r="BY12" s="330"/>
      <c r="BZ12" s="323"/>
      <c r="CA12" s="323"/>
      <c r="CB12" s="323"/>
      <c r="CC12" s="324"/>
      <c r="CD12" s="325"/>
      <c r="CE12" s="323"/>
      <c r="CF12" s="323"/>
      <c r="CG12" s="323"/>
      <c r="CH12" s="324"/>
      <c r="CI12" s="325"/>
      <c r="CJ12" s="323"/>
      <c r="CK12" s="323"/>
      <c r="CL12" s="323"/>
      <c r="CM12" s="326"/>
      <c r="CN12" s="45"/>
      <c r="CO12" s="45"/>
      <c r="CP12" s="45"/>
      <c r="CQ12" s="45"/>
      <c r="CR12" s="45"/>
      <c r="CS12" s="45"/>
      <c r="CT12" s="45"/>
      <c r="CU12" s="45"/>
      <c r="CV12" s="45"/>
      <c r="CW12" s="45"/>
      <c r="CX12" s="46"/>
      <c r="CY12" s="45"/>
      <c r="CZ12" s="45"/>
      <c r="DA12" s="46"/>
      <c r="DB12" s="45"/>
      <c r="DC12" s="46"/>
      <c r="DD12" s="46"/>
      <c r="DE12" s="45"/>
      <c r="DF12" s="46"/>
      <c r="DG12" s="46"/>
      <c r="DH12" s="45"/>
      <c r="DI12" s="45"/>
      <c r="DJ12" s="45"/>
      <c r="DK12" s="45"/>
      <c r="DL12" s="45"/>
      <c r="DM12" s="45"/>
      <c r="DN12" s="45"/>
    </row>
    <row r="13" spans="1:121" ht="25.5" hidden="1" customHeight="1">
      <c r="A13" s="321">
        <v>4206</v>
      </c>
      <c r="B13" s="322" t="s">
        <v>11</v>
      </c>
      <c r="C13" s="322" t="s">
        <v>44</v>
      </c>
      <c r="D13" s="322" t="s">
        <v>76</v>
      </c>
      <c r="E13" s="323" t="s">
        <v>53</v>
      </c>
      <c r="F13" s="322"/>
      <c r="G13" s="323" t="s">
        <v>980</v>
      </c>
      <c r="H13" s="324" t="s">
        <v>54</v>
      </c>
      <c r="I13" s="325"/>
      <c r="J13" s="323"/>
      <c r="K13" s="326"/>
      <c r="L13" s="327" t="s">
        <v>78</v>
      </c>
      <c r="M13" s="322" t="s">
        <v>77</v>
      </c>
      <c r="N13" s="322"/>
      <c r="O13" s="322" t="s">
        <v>77</v>
      </c>
      <c r="P13" s="328" t="s">
        <v>77</v>
      </c>
      <c r="Q13" s="327"/>
      <c r="R13" s="322"/>
      <c r="S13" s="322"/>
      <c r="T13" s="322"/>
      <c r="U13" s="329" t="s">
        <v>80</v>
      </c>
      <c r="V13" s="321"/>
      <c r="W13" s="323"/>
      <c r="X13" s="323"/>
      <c r="Y13" s="323"/>
      <c r="Z13" s="326"/>
      <c r="AA13" s="330"/>
      <c r="AB13" s="323"/>
      <c r="AC13" s="323"/>
      <c r="AD13" s="323"/>
      <c r="AE13" s="324"/>
      <c r="AF13" s="325"/>
      <c r="AG13" s="323"/>
      <c r="AH13" s="323"/>
      <c r="AI13" s="323"/>
      <c r="AJ13" s="326"/>
      <c r="AK13" s="330"/>
      <c r="AL13" s="323"/>
      <c r="AM13" s="323"/>
      <c r="AN13" s="323"/>
      <c r="AO13" s="324"/>
      <c r="AP13" s="325"/>
      <c r="AQ13" s="323"/>
      <c r="AR13" s="323"/>
      <c r="AS13" s="323"/>
      <c r="AT13" s="326"/>
      <c r="AU13" s="330"/>
      <c r="AV13" s="323"/>
      <c r="AW13" s="323"/>
      <c r="AX13" s="323"/>
      <c r="AY13" s="324"/>
      <c r="AZ13" s="325"/>
      <c r="BA13" s="323"/>
      <c r="BB13" s="323"/>
      <c r="BC13" s="323"/>
      <c r="BD13" s="326"/>
      <c r="BE13" s="330"/>
      <c r="BF13" s="323"/>
      <c r="BG13" s="323"/>
      <c r="BH13" s="323"/>
      <c r="BI13" s="324"/>
      <c r="BJ13" s="325"/>
      <c r="BK13" s="323"/>
      <c r="BL13" s="323"/>
      <c r="BM13" s="323"/>
      <c r="BN13" s="326"/>
      <c r="BO13" s="330"/>
      <c r="BP13" s="323"/>
      <c r="BQ13" s="323"/>
      <c r="BR13" s="323"/>
      <c r="BS13" s="324"/>
      <c r="BT13" s="325"/>
      <c r="BU13" s="323"/>
      <c r="BV13" s="323"/>
      <c r="BW13" s="323"/>
      <c r="BX13" s="326"/>
      <c r="BY13" s="330"/>
      <c r="BZ13" s="323"/>
      <c r="CA13" s="323"/>
      <c r="CB13" s="323"/>
      <c r="CC13" s="324"/>
      <c r="CD13" s="325"/>
      <c r="CE13" s="323"/>
      <c r="CF13" s="323"/>
      <c r="CG13" s="323"/>
      <c r="CH13" s="324"/>
      <c r="CI13" s="325"/>
      <c r="CJ13" s="323"/>
      <c r="CK13" s="323"/>
      <c r="CL13" s="323"/>
      <c r="CM13" s="326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  <c r="DA13" s="45"/>
      <c r="DB13" s="45"/>
      <c r="DC13" s="45"/>
      <c r="DD13" s="45"/>
      <c r="DE13" s="45"/>
      <c r="DF13" s="45"/>
      <c r="DG13" s="46"/>
      <c r="DH13" s="45"/>
      <c r="DI13" s="45"/>
      <c r="DJ13" s="45"/>
      <c r="DK13" s="45"/>
      <c r="DL13" s="45"/>
      <c r="DM13" s="45"/>
      <c r="DN13" s="45"/>
    </row>
    <row r="14" spans="1:121" ht="25.5" hidden="1" customHeight="1" thickBot="1">
      <c r="A14" s="331">
        <v>4207</v>
      </c>
      <c r="B14" s="332" t="s">
        <v>11</v>
      </c>
      <c r="C14" s="332" t="s">
        <v>44</v>
      </c>
      <c r="D14" s="332" t="s">
        <v>76</v>
      </c>
      <c r="E14" s="333" t="s">
        <v>53</v>
      </c>
      <c r="F14" s="332"/>
      <c r="G14" s="333" t="s">
        <v>982</v>
      </c>
      <c r="H14" s="334" t="s">
        <v>54</v>
      </c>
      <c r="I14" s="335"/>
      <c r="J14" s="333"/>
      <c r="K14" s="336"/>
      <c r="L14" s="337" t="s">
        <v>78</v>
      </c>
      <c r="M14" s="332" t="s">
        <v>77</v>
      </c>
      <c r="N14" s="332"/>
      <c r="O14" s="332" t="s">
        <v>77</v>
      </c>
      <c r="P14" s="338" t="s">
        <v>77</v>
      </c>
      <c r="Q14" s="337"/>
      <c r="R14" s="332"/>
      <c r="S14" s="332"/>
      <c r="T14" s="332"/>
      <c r="U14" s="339" t="s">
        <v>80</v>
      </c>
      <c r="V14" s="331"/>
      <c r="W14" s="333"/>
      <c r="X14" s="333"/>
      <c r="Y14" s="333"/>
      <c r="Z14" s="336"/>
      <c r="AA14" s="340"/>
      <c r="AB14" s="333"/>
      <c r="AC14" s="333"/>
      <c r="AD14" s="333"/>
      <c r="AE14" s="334"/>
      <c r="AF14" s="335"/>
      <c r="AG14" s="333"/>
      <c r="AH14" s="333"/>
      <c r="AI14" s="333"/>
      <c r="AJ14" s="336"/>
      <c r="AK14" s="340"/>
      <c r="AL14" s="333"/>
      <c r="AM14" s="333"/>
      <c r="AN14" s="333"/>
      <c r="AO14" s="334"/>
      <c r="AP14" s="335"/>
      <c r="AQ14" s="333"/>
      <c r="AR14" s="333"/>
      <c r="AS14" s="333"/>
      <c r="AT14" s="336"/>
      <c r="AU14" s="340"/>
      <c r="AV14" s="333"/>
      <c r="AW14" s="333"/>
      <c r="AX14" s="333"/>
      <c r="AY14" s="334"/>
      <c r="AZ14" s="335"/>
      <c r="BA14" s="333"/>
      <c r="BB14" s="333"/>
      <c r="BC14" s="333"/>
      <c r="BD14" s="336"/>
      <c r="BE14" s="340"/>
      <c r="BF14" s="333"/>
      <c r="BG14" s="333"/>
      <c r="BH14" s="333"/>
      <c r="BI14" s="334"/>
      <c r="BJ14" s="335"/>
      <c r="BK14" s="333"/>
      <c r="BL14" s="333"/>
      <c r="BM14" s="333"/>
      <c r="BN14" s="336"/>
      <c r="BO14" s="340"/>
      <c r="BP14" s="333"/>
      <c r="BQ14" s="333"/>
      <c r="BR14" s="333"/>
      <c r="BS14" s="334"/>
      <c r="BT14" s="335"/>
      <c r="BU14" s="333"/>
      <c r="BV14" s="333"/>
      <c r="BW14" s="333"/>
      <c r="BX14" s="336"/>
      <c r="BY14" s="340"/>
      <c r="BZ14" s="333"/>
      <c r="CA14" s="333"/>
      <c r="CB14" s="333"/>
      <c r="CC14" s="334"/>
      <c r="CD14" s="335"/>
      <c r="CE14" s="333"/>
      <c r="CF14" s="333"/>
      <c r="CG14" s="333"/>
      <c r="CH14" s="334"/>
      <c r="CI14" s="335"/>
      <c r="CJ14" s="333"/>
      <c r="CK14" s="333"/>
      <c r="CL14" s="333"/>
      <c r="CM14" s="336"/>
      <c r="CN14" s="45"/>
      <c r="CO14" s="45"/>
      <c r="CP14" s="45"/>
      <c r="CQ14" s="45"/>
      <c r="CR14" s="45"/>
      <c r="CS14" s="45"/>
      <c r="CT14" s="45"/>
      <c r="CU14" s="45"/>
      <c r="CV14" s="45"/>
      <c r="CW14" s="45"/>
      <c r="CX14" s="45"/>
      <c r="CY14" s="45"/>
      <c r="CZ14" s="45"/>
      <c r="DA14" s="45"/>
      <c r="DB14" s="45"/>
      <c r="DC14" s="45"/>
      <c r="DD14" s="45"/>
      <c r="DE14" s="45"/>
      <c r="DF14" s="45"/>
      <c r="DG14" s="46"/>
      <c r="DH14" s="45"/>
      <c r="DI14" s="45"/>
      <c r="DJ14" s="45"/>
      <c r="DK14" s="45"/>
      <c r="DL14" s="45"/>
      <c r="DM14" s="45"/>
      <c r="DN14" s="45"/>
    </row>
    <row r="15" spans="1:121" ht="25.5" customHeight="1">
      <c r="A15" s="341">
        <v>4208</v>
      </c>
      <c r="B15" s="342" t="s">
        <v>11</v>
      </c>
      <c r="C15" s="342" t="s">
        <v>44</v>
      </c>
      <c r="D15" s="342" t="s">
        <v>76</v>
      </c>
      <c r="E15" s="343" t="s">
        <v>53</v>
      </c>
      <c r="F15" s="342"/>
      <c r="G15" s="343" t="s">
        <v>984</v>
      </c>
      <c r="H15" s="344" t="s">
        <v>54</v>
      </c>
      <c r="I15" s="345"/>
      <c r="J15" s="343"/>
      <c r="K15" s="346"/>
      <c r="L15" s="347" t="s">
        <v>78</v>
      </c>
      <c r="M15" s="342" t="s">
        <v>77</v>
      </c>
      <c r="N15" s="342"/>
      <c r="O15" s="342" t="s">
        <v>77</v>
      </c>
      <c r="P15" s="348" t="s">
        <v>77</v>
      </c>
      <c r="Q15" s="347"/>
      <c r="R15" s="342"/>
      <c r="S15" s="342"/>
      <c r="T15" s="342"/>
      <c r="U15" s="349" t="s">
        <v>80</v>
      </c>
      <c r="V15" s="341"/>
      <c r="W15" s="343"/>
      <c r="X15" s="343"/>
      <c r="Y15" s="343"/>
      <c r="Z15" s="346"/>
      <c r="AA15" s="350"/>
      <c r="AB15" s="343"/>
      <c r="AC15" s="343"/>
      <c r="AD15" s="343"/>
      <c r="AE15" s="344"/>
      <c r="AF15" s="345"/>
      <c r="AG15" s="343"/>
      <c r="AH15" s="343"/>
      <c r="AI15" s="343"/>
      <c r="AJ15" s="346"/>
      <c r="AK15" s="350"/>
      <c r="AL15" s="343"/>
      <c r="AM15" s="343"/>
      <c r="AN15" s="343"/>
      <c r="AO15" s="344"/>
      <c r="AP15" s="345"/>
      <c r="AQ15" s="343"/>
      <c r="AR15" s="343"/>
      <c r="AS15" s="343"/>
      <c r="AT15" s="346"/>
      <c r="AU15" s="350"/>
      <c r="AV15" s="343"/>
      <c r="AW15" s="343"/>
      <c r="AX15" s="343"/>
      <c r="AY15" s="344"/>
      <c r="AZ15" s="345"/>
      <c r="BA15" s="343"/>
      <c r="BB15" s="343"/>
      <c r="BC15" s="343"/>
      <c r="BD15" s="346"/>
      <c r="BE15" s="350"/>
      <c r="BF15" s="343"/>
      <c r="BG15" s="343"/>
      <c r="BH15" s="343"/>
      <c r="BI15" s="344"/>
      <c r="BJ15" s="345"/>
      <c r="BK15" s="343"/>
      <c r="BL15" s="343"/>
      <c r="BM15" s="343"/>
      <c r="BN15" s="346"/>
      <c r="BO15" s="350"/>
      <c r="BP15" s="343"/>
      <c r="BQ15" s="343"/>
      <c r="BR15" s="343"/>
      <c r="BS15" s="344"/>
      <c r="BT15" s="345"/>
      <c r="BU15" s="343"/>
      <c r="BV15" s="343"/>
      <c r="BW15" s="343"/>
      <c r="BX15" s="346"/>
      <c r="BY15" s="350"/>
      <c r="BZ15" s="343"/>
      <c r="CA15" s="343"/>
      <c r="CB15" s="343"/>
      <c r="CC15" s="344"/>
      <c r="CD15" s="345"/>
      <c r="CE15" s="343"/>
      <c r="CF15" s="343"/>
      <c r="CG15" s="343"/>
      <c r="CH15" s="344"/>
      <c r="CI15" s="345"/>
      <c r="CJ15" s="343"/>
      <c r="CK15" s="343"/>
      <c r="CL15" s="343"/>
      <c r="CM15" s="346"/>
      <c r="CN15" s="45"/>
      <c r="CO15" s="45"/>
      <c r="CP15" s="46"/>
      <c r="CQ15" s="45"/>
      <c r="CR15" s="45"/>
      <c r="CS15" s="45"/>
      <c r="CT15" s="45"/>
      <c r="CU15" s="45"/>
      <c r="CV15" s="45"/>
      <c r="CW15" s="45"/>
      <c r="CX15" s="46"/>
      <c r="CY15" s="45"/>
      <c r="CZ15" s="45"/>
      <c r="DA15" s="46"/>
      <c r="DB15" s="45"/>
      <c r="DC15" s="46"/>
      <c r="DD15" s="46"/>
      <c r="DE15" s="45"/>
      <c r="DF15" s="46"/>
      <c r="DG15" s="46"/>
      <c r="DH15" s="45"/>
      <c r="DI15" s="46"/>
      <c r="DJ15" s="46"/>
      <c r="DK15" s="45"/>
      <c r="DL15" s="46"/>
      <c r="DM15" s="45"/>
      <c r="DN15" s="45"/>
    </row>
    <row r="16" spans="1:121" ht="25.5" customHeight="1">
      <c r="A16" s="321">
        <v>4209</v>
      </c>
      <c r="B16" s="322" t="s">
        <v>11</v>
      </c>
      <c r="C16" s="322" t="s">
        <v>44</v>
      </c>
      <c r="D16" s="322" t="s">
        <v>76</v>
      </c>
      <c r="E16" s="323" t="s">
        <v>53</v>
      </c>
      <c r="F16" s="322"/>
      <c r="G16" s="323" t="s">
        <v>986</v>
      </c>
      <c r="H16" s="324" t="s">
        <v>54</v>
      </c>
      <c r="I16" s="325"/>
      <c r="J16" s="323"/>
      <c r="K16" s="326"/>
      <c r="L16" s="327" t="s">
        <v>78</v>
      </c>
      <c r="M16" s="322" t="s">
        <v>77</v>
      </c>
      <c r="N16" s="322"/>
      <c r="O16" s="322" t="s">
        <v>77</v>
      </c>
      <c r="P16" s="328" t="s">
        <v>77</v>
      </c>
      <c r="Q16" s="327"/>
      <c r="R16" s="322"/>
      <c r="S16" s="322"/>
      <c r="T16" s="322"/>
      <c r="U16" s="329" t="s">
        <v>80</v>
      </c>
      <c r="V16" s="321"/>
      <c r="W16" s="323"/>
      <c r="X16" s="323"/>
      <c r="Y16" s="323"/>
      <c r="Z16" s="326"/>
      <c r="AA16" s="330"/>
      <c r="AB16" s="323"/>
      <c r="AC16" s="323"/>
      <c r="AD16" s="323"/>
      <c r="AE16" s="324"/>
      <c r="AF16" s="325"/>
      <c r="AG16" s="323"/>
      <c r="AH16" s="323"/>
      <c r="AI16" s="323"/>
      <c r="AJ16" s="326"/>
      <c r="AK16" s="330"/>
      <c r="AL16" s="323"/>
      <c r="AM16" s="323"/>
      <c r="AN16" s="323"/>
      <c r="AO16" s="324"/>
      <c r="AP16" s="325"/>
      <c r="AQ16" s="323"/>
      <c r="AR16" s="323"/>
      <c r="AS16" s="323"/>
      <c r="AT16" s="326"/>
      <c r="AU16" s="330"/>
      <c r="AV16" s="323"/>
      <c r="AW16" s="323"/>
      <c r="AX16" s="323"/>
      <c r="AY16" s="324"/>
      <c r="AZ16" s="325"/>
      <c r="BA16" s="323"/>
      <c r="BB16" s="323"/>
      <c r="BC16" s="323"/>
      <c r="BD16" s="326"/>
      <c r="BE16" s="330"/>
      <c r="BF16" s="323"/>
      <c r="BG16" s="323"/>
      <c r="BH16" s="323"/>
      <c r="BI16" s="324"/>
      <c r="BJ16" s="325"/>
      <c r="BK16" s="323"/>
      <c r="BL16" s="323"/>
      <c r="BM16" s="323"/>
      <c r="BN16" s="326"/>
      <c r="BO16" s="330"/>
      <c r="BP16" s="323"/>
      <c r="BQ16" s="323"/>
      <c r="BR16" s="323"/>
      <c r="BS16" s="324"/>
      <c r="BT16" s="325"/>
      <c r="BU16" s="323"/>
      <c r="BV16" s="323"/>
      <c r="BW16" s="323"/>
      <c r="BX16" s="326"/>
      <c r="BY16" s="330"/>
      <c r="BZ16" s="323"/>
      <c r="CA16" s="323"/>
      <c r="CB16" s="323"/>
      <c r="CC16" s="324"/>
      <c r="CD16" s="325"/>
      <c r="CE16" s="323"/>
      <c r="CF16" s="323"/>
      <c r="CG16" s="323"/>
      <c r="CH16" s="324"/>
      <c r="CI16" s="325"/>
      <c r="CJ16" s="323"/>
      <c r="CK16" s="323"/>
      <c r="CL16" s="323"/>
      <c r="CM16" s="326"/>
      <c r="CN16" s="45"/>
      <c r="CO16" s="45"/>
      <c r="CP16" s="45"/>
      <c r="CQ16" s="45"/>
      <c r="CR16" s="45"/>
      <c r="CS16" s="45"/>
      <c r="CT16" s="45"/>
      <c r="CU16" s="45"/>
      <c r="CV16" s="45"/>
      <c r="CW16" s="45"/>
      <c r="CX16" s="45"/>
      <c r="CY16" s="45"/>
      <c r="CZ16" s="45"/>
      <c r="DA16" s="45"/>
      <c r="DB16" s="45"/>
      <c r="DC16" s="45"/>
      <c r="DD16" s="45"/>
      <c r="DE16" s="45"/>
      <c r="DF16" s="45"/>
      <c r="DG16" s="45"/>
      <c r="DH16" s="45"/>
      <c r="DI16" s="45"/>
      <c r="DJ16" s="45"/>
      <c r="DK16" s="45"/>
      <c r="DL16" s="45"/>
      <c r="DM16" s="45"/>
      <c r="DN16" s="45"/>
    </row>
    <row r="17" spans="1:118" ht="25.5" customHeight="1">
      <c r="A17" s="321">
        <v>4210</v>
      </c>
      <c r="B17" s="322" t="s">
        <v>11</v>
      </c>
      <c r="C17" s="322" t="s">
        <v>44</v>
      </c>
      <c r="D17" s="322" t="s">
        <v>76</v>
      </c>
      <c r="E17" s="323" t="s">
        <v>53</v>
      </c>
      <c r="F17" s="322"/>
      <c r="G17" s="323" t="s">
        <v>988</v>
      </c>
      <c r="H17" s="324" t="s">
        <v>54</v>
      </c>
      <c r="I17" s="325"/>
      <c r="J17" s="323"/>
      <c r="K17" s="326"/>
      <c r="L17" s="327" t="s">
        <v>78</v>
      </c>
      <c r="M17" s="322" t="s">
        <v>77</v>
      </c>
      <c r="N17" s="322"/>
      <c r="O17" s="322" t="s">
        <v>77</v>
      </c>
      <c r="P17" s="328" t="s">
        <v>77</v>
      </c>
      <c r="Q17" s="327"/>
      <c r="R17" s="322"/>
      <c r="S17" s="322"/>
      <c r="T17" s="322"/>
      <c r="U17" s="329" t="s">
        <v>80</v>
      </c>
      <c r="V17" s="321"/>
      <c r="W17" s="323"/>
      <c r="X17" s="323"/>
      <c r="Y17" s="323"/>
      <c r="Z17" s="326"/>
      <c r="AA17" s="330"/>
      <c r="AB17" s="323"/>
      <c r="AC17" s="323"/>
      <c r="AD17" s="323"/>
      <c r="AE17" s="324"/>
      <c r="AF17" s="325"/>
      <c r="AG17" s="323"/>
      <c r="AH17" s="323"/>
      <c r="AI17" s="323"/>
      <c r="AJ17" s="326"/>
      <c r="AK17" s="330"/>
      <c r="AL17" s="323"/>
      <c r="AM17" s="323"/>
      <c r="AN17" s="323"/>
      <c r="AO17" s="324"/>
      <c r="AP17" s="325"/>
      <c r="AQ17" s="323"/>
      <c r="AR17" s="323"/>
      <c r="AS17" s="323"/>
      <c r="AT17" s="326"/>
      <c r="AU17" s="330"/>
      <c r="AV17" s="323"/>
      <c r="AW17" s="323"/>
      <c r="AX17" s="323"/>
      <c r="AY17" s="324"/>
      <c r="AZ17" s="325"/>
      <c r="BA17" s="323"/>
      <c r="BB17" s="323"/>
      <c r="BC17" s="323"/>
      <c r="BD17" s="326"/>
      <c r="BE17" s="330"/>
      <c r="BF17" s="323"/>
      <c r="BG17" s="323"/>
      <c r="BH17" s="323"/>
      <c r="BI17" s="324"/>
      <c r="BJ17" s="325"/>
      <c r="BK17" s="323"/>
      <c r="BL17" s="323"/>
      <c r="BM17" s="323"/>
      <c r="BN17" s="326"/>
      <c r="BO17" s="330"/>
      <c r="BP17" s="323"/>
      <c r="BQ17" s="323"/>
      <c r="BR17" s="323"/>
      <c r="BS17" s="324"/>
      <c r="BT17" s="325"/>
      <c r="BU17" s="323"/>
      <c r="BV17" s="323"/>
      <c r="BW17" s="323"/>
      <c r="BX17" s="326"/>
      <c r="BY17" s="330"/>
      <c r="BZ17" s="323"/>
      <c r="CA17" s="323"/>
      <c r="CB17" s="323"/>
      <c r="CC17" s="324"/>
      <c r="CD17" s="325"/>
      <c r="CE17" s="323"/>
      <c r="CF17" s="323"/>
      <c r="CG17" s="323"/>
      <c r="CH17" s="324"/>
      <c r="CI17" s="325"/>
      <c r="CJ17" s="323"/>
      <c r="CK17" s="323"/>
      <c r="CL17" s="323"/>
      <c r="CM17" s="326"/>
      <c r="CN17" s="45"/>
      <c r="CO17" s="45"/>
      <c r="CP17" s="45"/>
      <c r="CQ17" s="45"/>
      <c r="CR17" s="45"/>
      <c r="CS17" s="45"/>
      <c r="CT17" s="45"/>
      <c r="CU17" s="45"/>
      <c r="CV17" s="45"/>
      <c r="CW17" s="45"/>
      <c r="CX17" s="45"/>
      <c r="CY17" s="45"/>
      <c r="CZ17" s="45"/>
      <c r="DA17" s="45"/>
      <c r="DB17" s="45"/>
      <c r="DC17" s="45"/>
      <c r="DD17" s="45"/>
      <c r="DE17" s="45"/>
      <c r="DF17" s="45"/>
      <c r="DG17" s="45"/>
      <c r="DH17" s="45"/>
      <c r="DI17" s="45"/>
      <c r="DJ17" s="45"/>
      <c r="DK17" s="45"/>
      <c r="DL17" s="45"/>
      <c r="DM17" s="45"/>
      <c r="DN17" s="45"/>
    </row>
    <row r="18" spans="1:118" ht="25.5" customHeight="1">
      <c r="A18" s="321">
        <v>4211</v>
      </c>
      <c r="B18" s="322" t="s">
        <v>11</v>
      </c>
      <c r="C18" s="322" t="s">
        <v>44</v>
      </c>
      <c r="D18" s="322" t="s">
        <v>76</v>
      </c>
      <c r="E18" s="323" t="s">
        <v>53</v>
      </c>
      <c r="F18" s="322"/>
      <c r="G18" s="323" t="s">
        <v>990</v>
      </c>
      <c r="H18" s="324" t="s">
        <v>54</v>
      </c>
      <c r="I18" s="325"/>
      <c r="J18" s="323"/>
      <c r="K18" s="326"/>
      <c r="L18" s="327" t="s">
        <v>78</v>
      </c>
      <c r="M18" s="322" t="s">
        <v>77</v>
      </c>
      <c r="N18" s="322"/>
      <c r="O18" s="322" t="s">
        <v>77</v>
      </c>
      <c r="P18" s="328" t="s">
        <v>77</v>
      </c>
      <c r="Q18" s="327"/>
      <c r="R18" s="322"/>
      <c r="S18" s="322"/>
      <c r="T18" s="322"/>
      <c r="U18" s="329" t="s">
        <v>80</v>
      </c>
      <c r="V18" s="321"/>
      <c r="W18" s="323"/>
      <c r="X18" s="323"/>
      <c r="Y18" s="323"/>
      <c r="Z18" s="326"/>
      <c r="AA18" s="330"/>
      <c r="AB18" s="323"/>
      <c r="AC18" s="323"/>
      <c r="AD18" s="323"/>
      <c r="AE18" s="324"/>
      <c r="AF18" s="325"/>
      <c r="AG18" s="323"/>
      <c r="AH18" s="323"/>
      <c r="AI18" s="323"/>
      <c r="AJ18" s="326"/>
      <c r="AK18" s="330"/>
      <c r="AL18" s="323"/>
      <c r="AM18" s="323"/>
      <c r="AN18" s="323"/>
      <c r="AO18" s="324"/>
      <c r="AP18" s="325"/>
      <c r="AQ18" s="323"/>
      <c r="AR18" s="323"/>
      <c r="AS18" s="323"/>
      <c r="AT18" s="326"/>
      <c r="AU18" s="330"/>
      <c r="AV18" s="323"/>
      <c r="AW18" s="323"/>
      <c r="AX18" s="323"/>
      <c r="AY18" s="324"/>
      <c r="AZ18" s="325"/>
      <c r="BA18" s="323"/>
      <c r="BB18" s="323"/>
      <c r="BC18" s="323"/>
      <c r="BD18" s="326"/>
      <c r="BE18" s="330"/>
      <c r="BF18" s="323"/>
      <c r="BG18" s="323"/>
      <c r="BH18" s="323"/>
      <c r="BI18" s="324"/>
      <c r="BJ18" s="325"/>
      <c r="BK18" s="323"/>
      <c r="BL18" s="323"/>
      <c r="BM18" s="323"/>
      <c r="BN18" s="326"/>
      <c r="BO18" s="330"/>
      <c r="BP18" s="323"/>
      <c r="BQ18" s="323"/>
      <c r="BR18" s="323"/>
      <c r="BS18" s="324"/>
      <c r="BT18" s="325"/>
      <c r="BU18" s="323"/>
      <c r="BV18" s="323"/>
      <c r="BW18" s="323"/>
      <c r="BX18" s="326"/>
      <c r="BY18" s="330"/>
      <c r="BZ18" s="323"/>
      <c r="CA18" s="323"/>
      <c r="CB18" s="323"/>
      <c r="CC18" s="324"/>
      <c r="CD18" s="325"/>
      <c r="CE18" s="323"/>
      <c r="CF18" s="323"/>
      <c r="CG18" s="323"/>
      <c r="CH18" s="324"/>
      <c r="CI18" s="325"/>
      <c r="CJ18" s="323"/>
      <c r="CK18" s="323"/>
      <c r="CL18" s="323"/>
      <c r="CM18" s="326"/>
      <c r="CN18" s="45"/>
      <c r="CO18" s="45"/>
      <c r="CP18" s="45"/>
      <c r="CQ18" s="45"/>
      <c r="CR18" s="45"/>
      <c r="CS18" s="45"/>
      <c r="CT18" s="45"/>
      <c r="CU18" s="45"/>
      <c r="CV18" s="45"/>
      <c r="CW18" s="45"/>
      <c r="CX18" s="45"/>
      <c r="CY18" s="45"/>
      <c r="CZ18" s="45"/>
      <c r="DA18" s="45"/>
      <c r="DB18" s="45"/>
      <c r="DC18" s="45"/>
      <c r="DD18" s="45"/>
      <c r="DE18" s="45"/>
      <c r="DF18" s="45"/>
      <c r="DG18" s="45"/>
      <c r="DH18" s="45"/>
      <c r="DI18" s="45"/>
      <c r="DJ18" s="45"/>
      <c r="DK18" s="45"/>
      <c r="DL18" s="45"/>
      <c r="DM18" s="45"/>
      <c r="DN18" s="45"/>
    </row>
    <row r="19" spans="1:118" ht="25.5" customHeight="1" thickBot="1">
      <c r="A19" s="351">
        <v>4212</v>
      </c>
      <c r="B19" s="352" t="s">
        <v>11</v>
      </c>
      <c r="C19" s="352" t="s">
        <v>44</v>
      </c>
      <c r="D19" s="352" t="s">
        <v>76</v>
      </c>
      <c r="E19" s="353" t="s">
        <v>53</v>
      </c>
      <c r="F19" s="352"/>
      <c r="G19" s="353" t="s">
        <v>992</v>
      </c>
      <c r="H19" s="354" t="s">
        <v>54</v>
      </c>
      <c r="I19" s="355"/>
      <c r="J19" s="353"/>
      <c r="K19" s="356"/>
      <c r="L19" s="357" t="s">
        <v>78</v>
      </c>
      <c r="M19" s="352" t="s">
        <v>77</v>
      </c>
      <c r="N19" s="352"/>
      <c r="O19" s="352" t="s">
        <v>77</v>
      </c>
      <c r="P19" s="358" t="s">
        <v>77</v>
      </c>
      <c r="Q19" s="357"/>
      <c r="R19" s="352"/>
      <c r="S19" s="352"/>
      <c r="T19" s="352"/>
      <c r="U19" s="359" t="s">
        <v>80</v>
      </c>
      <c r="V19" s="351"/>
      <c r="W19" s="353"/>
      <c r="X19" s="353"/>
      <c r="Y19" s="353"/>
      <c r="Z19" s="356"/>
      <c r="AA19" s="360"/>
      <c r="AB19" s="353"/>
      <c r="AC19" s="353"/>
      <c r="AD19" s="353"/>
      <c r="AE19" s="354"/>
      <c r="AF19" s="355"/>
      <c r="AG19" s="353"/>
      <c r="AH19" s="353"/>
      <c r="AI19" s="353"/>
      <c r="AJ19" s="356"/>
      <c r="AK19" s="360"/>
      <c r="AL19" s="353"/>
      <c r="AM19" s="353"/>
      <c r="AN19" s="353"/>
      <c r="AO19" s="354"/>
      <c r="AP19" s="355"/>
      <c r="AQ19" s="353"/>
      <c r="AR19" s="353"/>
      <c r="AS19" s="353"/>
      <c r="AT19" s="356"/>
      <c r="AU19" s="360"/>
      <c r="AV19" s="353"/>
      <c r="AW19" s="353"/>
      <c r="AX19" s="353"/>
      <c r="AY19" s="354"/>
      <c r="AZ19" s="355"/>
      <c r="BA19" s="353"/>
      <c r="BB19" s="353"/>
      <c r="BC19" s="353"/>
      <c r="BD19" s="356"/>
      <c r="BE19" s="360"/>
      <c r="BF19" s="353"/>
      <c r="BG19" s="353"/>
      <c r="BH19" s="353"/>
      <c r="BI19" s="354"/>
      <c r="BJ19" s="355"/>
      <c r="BK19" s="353"/>
      <c r="BL19" s="353"/>
      <c r="BM19" s="353"/>
      <c r="BN19" s="356"/>
      <c r="BO19" s="360"/>
      <c r="BP19" s="353"/>
      <c r="BQ19" s="353"/>
      <c r="BR19" s="353"/>
      <c r="BS19" s="354"/>
      <c r="BT19" s="355"/>
      <c r="BU19" s="353"/>
      <c r="BV19" s="353"/>
      <c r="BW19" s="353"/>
      <c r="BX19" s="356"/>
      <c r="BY19" s="360"/>
      <c r="BZ19" s="353"/>
      <c r="CA19" s="353"/>
      <c r="CB19" s="353"/>
      <c r="CC19" s="354"/>
      <c r="CD19" s="355"/>
      <c r="CE19" s="353"/>
      <c r="CF19" s="353"/>
      <c r="CG19" s="353"/>
      <c r="CH19" s="354"/>
      <c r="CI19" s="355"/>
      <c r="CJ19" s="353"/>
      <c r="CK19" s="353"/>
      <c r="CL19" s="353"/>
      <c r="CM19" s="356"/>
      <c r="CN19" s="45"/>
      <c r="CO19" s="45"/>
      <c r="CP19" s="45"/>
      <c r="CQ19" s="45"/>
      <c r="CR19" s="45"/>
      <c r="CS19" s="45"/>
      <c r="CT19" s="45"/>
      <c r="CU19" s="45"/>
      <c r="CV19" s="45"/>
      <c r="CW19" s="45"/>
      <c r="CX19" s="45"/>
      <c r="CY19" s="45"/>
      <c r="CZ19" s="45"/>
      <c r="DA19" s="45"/>
      <c r="DB19" s="45"/>
      <c r="DC19" s="45"/>
      <c r="DD19" s="45"/>
      <c r="DE19" s="45"/>
      <c r="DF19" s="45"/>
      <c r="DG19" s="45"/>
      <c r="DH19" s="45"/>
      <c r="DI19" s="45"/>
      <c r="DJ19" s="45"/>
      <c r="DK19" s="45"/>
      <c r="DL19" s="45"/>
      <c r="DM19" s="45"/>
      <c r="DN19" s="45"/>
    </row>
    <row r="20" spans="1:118" ht="25.5" customHeight="1">
      <c r="A20" s="361">
        <v>4213</v>
      </c>
      <c r="B20" s="362" t="s">
        <v>11</v>
      </c>
      <c r="C20" s="362" t="s">
        <v>44</v>
      </c>
      <c r="D20" s="362" t="s">
        <v>76</v>
      </c>
      <c r="E20" s="363" t="s">
        <v>53</v>
      </c>
      <c r="F20" s="362"/>
      <c r="G20" s="363" t="s">
        <v>994</v>
      </c>
      <c r="H20" s="364" t="s">
        <v>54</v>
      </c>
      <c r="I20" s="365"/>
      <c r="J20" s="363"/>
      <c r="K20" s="366"/>
      <c r="L20" s="367" t="s">
        <v>78</v>
      </c>
      <c r="M20" s="362" t="s">
        <v>77</v>
      </c>
      <c r="N20" s="362"/>
      <c r="O20" s="362" t="s">
        <v>77</v>
      </c>
      <c r="P20" s="368" t="s">
        <v>77</v>
      </c>
      <c r="Q20" s="367"/>
      <c r="R20" s="362"/>
      <c r="S20" s="362"/>
      <c r="T20" s="362"/>
      <c r="U20" s="369" t="s">
        <v>80</v>
      </c>
      <c r="V20" s="361"/>
      <c r="W20" s="363"/>
      <c r="X20" s="363"/>
      <c r="Y20" s="363"/>
      <c r="Z20" s="366"/>
      <c r="AA20" s="370"/>
      <c r="AB20" s="363"/>
      <c r="AC20" s="363"/>
      <c r="AD20" s="363"/>
      <c r="AE20" s="364"/>
      <c r="AF20" s="365"/>
      <c r="AG20" s="363"/>
      <c r="AH20" s="363"/>
      <c r="AI20" s="363"/>
      <c r="AJ20" s="366"/>
      <c r="AK20" s="370"/>
      <c r="AL20" s="363"/>
      <c r="AM20" s="363"/>
      <c r="AN20" s="363"/>
      <c r="AO20" s="364"/>
      <c r="AP20" s="365"/>
      <c r="AQ20" s="363"/>
      <c r="AR20" s="363"/>
      <c r="AS20" s="363"/>
      <c r="AT20" s="366"/>
      <c r="AU20" s="370"/>
      <c r="AV20" s="363"/>
      <c r="AW20" s="363"/>
      <c r="AX20" s="363"/>
      <c r="AY20" s="364"/>
      <c r="AZ20" s="365"/>
      <c r="BA20" s="363"/>
      <c r="BB20" s="363"/>
      <c r="BC20" s="363"/>
      <c r="BD20" s="366"/>
      <c r="BE20" s="370"/>
      <c r="BF20" s="363"/>
      <c r="BG20" s="363"/>
      <c r="BH20" s="363"/>
      <c r="BI20" s="364"/>
      <c r="BJ20" s="365"/>
      <c r="BK20" s="363"/>
      <c r="BL20" s="363"/>
      <c r="BM20" s="363"/>
      <c r="BN20" s="366"/>
      <c r="BO20" s="370"/>
      <c r="BP20" s="363"/>
      <c r="BQ20" s="363"/>
      <c r="BR20" s="363"/>
      <c r="BS20" s="364"/>
      <c r="BT20" s="365"/>
      <c r="BU20" s="363"/>
      <c r="BV20" s="363"/>
      <c r="BW20" s="363"/>
      <c r="BX20" s="366"/>
      <c r="BY20" s="370"/>
      <c r="BZ20" s="363"/>
      <c r="CA20" s="363"/>
      <c r="CB20" s="363"/>
      <c r="CC20" s="364"/>
      <c r="CD20" s="365"/>
      <c r="CE20" s="363"/>
      <c r="CF20" s="363"/>
      <c r="CG20" s="363"/>
      <c r="CH20" s="364"/>
      <c r="CI20" s="365"/>
      <c r="CJ20" s="363"/>
      <c r="CK20" s="363"/>
      <c r="CL20" s="363"/>
      <c r="CM20" s="366"/>
      <c r="CN20" s="45"/>
      <c r="CO20" s="45"/>
      <c r="CP20" s="45"/>
      <c r="CQ20" s="45"/>
      <c r="CR20" s="45"/>
      <c r="CS20" s="45"/>
      <c r="CT20" s="45"/>
      <c r="CU20" s="45"/>
      <c r="CV20" s="45"/>
      <c r="CW20" s="45"/>
      <c r="CX20" s="46"/>
      <c r="CY20" s="45"/>
      <c r="CZ20" s="45"/>
      <c r="DA20" s="46"/>
      <c r="DB20" s="45"/>
      <c r="DC20" s="45"/>
      <c r="DD20" s="45"/>
      <c r="DE20" s="45"/>
      <c r="DF20" s="46"/>
      <c r="DG20" s="45"/>
      <c r="DH20" s="45"/>
      <c r="DI20" s="45"/>
      <c r="DJ20" s="45"/>
      <c r="DK20" s="45"/>
      <c r="DL20" s="45"/>
      <c r="DM20" s="45"/>
      <c r="DN20" s="45"/>
    </row>
    <row r="21" spans="1:118" ht="25.5" customHeight="1">
      <c r="A21" s="321">
        <v>4214</v>
      </c>
      <c r="B21" s="322" t="s">
        <v>11</v>
      </c>
      <c r="C21" s="322" t="s">
        <v>44</v>
      </c>
      <c r="D21" s="322" t="s">
        <v>76</v>
      </c>
      <c r="E21" s="323" t="s">
        <v>53</v>
      </c>
      <c r="F21" s="322"/>
      <c r="G21" s="323" t="s">
        <v>996</v>
      </c>
      <c r="H21" s="324" t="s">
        <v>54</v>
      </c>
      <c r="I21" s="325"/>
      <c r="J21" s="323"/>
      <c r="K21" s="326"/>
      <c r="L21" s="327" t="s">
        <v>78</v>
      </c>
      <c r="M21" s="322" t="s">
        <v>77</v>
      </c>
      <c r="N21" s="322"/>
      <c r="O21" s="322" t="s">
        <v>77</v>
      </c>
      <c r="P21" s="328" t="s">
        <v>77</v>
      </c>
      <c r="Q21" s="327"/>
      <c r="R21" s="322"/>
      <c r="S21" s="322"/>
      <c r="T21" s="322"/>
      <c r="U21" s="329" t="s">
        <v>80</v>
      </c>
      <c r="V21" s="321"/>
      <c r="W21" s="323"/>
      <c r="X21" s="323"/>
      <c r="Y21" s="323"/>
      <c r="Z21" s="326"/>
      <c r="AA21" s="330"/>
      <c r="AB21" s="323"/>
      <c r="AC21" s="323"/>
      <c r="AD21" s="323"/>
      <c r="AE21" s="324"/>
      <c r="AF21" s="325"/>
      <c r="AG21" s="323"/>
      <c r="AH21" s="323"/>
      <c r="AI21" s="323"/>
      <c r="AJ21" s="326"/>
      <c r="AK21" s="330"/>
      <c r="AL21" s="323"/>
      <c r="AM21" s="323"/>
      <c r="AN21" s="323"/>
      <c r="AO21" s="324"/>
      <c r="AP21" s="325"/>
      <c r="AQ21" s="323"/>
      <c r="AR21" s="323"/>
      <c r="AS21" s="323"/>
      <c r="AT21" s="326"/>
      <c r="AU21" s="330"/>
      <c r="AV21" s="323"/>
      <c r="AW21" s="323"/>
      <c r="AX21" s="323"/>
      <c r="AY21" s="324"/>
      <c r="AZ21" s="325"/>
      <c r="BA21" s="323"/>
      <c r="BB21" s="323"/>
      <c r="BC21" s="323"/>
      <c r="BD21" s="326"/>
      <c r="BE21" s="330"/>
      <c r="BF21" s="323"/>
      <c r="BG21" s="323"/>
      <c r="BH21" s="323"/>
      <c r="BI21" s="324"/>
      <c r="BJ21" s="325"/>
      <c r="BK21" s="323"/>
      <c r="BL21" s="323"/>
      <c r="BM21" s="323"/>
      <c r="BN21" s="326"/>
      <c r="BO21" s="330"/>
      <c r="BP21" s="323"/>
      <c r="BQ21" s="323"/>
      <c r="BR21" s="323"/>
      <c r="BS21" s="324"/>
      <c r="BT21" s="325"/>
      <c r="BU21" s="323"/>
      <c r="BV21" s="323"/>
      <c r="BW21" s="323"/>
      <c r="BX21" s="326"/>
      <c r="BY21" s="330"/>
      <c r="BZ21" s="323"/>
      <c r="CA21" s="323"/>
      <c r="CB21" s="323"/>
      <c r="CC21" s="324"/>
      <c r="CD21" s="325"/>
      <c r="CE21" s="323"/>
      <c r="CF21" s="323"/>
      <c r="CG21" s="323"/>
      <c r="CH21" s="324"/>
      <c r="CI21" s="325"/>
      <c r="CJ21" s="323"/>
      <c r="CK21" s="323"/>
      <c r="CL21" s="323"/>
      <c r="CM21" s="326"/>
    </row>
    <row r="22" spans="1:118" ht="25.5" customHeight="1">
      <c r="A22" s="321">
        <v>4215</v>
      </c>
      <c r="B22" s="322" t="s">
        <v>11</v>
      </c>
      <c r="C22" s="322" t="s">
        <v>44</v>
      </c>
      <c r="D22" s="322" t="s">
        <v>76</v>
      </c>
      <c r="E22" s="323" t="s">
        <v>53</v>
      </c>
      <c r="F22" s="322"/>
      <c r="G22" s="323" t="s">
        <v>998</v>
      </c>
      <c r="H22" s="371" t="s">
        <v>54</v>
      </c>
      <c r="I22" s="325"/>
      <c r="J22" s="323"/>
      <c r="K22" s="326"/>
      <c r="L22" s="327" t="s">
        <v>78</v>
      </c>
      <c r="M22" s="322" t="s">
        <v>77</v>
      </c>
      <c r="N22" s="322"/>
      <c r="O22" s="322" t="s">
        <v>77</v>
      </c>
      <c r="P22" s="328" t="s">
        <v>77</v>
      </c>
      <c r="Q22" s="327"/>
      <c r="R22" s="322"/>
      <c r="S22" s="322"/>
      <c r="T22" s="322"/>
      <c r="U22" s="329" t="s">
        <v>80</v>
      </c>
      <c r="V22" s="321"/>
      <c r="W22" s="372"/>
      <c r="X22" s="372"/>
      <c r="Y22" s="372"/>
      <c r="Z22" s="373"/>
      <c r="AA22" s="374"/>
      <c r="AB22" s="372"/>
      <c r="AC22" s="372"/>
      <c r="AD22" s="372"/>
      <c r="AE22" s="371"/>
      <c r="AF22" s="375"/>
      <c r="AG22" s="372"/>
      <c r="AH22" s="372"/>
      <c r="AI22" s="372"/>
      <c r="AJ22" s="373"/>
      <c r="AK22" s="374"/>
      <c r="AL22" s="372"/>
      <c r="AM22" s="372"/>
      <c r="AN22" s="372"/>
      <c r="AO22" s="371"/>
      <c r="AP22" s="375"/>
      <c r="AQ22" s="372"/>
      <c r="AR22" s="372"/>
      <c r="AS22" s="372"/>
      <c r="AT22" s="373"/>
      <c r="AU22" s="374"/>
      <c r="AV22" s="372"/>
      <c r="AW22" s="372"/>
      <c r="AX22" s="372"/>
      <c r="AY22" s="371"/>
      <c r="AZ22" s="375"/>
      <c r="BA22" s="372"/>
      <c r="BB22" s="372"/>
      <c r="BC22" s="372"/>
      <c r="BD22" s="373"/>
      <c r="BE22" s="374"/>
      <c r="BF22" s="372"/>
      <c r="BG22" s="372"/>
      <c r="BH22" s="372"/>
      <c r="BI22" s="371"/>
      <c r="BJ22" s="375"/>
      <c r="BK22" s="372"/>
      <c r="BL22" s="372"/>
      <c r="BM22" s="372"/>
      <c r="BN22" s="373"/>
      <c r="BO22" s="374"/>
      <c r="BP22" s="372"/>
      <c r="BQ22" s="372"/>
      <c r="BR22" s="372"/>
      <c r="BS22" s="371"/>
      <c r="BT22" s="375"/>
      <c r="BU22" s="372"/>
      <c r="BV22" s="372"/>
      <c r="BW22" s="372"/>
      <c r="BX22" s="373"/>
      <c r="BY22" s="374"/>
      <c r="BZ22" s="372"/>
      <c r="CA22" s="372"/>
      <c r="CB22" s="372"/>
      <c r="CC22" s="371"/>
      <c r="CD22" s="375"/>
      <c r="CE22" s="372"/>
      <c r="CF22" s="372"/>
      <c r="CG22" s="372"/>
      <c r="CH22" s="371"/>
      <c r="CI22" s="375"/>
      <c r="CJ22" s="372"/>
      <c r="CK22" s="372"/>
      <c r="CL22" s="372"/>
      <c r="CM22" s="373"/>
    </row>
    <row r="23" spans="1:118" ht="25.5" customHeight="1">
      <c r="A23" s="321">
        <v>4216</v>
      </c>
      <c r="B23" s="322" t="s">
        <v>11</v>
      </c>
      <c r="C23" s="322" t="s">
        <v>44</v>
      </c>
      <c r="D23" s="322" t="s">
        <v>76</v>
      </c>
      <c r="E23" s="323" t="s">
        <v>53</v>
      </c>
      <c r="F23" s="322"/>
      <c r="G23" s="323" t="s">
        <v>1000</v>
      </c>
      <c r="H23" s="371" t="s">
        <v>54</v>
      </c>
      <c r="I23" s="325"/>
      <c r="J23" s="323"/>
      <c r="K23" s="326"/>
      <c r="L23" s="327" t="s">
        <v>78</v>
      </c>
      <c r="M23" s="322" t="s">
        <v>77</v>
      </c>
      <c r="N23" s="322"/>
      <c r="O23" s="322" t="s">
        <v>77</v>
      </c>
      <c r="P23" s="328" t="s">
        <v>77</v>
      </c>
      <c r="Q23" s="327"/>
      <c r="R23" s="322"/>
      <c r="S23" s="322"/>
      <c r="T23" s="322"/>
      <c r="U23" s="329" t="s">
        <v>80</v>
      </c>
      <c r="V23" s="321"/>
      <c r="W23" s="372"/>
      <c r="X23" s="372"/>
      <c r="Y23" s="372"/>
      <c r="Z23" s="373"/>
      <c r="AA23" s="374"/>
      <c r="AB23" s="372"/>
      <c r="AC23" s="372"/>
      <c r="AD23" s="372"/>
      <c r="AE23" s="371"/>
      <c r="AF23" s="375"/>
      <c r="AG23" s="372"/>
      <c r="AH23" s="372"/>
      <c r="AI23" s="372"/>
      <c r="AJ23" s="373"/>
      <c r="AK23" s="374"/>
      <c r="AL23" s="372"/>
      <c r="AM23" s="372"/>
      <c r="AN23" s="372"/>
      <c r="AO23" s="371"/>
      <c r="AP23" s="375"/>
      <c r="AQ23" s="372"/>
      <c r="AR23" s="372"/>
      <c r="AS23" s="372"/>
      <c r="AT23" s="373"/>
      <c r="AU23" s="374"/>
      <c r="AV23" s="372"/>
      <c r="AW23" s="372"/>
      <c r="AX23" s="372"/>
      <c r="AY23" s="371"/>
      <c r="AZ23" s="375"/>
      <c r="BA23" s="372"/>
      <c r="BB23" s="372"/>
      <c r="BC23" s="372"/>
      <c r="BD23" s="373"/>
      <c r="BE23" s="374"/>
      <c r="BF23" s="372"/>
      <c r="BG23" s="372"/>
      <c r="BH23" s="372"/>
      <c r="BI23" s="371"/>
      <c r="BJ23" s="375"/>
      <c r="BK23" s="372"/>
      <c r="BL23" s="372"/>
      <c r="BM23" s="372"/>
      <c r="BN23" s="373"/>
      <c r="BO23" s="374"/>
      <c r="BP23" s="372"/>
      <c r="BQ23" s="372"/>
      <c r="BR23" s="372"/>
      <c r="BS23" s="371"/>
      <c r="BT23" s="375"/>
      <c r="BU23" s="372"/>
      <c r="BV23" s="372"/>
      <c r="BW23" s="372"/>
      <c r="BX23" s="373"/>
      <c r="BY23" s="374"/>
      <c r="BZ23" s="372"/>
      <c r="CA23" s="372"/>
      <c r="CB23" s="372"/>
      <c r="CC23" s="371"/>
      <c r="CD23" s="375"/>
      <c r="CE23" s="372"/>
      <c r="CF23" s="372"/>
      <c r="CG23" s="372"/>
      <c r="CH23" s="371"/>
      <c r="CI23" s="375"/>
      <c r="CJ23" s="372"/>
      <c r="CK23" s="372"/>
      <c r="CL23" s="372"/>
      <c r="CM23" s="373"/>
    </row>
    <row r="24" spans="1:118" ht="25.5" customHeight="1" thickBot="1">
      <c r="A24" s="331">
        <v>4217</v>
      </c>
      <c r="B24" s="332" t="s">
        <v>11</v>
      </c>
      <c r="C24" s="332" t="s">
        <v>44</v>
      </c>
      <c r="D24" s="332" t="s">
        <v>76</v>
      </c>
      <c r="E24" s="333" t="s">
        <v>53</v>
      </c>
      <c r="F24" s="332"/>
      <c r="G24" s="333" t="s">
        <v>1002</v>
      </c>
      <c r="H24" s="376" t="s">
        <v>54</v>
      </c>
      <c r="I24" s="335"/>
      <c r="J24" s="333"/>
      <c r="K24" s="336"/>
      <c r="L24" s="337" t="s">
        <v>78</v>
      </c>
      <c r="M24" s="332" t="s">
        <v>77</v>
      </c>
      <c r="N24" s="332"/>
      <c r="O24" s="332" t="s">
        <v>77</v>
      </c>
      <c r="P24" s="338" t="s">
        <v>77</v>
      </c>
      <c r="Q24" s="337"/>
      <c r="R24" s="332"/>
      <c r="S24" s="332"/>
      <c r="T24" s="332"/>
      <c r="U24" s="339" t="s">
        <v>80</v>
      </c>
      <c r="V24" s="331"/>
      <c r="W24" s="377"/>
      <c r="X24" s="377"/>
      <c r="Y24" s="377"/>
      <c r="Z24" s="378"/>
      <c r="AA24" s="379"/>
      <c r="AB24" s="377"/>
      <c r="AC24" s="377"/>
      <c r="AD24" s="377"/>
      <c r="AE24" s="376"/>
      <c r="AF24" s="380"/>
      <c r="AG24" s="377"/>
      <c r="AH24" s="377"/>
      <c r="AI24" s="377"/>
      <c r="AJ24" s="378"/>
      <c r="AK24" s="379"/>
      <c r="AL24" s="377"/>
      <c r="AM24" s="377"/>
      <c r="AN24" s="377"/>
      <c r="AO24" s="376"/>
      <c r="AP24" s="380"/>
      <c r="AQ24" s="377"/>
      <c r="AR24" s="377"/>
      <c r="AS24" s="377"/>
      <c r="AT24" s="378"/>
      <c r="AU24" s="379"/>
      <c r="AV24" s="377"/>
      <c r="AW24" s="377"/>
      <c r="AX24" s="377"/>
      <c r="AY24" s="376"/>
      <c r="AZ24" s="380"/>
      <c r="BA24" s="377"/>
      <c r="BB24" s="377"/>
      <c r="BC24" s="377"/>
      <c r="BD24" s="378"/>
      <c r="BE24" s="379"/>
      <c r="BF24" s="377"/>
      <c r="BG24" s="377"/>
      <c r="BH24" s="377"/>
      <c r="BI24" s="376"/>
      <c r="BJ24" s="380"/>
      <c r="BK24" s="377"/>
      <c r="BL24" s="377"/>
      <c r="BM24" s="377"/>
      <c r="BN24" s="378"/>
      <c r="BO24" s="379"/>
      <c r="BP24" s="377"/>
      <c r="BQ24" s="377"/>
      <c r="BR24" s="377"/>
      <c r="BS24" s="376"/>
      <c r="BT24" s="380"/>
      <c r="BU24" s="377"/>
      <c r="BV24" s="377"/>
      <c r="BW24" s="377"/>
      <c r="BX24" s="378"/>
      <c r="BY24" s="379"/>
      <c r="BZ24" s="377"/>
      <c r="CA24" s="377"/>
      <c r="CB24" s="377"/>
      <c r="CC24" s="376"/>
      <c r="CD24" s="380"/>
      <c r="CE24" s="377"/>
      <c r="CF24" s="377"/>
      <c r="CG24" s="377"/>
      <c r="CH24" s="376"/>
      <c r="CI24" s="380"/>
      <c r="CJ24" s="377"/>
      <c r="CK24" s="377"/>
      <c r="CL24" s="377"/>
      <c r="CM24" s="378"/>
    </row>
    <row r="25" spans="1:118" ht="25.5" customHeight="1">
      <c r="A25" s="341">
        <v>4218</v>
      </c>
      <c r="B25" s="342" t="s">
        <v>11</v>
      </c>
      <c r="C25" s="342" t="s">
        <v>44</v>
      </c>
      <c r="D25" s="342" t="s">
        <v>76</v>
      </c>
      <c r="E25" s="343" t="s">
        <v>53</v>
      </c>
      <c r="F25" s="342"/>
      <c r="G25" s="343" t="s">
        <v>1004</v>
      </c>
      <c r="H25" s="344" t="s">
        <v>54</v>
      </c>
      <c r="I25" s="345"/>
      <c r="J25" s="343"/>
      <c r="K25" s="346"/>
      <c r="L25" s="347" t="s">
        <v>78</v>
      </c>
      <c r="M25" s="342" t="s">
        <v>77</v>
      </c>
      <c r="N25" s="342"/>
      <c r="O25" s="342" t="s">
        <v>77</v>
      </c>
      <c r="P25" s="348" t="s">
        <v>77</v>
      </c>
      <c r="Q25" s="347"/>
      <c r="R25" s="342"/>
      <c r="S25" s="342"/>
      <c r="T25" s="342"/>
      <c r="U25" s="349" t="s">
        <v>80</v>
      </c>
      <c r="V25" s="341"/>
      <c r="W25" s="381"/>
      <c r="X25" s="381"/>
      <c r="Y25" s="381"/>
      <c r="Z25" s="382"/>
      <c r="AA25" s="383"/>
      <c r="AB25" s="381"/>
      <c r="AC25" s="381"/>
      <c r="AD25" s="381"/>
      <c r="AE25" s="384"/>
      <c r="AF25" s="385"/>
      <c r="AG25" s="381"/>
      <c r="AH25" s="381"/>
      <c r="AI25" s="381"/>
      <c r="AJ25" s="382"/>
      <c r="AK25" s="383"/>
      <c r="AL25" s="381"/>
      <c r="AM25" s="381"/>
      <c r="AN25" s="381"/>
      <c r="AO25" s="384"/>
      <c r="AP25" s="385"/>
      <c r="AQ25" s="381"/>
      <c r="AR25" s="381"/>
      <c r="AS25" s="381"/>
      <c r="AT25" s="382"/>
      <c r="AU25" s="383"/>
      <c r="AV25" s="381"/>
      <c r="AW25" s="381"/>
      <c r="AX25" s="381"/>
      <c r="AY25" s="384"/>
      <c r="AZ25" s="385"/>
      <c r="BA25" s="381"/>
      <c r="BB25" s="381"/>
      <c r="BC25" s="381"/>
      <c r="BD25" s="382"/>
      <c r="BE25" s="383"/>
      <c r="BF25" s="381"/>
      <c r="BG25" s="381"/>
      <c r="BH25" s="381"/>
      <c r="BI25" s="384"/>
      <c r="BJ25" s="385"/>
      <c r="BK25" s="381"/>
      <c r="BL25" s="381"/>
      <c r="BM25" s="381"/>
      <c r="BN25" s="382"/>
      <c r="BO25" s="383"/>
      <c r="BP25" s="381"/>
      <c r="BQ25" s="381"/>
      <c r="BR25" s="381"/>
      <c r="BS25" s="384"/>
      <c r="BT25" s="385"/>
      <c r="BU25" s="381"/>
      <c r="BV25" s="381"/>
      <c r="BW25" s="381"/>
      <c r="BX25" s="382"/>
      <c r="BY25" s="383"/>
      <c r="BZ25" s="381"/>
      <c r="CA25" s="381"/>
      <c r="CB25" s="381"/>
      <c r="CC25" s="384"/>
      <c r="CD25" s="385"/>
      <c r="CE25" s="381"/>
      <c r="CF25" s="381"/>
      <c r="CG25" s="381"/>
      <c r="CH25" s="384"/>
      <c r="CI25" s="385"/>
      <c r="CJ25" s="381"/>
      <c r="CK25" s="381"/>
      <c r="CL25" s="381"/>
      <c r="CM25" s="382"/>
    </row>
    <row r="26" spans="1:118" ht="25.5" customHeight="1">
      <c r="A26" s="386">
        <v>4219</v>
      </c>
      <c r="B26" s="387" t="s">
        <v>11</v>
      </c>
      <c r="C26" s="387" t="s">
        <v>44</v>
      </c>
      <c r="D26" s="387" t="s">
        <v>76</v>
      </c>
      <c r="E26" s="372" t="s">
        <v>53</v>
      </c>
      <c r="F26" s="387"/>
      <c r="G26" s="372" t="s">
        <v>1006</v>
      </c>
      <c r="H26" s="371" t="s">
        <v>54</v>
      </c>
      <c r="I26" s="375"/>
      <c r="J26" s="372"/>
      <c r="K26" s="373"/>
      <c r="L26" s="388" t="s">
        <v>78</v>
      </c>
      <c r="M26" s="387" t="s">
        <v>77</v>
      </c>
      <c r="N26" s="387"/>
      <c r="O26" s="387" t="s">
        <v>77</v>
      </c>
      <c r="P26" s="389" t="s">
        <v>77</v>
      </c>
      <c r="Q26" s="388"/>
      <c r="R26" s="387"/>
      <c r="S26" s="387"/>
      <c r="T26" s="387"/>
      <c r="U26" s="390" t="s">
        <v>80</v>
      </c>
      <c r="V26" s="386"/>
      <c r="W26" s="372"/>
      <c r="X26" s="372"/>
      <c r="Y26" s="372"/>
      <c r="Z26" s="373"/>
      <c r="AA26" s="374"/>
      <c r="AB26" s="372"/>
      <c r="AC26" s="372"/>
      <c r="AD26" s="372"/>
      <c r="AE26" s="371"/>
      <c r="AF26" s="375"/>
      <c r="AG26" s="372"/>
      <c r="AH26" s="372"/>
      <c r="AI26" s="372"/>
      <c r="AJ26" s="373"/>
      <c r="AK26" s="374"/>
      <c r="AL26" s="372"/>
      <c r="AM26" s="372"/>
      <c r="AN26" s="372"/>
      <c r="AO26" s="371"/>
      <c r="AP26" s="375"/>
      <c r="AQ26" s="372"/>
      <c r="AR26" s="372"/>
      <c r="AS26" s="372"/>
      <c r="AT26" s="373"/>
      <c r="AU26" s="374"/>
      <c r="AV26" s="372"/>
      <c r="AW26" s="372"/>
      <c r="AX26" s="372"/>
      <c r="AY26" s="371"/>
      <c r="AZ26" s="375"/>
      <c r="BA26" s="372"/>
      <c r="BB26" s="372"/>
      <c r="BC26" s="372"/>
      <c r="BD26" s="373"/>
      <c r="BE26" s="374"/>
      <c r="BF26" s="372"/>
      <c r="BG26" s="372"/>
      <c r="BH26" s="372"/>
      <c r="BI26" s="371"/>
      <c r="BJ26" s="375"/>
      <c r="BK26" s="372"/>
      <c r="BL26" s="372"/>
      <c r="BM26" s="372"/>
      <c r="BN26" s="373"/>
      <c r="BO26" s="374"/>
      <c r="BP26" s="372"/>
      <c r="BQ26" s="372"/>
      <c r="BR26" s="372"/>
      <c r="BS26" s="371"/>
      <c r="BT26" s="375"/>
      <c r="BU26" s="372"/>
      <c r="BV26" s="372"/>
      <c r="BW26" s="372"/>
      <c r="BX26" s="373"/>
      <c r="BY26" s="374"/>
      <c r="BZ26" s="372"/>
      <c r="CA26" s="372"/>
      <c r="CB26" s="372"/>
      <c r="CC26" s="371"/>
      <c r="CD26" s="375"/>
      <c r="CE26" s="372"/>
      <c r="CF26" s="372"/>
      <c r="CG26" s="372"/>
      <c r="CH26" s="371"/>
      <c r="CI26" s="375"/>
      <c r="CJ26" s="372"/>
      <c r="CK26" s="372"/>
      <c r="CL26" s="372"/>
      <c r="CM26" s="373"/>
    </row>
    <row r="27" spans="1:118" ht="25.5" customHeight="1">
      <c r="A27" s="386">
        <v>4220</v>
      </c>
      <c r="B27" s="387" t="s">
        <v>11</v>
      </c>
      <c r="C27" s="387" t="s">
        <v>44</v>
      </c>
      <c r="D27" s="387" t="s">
        <v>76</v>
      </c>
      <c r="E27" s="372" t="s">
        <v>53</v>
      </c>
      <c r="F27" s="387"/>
      <c r="G27" s="372" t="s">
        <v>1008</v>
      </c>
      <c r="H27" s="371" t="s">
        <v>54</v>
      </c>
      <c r="I27" s="375"/>
      <c r="J27" s="372"/>
      <c r="K27" s="373"/>
      <c r="L27" s="388" t="s">
        <v>78</v>
      </c>
      <c r="M27" s="387" t="s">
        <v>77</v>
      </c>
      <c r="N27" s="387"/>
      <c r="O27" s="387" t="s">
        <v>77</v>
      </c>
      <c r="P27" s="389" t="s">
        <v>77</v>
      </c>
      <c r="Q27" s="388"/>
      <c r="R27" s="387"/>
      <c r="S27" s="387"/>
      <c r="T27" s="387"/>
      <c r="U27" s="390" t="s">
        <v>80</v>
      </c>
      <c r="V27" s="386"/>
      <c r="W27" s="372"/>
      <c r="X27" s="372"/>
      <c r="Y27" s="372"/>
      <c r="Z27" s="373"/>
      <c r="AA27" s="374"/>
      <c r="AB27" s="372"/>
      <c r="AC27" s="372"/>
      <c r="AD27" s="372"/>
      <c r="AE27" s="371"/>
      <c r="AF27" s="375"/>
      <c r="AG27" s="372"/>
      <c r="AH27" s="372"/>
      <c r="AI27" s="372"/>
      <c r="AJ27" s="373"/>
      <c r="AK27" s="374"/>
      <c r="AL27" s="372"/>
      <c r="AM27" s="372"/>
      <c r="AN27" s="372"/>
      <c r="AO27" s="371"/>
      <c r="AP27" s="375"/>
      <c r="AQ27" s="372"/>
      <c r="AR27" s="372"/>
      <c r="AS27" s="372"/>
      <c r="AT27" s="373"/>
      <c r="AU27" s="374"/>
      <c r="AV27" s="372"/>
      <c r="AW27" s="372"/>
      <c r="AX27" s="372"/>
      <c r="AY27" s="371"/>
      <c r="AZ27" s="375"/>
      <c r="BA27" s="372"/>
      <c r="BB27" s="372"/>
      <c r="BC27" s="372"/>
      <c r="BD27" s="373"/>
      <c r="BE27" s="374"/>
      <c r="BF27" s="372"/>
      <c r="BG27" s="372"/>
      <c r="BH27" s="372"/>
      <c r="BI27" s="371"/>
      <c r="BJ27" s="375"/>
      <c r="BK27" s="372"/>
      <c r="BL27" s="372"/>
      <c r="BM27" s="372"/>
      <c r="BN27" s="373"/>
      <c r="BO27" s="374"/>
      <c r="BP27" s="372"/>
      <c r="BQ27" s="372"/>
      <c r="BR27" s="372"/>
      <c r="BS27" s="371"/>
      <c r="BT27" s="375"/>
      <c r="BU27" s="372"/>
      <c r="BV27" s="372"/>
      <c r="BW27" s="372"/>
      <c r="BX27" s="373"/>
      <c r="BY27" s="374"/>
      <c r="BZ27" s="372"/>
      <c r="CA27" s="372"/>
      <c r="CB27" s="372"/>
      <c r="CC27" s="371"/>
      <c r="CD27" s="375"/>
      <c r="CE27" s="372"/>
      <c r="CF27" s="372"/>
      <c r="CG27" s="372"/>
      <c r="CH27" s="371"/>
      <c r="CI27" s="375"/>
      <c r="CJ27" s="372"/>
      <c r="CK27" s="372"/>
      <c r="CL27" s="372"/>
      <c r="CM27" s="373"/>
    </row>
    <row r="28" spans="1:118" ht="25.5" customHeight="1">
      <c r="A28" s="386">
        <v>4221</v>
      </c>
      <c r="B28" s="387" t="s">
        <v>11</v>
      </c>
      <c r="C28" s="387" t="s">
        <v>44</v>
      </c>
      <c r="D28" s="387" t="s">
        <v>76</v>
      </c>
      <c r="E28" s="372" t="s">
        <v>53</v>
      </c>
      <c r="F28" s="387"/>
      <c r="G28" s="372" t="s">
        <v>1010</v>
      </c>
      <c r="H28" s="371" t="s">
        <v>54</v>
      </c>
      <c r="I28" s="375"/>
      <c r="J28" s="372"/>
      <c r="K28" s="373"/>
      <c r="L28" s="388" t="s">
        <v>78</v>
      </c>
      <c r="M28" s="387" t="s">
        <v>77</v>
      </c>
      <c r="N28" s="387"/>
      <c r="O28" s="387" t="s">
        <v>77</v>
      </c>
      <c r="P28" s="389" t="s">
        <v>77</v>
      </c>
      <c r="Q28" s="388"/>
      <c r="R28" s="387"/>
      <c r="S28" s="387"/>
      <c r="T28" s="387"/>
      <c r="U28" s="390" t="s">
        <v>80</v>
      </c>
      <c r="V28" s="386"/>
      <c r="W28" s="372"/>
      <c r="X28" s="372"/>
      <c r="Y28" s="372"/>
      <c r="Z28" s="373"/>
      <c r="AA28" s="374"/>
      <c r="AB28" s="372"/>
      <c r="AC28" s="372"/>
      <c r="AD28" s="372"/>
      <c r="AE28" s="371"/>
      <c r="AF28" s="375"/>
      <c r="AG28" s="372"/>
      <c r="AH28" s="372"/>
      <c r="AI28" s="372"/>
      <c r="AJ28" s="373"/>
      <c r="AK28" s="374"/>
      <c r="AL28" s="372"/>
      <c r="AM28" s="372"/>
      <c r="AN28" s="372"/>
      <c r="AO28" s="371"/>
      <c r="AP28" s="375"/>
      <c r="AQ28" s="372"/>
      <c r="AR28" s="372"/>
      <c r="AS28" s="372"/>
      <c r="AT28" s="373"/>
      <c r="AU28" s="374"/>
      <c r="AV28" s="372"/>
      <c r="AW28" s="372"/>
      <c r="AX28" s="372"/>
      <c r="AY28" s="371"/>
      <c r="AZ28" s="375"/>
      <c r="BA28" s="372"/>
      <c r="BB28" s="372"/>
      <c r="BC28" s="372"/>
      <c r="BD28" s="373"/>
      <c r="BE28" s="374"/>
      <c r="BF28" s="372"/>
      <c r="BG28" s="372"/>
      <c r="BH28" s="372"/>
      <c r="BI28" s="371"/>
      <c r="BJ28" s="375"/>
      <c r="BK28" s="372"/>
      <c r="BL28" s="372"/>
      <c r="BM28" s="372"/>
      <c r="BN28" s="373"/>
      <c r="BO28" s="374"/>
      <c r="BP28" s="372"/>
      <c r="BQ28" s="372"/>
      <c r="BR28" s="372"/>
      <c r="BS28" s="371"/>
      <c r="BT28" s="375"/>
      <c r="BU28" s="372"/>
      <c r="BV28" s="372"/>
      <c r="BW28" s="372"/>
      <c r="BX28" s="373"/>
      <c r="BY28" s="374"/>
      <c r="BZ28" s="372"/>
      <c r="CA28" s="372"/>
      <c r="CB28" s="372"/>
      <c r="CC28" s="371"/>
      <c r="CD28" s="375"/>
      <c r="CE28" s="372"/>
      <c r="CF28" s="372"/>
      <c r="CG28" s="372"/>
      <c r="CH28" s="371"/>
      <c r="CI28" s="375"/>
      <c r="CJ28" s="372"/>
      <c r="CK28" s="372"/>
      <c r="CL28" s="372"/>
      <c r="CM28" s="373"/>
    </row>
    <row r="29" spans="1:118" ht="25.5" customHeight="1" thickBot="1">
      <c r="A29" s="391">
        <v>4222</v>
      </c>
      <c r="B29" s="392" t="s">
        <v>11</v>
      </c>
      <c r="C29" s="392" t="s">
        <v>44</v>
      </c>
      <c r="D29" s="392" t="s">
        <v>76</v>
      </c>
      <c r="E29" s="393" t="s">
        <v>53</v>
      </c>
      <c r="F29" s="392"/>
      <c r="G29" s="393" t="s">
        <v>1012</v>
      </c>
      <c r="H29" s="394" t="s">
        <v>54</v>
      </c>
      <c r="I29" s="395"/>
      <c r="J29" s="393"/>
      <c r="K29" s="396"/>
      <c r="L29" s="397" t="s">
        <v>78</v>
      </c>
      <c r="M29" s="392" t="s">
        <v>77</v>
      </c>
      <c r="N29" s="392"/>
      <c r="O29" s="392" t="s">
        <v>77</v>
      </c>
      <c r="P29" s="398" t="s">
        <v>77</v>
      </c>
      <c r="Q29" s="397"/>
      <c r="R29" s="392"/>
      <c r="S29" s="392"/>
      <c r="T29" s="392"/>
      <c r="U29" s="399" t="s">
        <v>80</v>
      </c>
      <c r="V29" s="391"/>
      <c r="W29" s="393"/>
      <c r="X29" s="393"/>
      <c r="Y29" s="393"/>
      <c r="Z29" s="396"/>
      <c r="AA29" s="400"/>
      <c r="AB29" s="393"/>
      <c r="AC29" s="393"/>
      <c r="AD29" s="393"/>
      <c r="AE29" s="394"/>
      <c r="AF29" s="395"/>
      <c r="AG29" s="393"/>
      <c r="AH29" s="393"/>
      <c r="AI29" s="393"/>
      <c r="AJ29" s="396"/>
      <c r="AK29" s="400"/>
      <c r="AL29" s="393"/>
      <c r="AM29" s="393"/>
      <c r="AN29" s="393"/>
      <c r="AO29" s="394"/>
      <c r="AP29" s="395"/>
      <c r="AQ29" s="393"/>
      <c r="AR29" s="393"/>
      <c r="AS29" s="393"/>
      <c r="AT29" s="396"/>
      <c r="AU29" s="400"/>
      <c r="AV29" s="393"/>
      <c r="AW29" s="393"/>
      <c r="AX29" s="393"/>
      <c r="AY29" s="394"/>
      <c r="AZ29" s="395"/>
      <c r="BA29" s="393"/>
      <c r="BB29" s="393"/>
      <c r="BC29" s="393"/>
      <c r="BD29" s="396"/>
      <c r="BE29" s="400"/>
      <c r="BF29" s="393"/>
      <c r="BG29" s="393"/>
      <c r="BH29" s="393"/>
      <c r="BI29" s="394"/>
      <c r="BJ29" s="395"/>
      <c r="BK29" s="393"/>
      <c r="BL29" s="393"/>
      <c r="BM29" s="393"/>
      <c r="BN29" s="396"/>
      <c r="BO29" s="400"/>
      <c r="BP29" s="393"/>
      <c r="BQ29" s="393"/>
      <c r="BR29" s="393"/>
      <c r="BS29" s="394"/>
      <c r="BT29" s="395"/>
      <c r="BU29" s="393"/>
      <c r="BV29" s="393"/>
      <c r="BW29" s="393"/>
      <c r="BX29" s="396"/>
      <c r="BY29" s="400"/>
      <c r="BZ29" s="393"/>
      <c r="CA29" s="393"/>
      <c r="CB29" s="393"/>
      <c r="CC29" s="394"/>
      <c r="CD29" s="395"/>
      <c r="CE29" s="393"/>
      <c r="CF29" s="393"/>
      <c r="CG29" s="393"/>
      <c r="CH29" s="394"/>
      <c r="CI29" s="395"/>
      <c r="CJ29" s="393"/>
      <c r="CK29" s="393"/>
      <c r="CL29" s="393"/>
      <c r="CM29" s="396"/>
    </row>
    <row r="30" spans="1:118" ht="25.5" customHeight="1">
      <c r="A30" s="401">
        <v>4223</v>
      </c>
      <c r="B30" s="402" t="s">
        <v>11</v>
      </c>
      <c r="C30" s="402" t="s">
        <v>44</v>
      </c>
      <c r="D30" s="402" t="s">
        <v>76</v>
      </c>
      <c r="E30" s="403" t="s">
        <v>53</v>
      </c>
      <c r="F30" s="402"/>
      <c r="G30" s="403" t="s">
        <v>1014</v>
      </c>
      <c r="H30" s="404" t="s">
        <v>54</v>
      </c>
      <c r="I30" s="405"/>
      <c r="J30" s="403"/>
      <c r="K30" s="406"/>
      <c r="L30" s="407" t="s">
        <v>78</v>
      </c>
      <c r="M30" s="402" t="s">
        <v>77</v>
      </c>
      <c r="N30" s="402"/>
      <c r="O30" s="402" t="s">
        <v>77</v>
      </c>
      <c r="P30" s="408" t="s">
        <v>77</v>
      </c>
      <c r="Q30" s="407"/>
      <c r="R30" s="402"/>
      <c r="S30" s="402"/>
      <c r="T30" s="402"/>
      <c r="U30" s="409" t="s">
        <v>80</v>
      </c>
      <c r="V30" s="401"/>
      <c r="W30" s="403"/>
      <c r="X30" s="403"/>
      <c r="Y30" s="403"/>
      <c r="Z30" s="406"/>
      <c r="AA30" s="410"/>
      <c r="AB30" s="403"/>
      <c r="AC30" s="403"/>
      <c r="AD30" s="403"/>
      <c r="AE30" s="404"/>
      <c r="AF30" s="405"/>
      <c r="AG30" s="403"/>
      <c r="AH30" s="403"/>
      <c r="AI30" s="403"/>
      <c r="AJ30" s="406"/>
      <c r="AK30" s="410"/>
      <c r="AL30" s="403"/>
      <c r="AM30" s="403"/>
      <c r="AN30" s="403"/>
      <c r="AO30" s="404"/>
      <c r="AP30" s="405"/>
      <c r="AQ30" s="403"/>
      <c r="AR30" s="403"/>
      <c r="AS30" s="403"/>
      <c r="AT30" s="406"/>
      <c r="AU30" s="410"/>
      <c r="AV30" s="403"/>
      <c r="AW30" s="403"/>
      <c r="AX30" s="403"/>
      <c r="AY30" s="404"/>
      <c r="AZ30" s="405"/>
      <c r="BA30" s="403"/>
      <c r="BB30" s="403"/>
      <c r="BC30" s="403"/>
      <c r="BD30" s="406"/>
      <c r="BE30" s="410"/>
      <c r="BF30" s="403"/>
      <c r="BG30" s="403"/>
      <c r="BH30" s="403"/>
      <c r="BI30" s="404"/>
      <c r="BJ30" s="405"/>
      <c r="BK30" s="403"/>
      <c r="BL30" s="403"/>
      <c r="BM30" s="403"/>
      <c r="BN30" s="406"/>
      <c r="BO30" s="410"/>
      <c r="BP30" s="403"/>
      <c r="BQ30" s="403"/>
      <c r="BR30" s="403"/>
      <c r="BS30" s="404"/>
      <c r="BT30" s="405"/>
      <c r="BU30" s="403"/>
      <c r="BV30" s="403"/>
      <c r="BW30" s="403"/>
      <c r="BX30" s="406"/>
      <c r="BY30" s="410"/>
      <c r="BZ30" s="403"/>
      <c r="CA30" s="403"/>
      <c r="CB30" s="403"/>
      <c r="CC30" s="404"/>
      <c r="CD30" s="405"/>
      <c r="CE30" s="403"/>
      <c r="CF30" s="403"/>
      <c r="CG30" s="403"/>
      <c r="CH30" s="404"/>
      <c r="CI30" s="405"/>
      <c r="CJ30" s="403"/>
      <c r="CK30" s="403"/>
      <c r="CL30" s="403"/>
      <c r="CM30" s="406"/>
    </row>
    <row r="31" spans="1:118" ht="25.5" customHeight="1">
      <c r="A31" s="386">
        <v>4224</v>
      </c>
      <c r="B31" s="387" t="s">
        <v>11</v>
      </c>
      <c r="C31" s="387" t="s">
        <v>44</v>
      </c>
      <c r="D31" s="387" t="s">
        <v>76</v>
      </c>
      <c r="E31" s="372" t="s">
        <v>53</v>
      </c>
      <c r="F31" s="387"/>
      <c r="G31" s="372" t="s">
        <v>1016</v>
      </c>
      <c r="H31" s="371" t="s">
        <v>54</v>
      </c>
      <c r="I31" s="375"/>
      <c r="J31" s="372"/>
      <c r="K31" s="373"/>
      <c r="L31" s="388" t="s">
        <v>78</v>
      </c>
      <c r="M31" s="387" t="s">
        <v>77</v>
      </c>
      <c r="N31" s="387"/>
      <c r="O31" s="387" t="s">
        <v>77</v>
      </c>
      <c r="P31" s="389" t="s">
        <v>77</v>
      </c>
      <c r="Q31" s="388"/>
      <c r="R31" s="387"/>
      <c r="S31" s="387"/>
      <c r="T31" s="387"/>
      <c r="U31" s="390" t="s">
        <v>80</v>
      </c>
      <c r="V31" s="386"/>
      <c r="W31" s="372"/>
      <c r="X31" s="372"/>
      <c r="Y31" s="372"/>
      <c r="Z31" s="373"/>
      <c r="AA31" s="374"/>
      <c r="AB31" s="372"/>
      <c r="AC31" s="372"/>
      <c r="AD31" s="372"/>
      <c r="AE31" s="371"/>
      <c r="AF31" s="375"/>
      <c r="AG31" s="372"/>
      <c r="AH31" s="372"/>
      <c r="AI31" s="372"/>
      <c r="AJ31" s="373"/>
      <c r="AK31" s="374"/>
      <c r="AL31" s="372"/>
      <c r="AM31" s="372"/>
      <c r="AN31" s="372"/>
      <c r="AO31" s="371"/>
      <c r="AP31" s="375"/>
      <c r="AQ31" s="372"/>
      <c r="AR31" s="372"/>
      <c r="AS31" s="372"/>
      <c r="AT31" s="373"/>
      <c r="AU31" s="374"/>
      <c r="AV31" s="372"/>
      <c r="AW31" s="372"/>
      <c r="AX31" s="372"/>
      <c r="AY31" s="371"/>
      <c r="AZ31" s="375"/>
      <c r="BA31" s="372"/>
      <c r="BB31" s="372"/>
      <c r="BC31" s="372"/>
      <c r="BD31" s="373"/>
      <c r="BE31" s="374"/>
      <c r="BF31" s="372"/>
      <c r="BG31" s="372"/>
      <c r="BH31" s="372"/>
      <c r="BI31" s="371"/>
      <c r="BJ31" s="375"/>
      <c r="BK31" s="372"/>
      <c r="BL31" s="372"/>
      <c r="BM31" s="372"/>
      <c r="BN31" s="373"/>
      <c r="BO31" s="374"/>
      <c r="BP31" s="372"/>
      <c r="BQ31" s="372"/>
      <c r="BR31" s="372"/>
      <c r="BS31" s="371"/>
      <c r="BT31" s="375"/>
      <c r="BU31" s="372"/>
      <c r="BV31" s="372"/>
      <c r="BW31" s="372"/>
      <c r="BX31" s="373"/>
      <c r="BY31" s="374"/>
      <c r="BZ31" s="372"/>
      <c r="CA31" s="372"/>
      <c r="CB31" s="372"/>
      <c r="CC31" s="371"/>
      <c r="CD31" s="375"/>
      <c r="CE31" s="372"/>
      <c r="CF31" s="372"/>
      <c r="CG31" s="372"/>
      <c r="CH31" s="371"/>
      <c r="CI31" s="375"/>
      <c r="CJ31" s="372"/>
      <c r="CK31" s="372"/>
      <c r="CL31" s="372"/>
      <c r="CM31" s="373"/>
    </row>
    <row r="32" spans="1:118" ht="25.5" customHeight="1">
      <c r="A32" s="386">
        <v>4225</v>
      </c>
      <c r="B32" s="387" t="s">
        <v>11</v>
      </c>
      <c r="C32" s="387" t="s">
        <v>44</v>
      </c>
      <c r="D32" s="387" t="s">
        <v>76</v>
      </c>
      <c r="E32" s="372" t="s">
        <v>53</v>
      </c>
      <c r="F32" s="387"/>
      <c r="G32" s="372" t="s">
        <v>1018</v>
      </c>
      <c r="H32" s="371" t="s">
        <v>54</v>
      </c>
      <c r="I32" s="375"/>
      <c r="J32" s="372"/>
      <c r="K32" s="373"/>
      <c r="L32" s="388" t="s">
        <v>78</v>
      </c>
      <c r="M32" s="387" t="s">
        <v>77</v>
      </c>
      <c r="N32" s="387"/>
      <c r="O32" s="387" t="s">
        <v>77</v>
      </c>
      <c r="P32" s="389" t="s">
        <v>77</v>
      </c>
      <c r="Q32" s="388"/>
      <c r="R32" s="387"/>
      <c r="S32" s="387"/>
      <c r="T32" s="387"/>
      <c r="U32" s="390" t="s">
        <v>80</v>
      </c>
      <c r="V32" s="386"/>
      <c r="W32" s="372"/>
      <c r="X32" s="372"/>
      <c r="Y32" s="372"/>
      <c r="Z32" s="373"/>
      <c r="AA32" s="374"/>
      <c r="AB32" s="372"/>
      <c r="AC32" s="372"/>
      <c r="AD32" s="372"/>
      <c r="AE32" s="371"/>
      <c r="AF32" s="375"/>
      <c r="AG32" s="372"/>
      <c r="AH32" s="372"/>
      <c r="AI32" s="372"/>
      <c r="AJ32" s="373"/>
      <c r="AK32" s="374"/>
      <c r="AL32" s="372"/>
      <c r="AM32" s="372"/>
      <c r="AN32" s="372"/>
      <c r="AO32" s="371"/>
      <c r="AP32" s="375"/>
      <c r="AQ32" s="372"/>
      <c r="AR32" s="372"/>
      <c r="AS32" s="372"/>
      <c r="AT32" s="373"/>
      <c r="AU32" s="374"/>
      <c r="AV32" s="372"/>
      <c r="AW32" s="372"/>
      <c r="AX32" s="372"/>
      <c r="AY32" s="371"/>
      <c r="AZ32" s="375"/>
      <c r="BA32" s="372"/>
      <c r="BB32" s="372"/>
      <c r="BC32" s="372"/>
      <c r="BD32" s="373"/>
      <c r="BE32" s="374"/>
      <c r="BF32" s="372"/>
      <c r="BG32" s="372"/>
      <c r="BH32" s="372"/>
      <c r="BI32" s="371"/>
      <c r="BJ32" s="375"/>
      <c r="BK32" s="372"/>
      <c r="BL32" s="372"/>
      <c r="BM32" s="372"/>
      <c r="BN32" s="373"/>
      <c r="BO32" s="374"/>
      <c r="BP32" s="372"/>
      <c r="BQ32" s="372"/>
      <c r="BR32" s="372"/>
      <c r="BS32" s="371"/>
      <c r="BT32" s="375"/>
      <c r="BU32" s="372"/>
      <c r="BV32" s="372"/>
      <c r="BW32" s="372"/>
      <c r="BX32" s="373"/>
      <c r="BY32" s="374"/>
      <c r="BZ32" s="372"/>
      <c r="CA32" s="372"/>
      <c r="CB32" s="372"/>
      <c r="CC32" s="371"/>
      <c r="CD32" s="375"/>
      <c r="CE32" s="372"/>
      <c r="CF32" s="372"/>
      <c r="CG32" s="372"/>
      <c r="CH32" s="371"/>
      <c r="CI32" s="375"/>
      <c r="CJ32" s="372"/>
      <c r="CK32" s="372"/>
      <c r="CL32" s="372"/>
      <c r="CM32" s="373"/>
    </row>
    <row r="33" spans="1:91" ht="25.5" customHeight="1">
      <c r="A33" s="386">
        <v>4226</v>
      </c>
      <c r="B33" s="387" t="s">
        <v>11</v>
      </c>
      <c r="C33" s="387" t="s">
        <v>44</v>
      </c>
      <c r="D33" s="387" t="s">
        <v>76</v>
      </c>
      <c r="E33" s="372" t="s">
        <v>53</v>
      </c>
      <c r="F33" s="387"/>
      <c r="G33" s="372" t="s">
        <v>1020</v>
      </c>
      <c r="H33" s="371" t="s">
        <v>54</v>
      </c>
      <c r="I33" s="375"/>
      <c r="J33" s="372"/>
      <c r="K33" s="373"/>
      <c r="L33" s="388" t="s">
        <v>78</v>
      </c>
      <c r="M33" s="387" t="s">
        <v>77</v>
      </c>
      <c r="N33" s="387"/>
      <c r="O33" s="387" t="s">
        <v>77</v>
      </c>
      <c r="P33" s="389" t="s">
        <v>77</v>
      </c>
      <c r="Q33" s="388"/>
      <c r="R33" s="387"/>
      <c r="S33" s="387"/>
      <c r="T33" s="387"/>
      <c r="U33" s="390" t="s">
        <v>80</v>
      </c>
      <c r="V33" s="386"/>
      <c r="W33" s="372"/>
      <c r="X33" s="372"/>
      <c r="Y33" s="372"/>
      <c r="Z33" s="373"/>
      <c r="AA33" s="374"/>
      <c r="AB33" s="372"/>
      <c r="AC33" s="372"/>
      <c r="AD33" s="372"/>
      <c r="AE33" s="371"/>
      <c r="AF33" s="375"/>
      <c r="AG33" s="372"/>
      <c r="AH33" s="372"/>
      <c r="AI33" s="372"/>
      <c r="AJ33" s="373"/>
      <c r="AK33" s="374"/>
      <c r="AL33" s="372"/>
      <c r="AM33" s="372"/>
      <c r="AN33" s="372"/>
      <c r="AO33" s="371"/>
      <c r="AP33" s="375"/>
      <c r="AQ33" s="372"/>
      <c r="AR33" s="372"/>
      <c r="AS33" s="372"/>
      <c r="AT33" s="373"/>
      <c r="AU33" s="374"/>
      <c r="AV33" s="372"/>
      <c r="AW33" s="372"/>
      <c r="AX33" s="372"/>
      <c r="AY33" s="371"/>
      <c r="AZ33" s="375"/>
      <c r="BA33" s="372"/>
      <c r="BB33" s="372"/>
      <c r="BC33" s="372"/>
      <c r="BD33" s="373"/>
      <c r="BE33" s="374"/>
      <c r="BF33" s="372"/>
      <c r="BG33" s="372"/>
      <c r="BH33" s="372"/>
      <c r="BI33" s="371"/>
      <c r="BJ33" s="375"/>
      <c r="BK33" s="372"/>
      <c r="BL33" s="372"/>
      <c r="BM33" s="372"/>
      <c r="BN33" s="373"/>
      <c r="BO33" s="374"/>
      <c r="BP33" s="372"/>
      <c r="BQ33" s="372"/>
      <c r="BR33" s="372"/>
      <c r="BS33" s="371"/>
      <c r="BT33" s="375"/>
      <c r="BU33" s="372"/>
      <c r="BV33" s="372"/>
      <c r="BW33" s="372"/>
      <c r="BX33" s="373"/>
      <c r="BY33" s="374"/>
      <c r="BZ33" s="372"/>
      <c r="CA33" s="372"/>
      <c r="CB33" s="372"/>
      <c r="CC33" s="371"/>
      <c r="CD33" s="375"/>
      <c r="CE33" s="372"/>
      <c r="CF33" s="372"/>
      <c r="CG33" s="372"/>
      <c r="CH33" s="371"/>
      <c r="CI33" s="375"/>
      <c r="CJ33" s="372"/>
      <c r="CK33" s="372"/>
      <c r="CL33" s="372"/>
      <c r="CM33" s="373"/>
    </row>
    <row r="34" spans="1:91" ht="25.5" customHeight="1" thickBot="1">
      <c r="A34" s="411">
        <v>4227</v>
      </c>
      <c r="B34" s="412" t="s">
        <v>11</v>
      </c>
      <c r="C34" s="412" t="s">
        <v>44</v>
      </c>
      <c r="D34" s="412" t="s">
        <v>76</v>
      </c>
      <c r="E34" s="377" t="s">
        <v>53</v>
      </c>
      <c r="F34" s="412"/>
      <c r="G34" s="377" t="s">
        <v>1022</v>
      </c>
      <c r="H34" s="376" t="s">
        <v>54</v>
      </c>
      <c r="I34" s="380"/>
      <c r="J34" s="377"/>
      <c r="K34" s="378"/>
      <c r="L34" s="413" t="s">
        <v>78</v>
      </c>
      <c r="M34" s="412" t="s">
        <v>77</v>
      </c>
      <c r="N34" s="412"/>
      <c r="O34" s="412" t="s">
        <v>77</v>
      </c>
      <c r="P34" s="414" t="s">
        <v>77</v>
      </c>
      <c r="Q34" s="413"/>
      <c r="R34" s="412"/>
      <c r="S34" s="412"/>
      <c r="T34" s="412"/>
      <c r="U34" s="415" t="s">
        <v>80</v>
      </c>
      <c r="V34" s="411"/>
      <c r="W34" s="377"/>
      <c r="X34" s="377"/>
      <c r="Y34" s="377"/>
      <c r="Z34" s="378"/>
      <c r="AA34" s="379"/>
      <c r="AB34" s="377"/>
      <c r="AC34" s="377"/>
      <c r="AD34" s="377"/>
      <c r="AE34" s="376"/>
      <c r="AF34" s="380"/>
      <c r="AG34" s="377"/>
      <c r="AH34" s="377"/>
      <c r="AI34" s="377"/>
      <c r="AJ34" s="378"/>
      <c r="AK34" s="379"/>
      <c r="AL34" s="377"/>
      <c r="AM34" s="377"/>
      <c r="AN34" s="377"/>
      <c r="AO34" s="376"/>
      <c r="AP34" s="380"/>
      <c r="AQ34" s="377"/>
      <c r="AR34" s="377"/>
      <c r="AS34" s="377"/>
      <c r="AT34" s="378"/>
      <c r="AU34" s="379"/>
      <c r="AV34" s="377"/>
      <c r="AW34" s="377"/>
      <c r="AX34" s="377"/>
      <c r="AY34" s="376"/>
      <c r="AZ34" s="380"/>
      <c r="BA34" s="377"/>
      <c r="BB34" s="377"/>
      <c r="BC34" s="377"/>
      <c r="BD34" s="378"/>
      <c r="BE34" s="379"/>
      <c r="BF34" s="377"/>
      <c r="BG34" s="377"/>
      <c r="BH34" s="377"/>
      <c r="BI34" s="376"/>
      <c r="BJ34" s="380"/>
      <c r="BK34" s="377"/>
      <c r="BL34" s="377"/>
      <c r="BM34" s="377"/>
      <c r="BN34" s="378"/>
      <c r="BO34" s="379"/>
      <c r="BP34" s="377"/>
      <c r="BQ34" s="377"/>
      <c r="BR34" s="377"/>
      <c r="BS34" s="376"/>
      <c r="BT34" s="380"/>
      <c r="BU34" s="377"/>
      <c r="BV34" s="377"/>
      <c r="BW34" s="377"/>
      <c r="BX34" s="378"/>
      <c r="BY34" s="379"/>
      <c r="BZ34" s="377"/>
      <c r="CA34" s="377"/>
      <c r="CB34" s="377"/>
      <c r="CC34" s="376"/>
      <c r="CD34" s="380"/>
      <c r="CE34" s="377"/>
      <c r="CF34" s="377"/>
      <c r="CG34" s="377"/>
      <c r="CH34" s="376"/>
      <c r="CI34" s="380"/>
      <c r="CJ34" s="377"/>
      <c r="CK34" s="377"/>
      <c r="CL34" s="377"/>
      <c r="CM34" s="378"/>
    </row>
    <row r="35" spans="1:91" ht="25.5" customHeight="1">
      <c r="A35" s="416">
        <v>4228</v>
      </c>
      <c r="B35" s="417" t="s">
        <v>11</v>
      </c>
      <c r="C35" s="417" t="s">
        <v>44</v>
      </c>
      <c r="D35" s="417" t="s">
        <v>76</v>
      </c>
      <c r="E35" s="381" t="s">
        <v>53</v>
      </c>
      <c r="F35" s="417"/>
      <c r="G35" s="381" t="s">
        <v>1024</v>
      </c>
      <c r="H35" s="384" t="s">
        <v>54</v>
      </c>
      <c r="I35" s="385"/>
      <c r="J35" s="381"/>
      <c r="K35" s="382"/>
      <c r="L35" s="418" t="s">
        <v>78</v>
      </c>
      <c r="M35" s="417" t="s">
        <v>77</v>
      </c>
      <c r="N35" s="417"/>
      <c r="O35" s="417" t="s">
        <v>77</v>
      </c>
      <c r="P35" s="419" t="s">
        <v>77</v>
      </c>
      <c r="Q35" s="418"/>
      <c r="R35" s="417"/>
      <c r="S35" s="417"/>
      <c r="T35" s="417"/>
      <c r="U35" s="420" t="s">
        <v>80</v>
      </c>
      <c r="V35" s="416"/>
      <c r="W35" s="381"/>
      <c r="X35" s="381"/>
      <c r="Y35" s="381"/>
      <c r="Z35" s="382"/>
      <c r="AA35" s="383"/>
      <c r="AB35" s="381"/>
      <c r="AC35" s="381"/>
      <c r="AD35" s="381"/>
      <c r="AE35" s="384"/>
      <c r="AF35" s="385"/>
      <c r="AG35" s="381"/>
      <c r="AH35" s="381"/>
      <c r="AI35" s="381"/>
      <c r="AJ35" s="382"/>
      <c r="AK35" s="383"/>
      <c r="AL35" s="381"/>
      <c r="AM35" s="381"/>
      <c r="AN35" s="381"/>
      <c r="AO35" s="384"/>
      <c r="AP35" s="385"/>
      <c r="AQ35" s="381"/>
      <c r="AR35" s="381"/>
      <c r="AS35" s="381"/>
      <c r="AT35" s="382"/>
      <c r="AU35" s="383"/>
      <c r="AV35" s="381"/>
      <c r="AW35" s="381"/>
      <c r="AX35" s="381"/>
      <c r="AY35" s="384"/>
      <c r="AZ35" s="385"/>
      <c r="BA35" s="381"/>
      <c r="BB35" s="381"/>
      <c r="BC35" s="381"/>
      <c r="BD35" s="382"/>
      <c r="BE35" s="383"/>
      <c r="BF35" s="381"/>
      <c r="BG35" s="381"/>
      <c r="BH35" s="381"/>
      <c r="BI35" s="384"/>
      <c r="BJ35" s="385"/>
      <c r="BK35" s="381"/>
      <c r="BL35" s="381"/>
      <c r="BM35" s="381"/>
      <c r="BN35" s="382"/>
      <c r="BO35" s="383"/>
      <c r="BP35" s="381"/>
      <c r="BQ35" s="381"/>
      <c r="BR35" s="381"/>
      <c r="BS35" s="384"/>
      <c r="BT35" s="385"/>
      <c r="BU35" s="381"/>
      <c r="BV35" s="381"/>
      <c r="BW35" s="381"/>
      <c r="BX35" s="382"/>
      <c r="BY35" s="383"/>
      <c r="BZ35" s="381"/>
      <c r="CA35" s="381"/>
      <c r="CB35" s="381"/>
      <c r="CC35" s="384"/>
      <c r="CD35" s="385"/>
      <c r="CE35" s="381"/>
      <c r="CF35" s="381"/>
      <c r="CG35" s="381"/>
      <c r="CH35" s="384"/>
      <c r="CI35" s="385"/>
      <c r="CJ35" s="381"/>
      <c r="CK35" s="381"/>
      <c r="CL35" s="381"/>
      <c r="CM35" s="382"/>
    </row>
    <row r="36" spans="1:91" ht="25.5" customHeight="1">
      <c r="A36" s="386">
        <v>4229</v>
      </c>
      <c r="B36" s="387" t="s">
        <v>11</v>
      </c>
      <c r="C36" s="387" t="s">
        <v>44</v>
      </c>
      <c r="D36" s="387" t="s">
        <v>76</v>
      </c>
      <c r="E36" s="372" t="s">
        <v>53</v>
      </c>
      <c r="F36" s="387"/>
      <c r="G36" s="372" t="s">
        <v>1026</v>
      </c>
      <c r="H36" s="371" t="s">
        <v>54</v>
      </c>
      <c r="I36" s="375"/>
      <c r="J36" s="372"/>
      <c r="K36" s="373"/>
      <c r="L36" s="388" t="s">
        <v>78</v>
      </c>
      <c r="M36" s="387" t="s">
        <v>77</v>
      </c>
      <c r="N36" s="387"/>
      <c r="O36" s="387" t="s">
        <v>77</v>
      </c>
      <c r="P36" s="389" t="s">
        <v>77</v>
      </c>
      <c r="Q36" s="388"/>
      <c r="R36" s="387"/>
      <c r="S36" s="387"/>
      <c r="T36" s="387"/>
      <c r="U36" s="390" t="s">
        <v>80</v>
      </c>
      <c r="V36" s="386"/>
      <c r="W36" s="372"/>
      <c r="X36" s="372"/>
      <c r="Y36" s="372"/>
      <c r="Z36" s="373"/>
      <c r="AA36" s="374"/>
      <c r="AB36" s="372"/>
      <c r="AC36" s="372"/>
      <c r="AD36" s="372"/>
      <c r="AE36" s="371"/>
      <c r="AF36" s="375"/>
      <c r="AG36" s="372"/>
      <c r="AH36" s="372"/>
      <c r="AI36" s="372"/>
      <c r="AJ36" s="373"/>
      <c r="AK36" s="374"/>
      <c r="AL36" s="372"/>
      <c r="AM36" s="372"/>
      <c r="AN36" s="372"/>
      <c r="AO36" s="371"/>
      <c r="AP36" s="375"/>
      <c r="AQ36" s="372"/>
      <c r="AR36" s="372"/>
      <c r="AS36" s="372"/>
      <c r="AT36" s="373"/>
      <c r="AU36" s="374"/>
      <c r="AV36" s="372"/>
      <c r="AW36" s="372"/>
      <c r="AX36" s="372"/>
      <c r="AY36" s="371"/>
      <c r="AZ36" s="375"/>
      <c r="BA36" s="372"/>
      <c r="BB36" s="372"/>
      <c r="BC36" s="372"/>
      <c r="BD36" s="373"/>
      <c r="BE36" s="374"/>
      <c r="BF36" s="372"/>
      <c r="BG36" s="372"/>
      <c r="BH36" s="372"/>
      <c r="BI36" s="371"/>
      <c r="BJ36" s="375"/>
      <c r="BK36" s="372"/>
      <c r="BL36" s="372"/>
      <c r="BM36" s="372"/>
      <c r="BN36" s="373"/>
      <c r="BO36" s="374"/>
      <c r="BP36" s="372"/>
      <c r="BQ36" s="372"/>
      <c r="BR36" s="372"/>
      <c r="BS36" s="371"/>
      <c r="BT36" s="375"/>
      <c r="BU36" s="372"/>
      <c r="BV36" s="372"/>
      <c r="BW36" s="372"/>
      <c r="BX36" s="373"/>
      <c r="BY36" s="374"/>
      <c r="BZ36" s="372"/>
      <c r="CA36" s="372"/>
      <c r="CB36" s="372"/>
      <c r="CC36" s="371"/>
      <c r="CD36" s="375"/>
      <c r="CE36" s="372"/>
      <c r="CF36" s="372"/>
      <c r="CG36" s="372"/>
      <c r="CH36" s="371"/>
      <c r="CI36" s="375"/>
      <c r="CJ36" s="372"/>
      <c r="CK36" s="372"/>
      <c r="CL36" s="372"/>
      <c r="CM36" s="373"/>
    </row>
    <row r="37" spans="1:91" ht="25.5" customHeight="1">
      <c r="A37" s="386">
        <v>4230</v>
      </c>
      <c r="B37" s="387" t="s">
        <v>11</v>
      </c>
      <c r="C37" s="387" t="s">
        <v>44</v>
      </c>
      <c r="D37" s="387" t="s">
        <v>76</v>
      </c>
      <c r="E37" s="372" t="s">
        <v>53</v>
      </c>
      <c r="F37" s="387"/>
      <c r="G37" s="372" t="s">
        <v>1028</v>
      </c>
      <c r="H37" s="371" t="s">
        <v>54</v>
      </c>
      <c r="I37" s="375"/>
      <c r="J37" s="372"/>
      <c r="K37" s="373"/>
      <c r="L37" s="388" t="s">
        <v>78</v>
      </c>
      <c r="M37" s="387" t="s">
        <v>77</v>
      </c>
      <c r="N37" s="387"/>
      <c r="O37" s="387" t="s">
        <v>77</v>
      </c>
      <c r="P37" s="389" t="s">
        <v>77</v>
      </c>
      <c r="Q37" s="388"/>
      <c r="R37" s="387"/>
      <c r="S37" s="387"/>
      <c r="T37" s="387"/>
      <c r="U37" s="390" t="s">
        <v>80</v>
      </c>
      <c r="V37" s="386"/>
      <c r="W37" s="372"/>
      <c r="X37" s="372"/>
      <c r="Y37" s="372"/>
      <c r="Z37" s="373"/>
      <c r="AA37" s="374"/>
      <c r="AB37" s="372"/>
      <c r="AC37" s="372"/>
      <c r="AD37" s="372"/>
      <c r="AE37" s="371"/>
      <c r="AF37" s="375"/>
      <c r="AG37" s="372"/>
      <c r="AH37" s="372"/>
      <c r="AI37" s="372"/>
      <c r="AJ37" s="373"/>
      <c r="AK37" s="374"/>
      <c r="AL37" s="372"/>
      <c r="AM37" s="372"/>
      <c r="AN37" s="372"/>
      <c r="AO37" s="371"/>
      <c r="AP37" s="375"/>
      <c r="AQ37" s="372"/>
      <c r="AR37" s="372"/>
      <c r="AS37" s="372"/>
      <c r="AT37" s="373"/>
      <c r="AU37" s="374"/>
      <c r="AV37" s="372"/>
      <c r="AW37" s="372"/>
      <c r="AX37" s="372"/>
      <c r="AY37" s="371"/>
      <c r="AZ37" s="375"/>
      <c r="BA37" s="372"/>
      <c r="BB37" s="372"/>
      <c r="BC37" s="372"/>
      <c r="BD37" s="373"/>
      <c r="BE37" s="374"/>
      <c r="BF37" s="372"/>
      <c r="BG37" s="372"/>
      <c r="BH37" s="372"/>
      <c r="BI37" s="371"/>
      <c r="BJ37" s="375"/>
      <c r="BK37" s="372"/>
      <c r="BL37" s="372"/>
      <c r="BM37" s="372"/>
      <c r="BN37" s="373"/>
      <c r="BO37" s="374"/>
      <c r="BP37" s="372"/>
      <c r="BQ37" s="372"/>
      <c r="BR37" s="372"/>
      <c r="BS37" s="371"/>
      <c r="BT37" s="375"/>
      <c r="BU37" s="372"/>
      <c r="BV37" s="372"/>
      <c r="BW37" s="372"/>
      <c r="BX37" s="373"/>
      <c r="BY37" s="374"/>
      <c r="BZ37" s="372"/>
      <c r="CA37" s="372"/>
      <c r="CB37" s="372"/>
      <c r="CC37" s="371"/>
      <c r="CD37" s="375"/>
      <c r="CE37" s="372"/>
      <c r="CF37" s="372"/>
      <c r="CG37" s="372"/>
      <c r="CH37" s="371"/>
      <c r="CI37" s="375"/>
      <c r="CJ37" s="372"/>
      <c r="CK37" s="372"/>
      <c r="CL37" s="372"/>
      <c r="CM37" s="373"/>
    </row>
    <row r="38" spans="1:91" ht="25.5" customHeight="1">
      <c r="A38" s="386">
        <v>4231</v>
      </c>
      <c r="B38" s="387" t="s">
        <v>11</v>
      </c>
      <c r="C38" s="387" t="s">
        <v>44</v>
      </c>
      <c r="D38" s="387" t="s">
        <v>76</v>
      </c>
      <c r="E38" s="372" t="s">
        <v>53</v>
      </c>
      <c r="F38" s="387"/>
      <c r="G38" s="372" t="s">
        <v>1030</v>
      </c>
      <c r="H38" s="371" t="s">
        <v>54</v>
      </c>
      <c r="I38" s="375"/>
      <c r="J38" s="372"/>
      <c r="K38" s="373"/>
      <c r="L38" s="388" t="s">
        <v>78</v>
      </c>
      <c r="M38" s="387" t="s">
        <v>77</v>
      </c>
      <c r="N38" s="387"/>
      <c r="O38" s="387" t="s">
        <v>77</v>
      </c>
      <c r="P38" s="389" t="s">
        <v>77</v>
      </c>
      <c r="Q38" s="388"/>
      <c r="R38" s="387"/>
      <c r="S38" s="387"/>
      <c r="T38" s="387"/>
      <c r="U38" s="390" t="s">
        <v>80</v>
      </c>
      <c r="V38" s="386"/>
      <c r="W38" s="372"/>
      <c r="X38" s="372"/>
      <c r="Y38" s="372"/>
      <c r="Z38" s="373"/>
      <c r="AA38" s="374"/>
      <c r="AB38" s="372"/>
      <c r="AC38" s="372"/>
      <c r="AD38" s="372"/>
      <c r="AE38" s="371"/>
      <c r="AF38" s="375"/>
      <c r="AG38" s="372"/>
      <c r="AH38" s="372"/>
      <c r="AI38" s="372"/>
      <c r="AJ38" s="373"/>
      <c r="AK38" s="374"/>
      <c r="AL38" s="372"/>
      <c r="AM38" s="372"/>
      <c r="AN38" s="372"/>
      <c r="AO38" s="371"/>
      <c r="AP38" s="375"/>
      <c r="AQ38" s="372"/>
      <c r="AR38" s="372"/>
      <c r="AS38" s="372"/>
      <c r="AT38" s="373"/>
      <c r="AU38" s="374"/>
      <c r="AV38" s="372"/>
      <c r="AW38" s="372"/>
      <c r="AX38" s="372"/>
      <c r="AY38" s="371"/>
      <c r="AZ38" s="375"/>
      <c r="BA38" s="372"/>
      <c r="BB38" s="372"/>
      <c r="BC38" s="372"/>
      <c r="BD38" s="373"/>
      <c r="BE38" s="374"/>
      <c r="BF38" s="372"/>
      <c r="BG38" s="372"/>
      <c r="BH38" s="372"/>
      <c r="BI38" s="371"/>
      <c r="BJ38" s="375"/>
      <c r="BK38" s="372"/>
      <c r="BL38" s="372"/>
      <c r="BM38" s="372"/>
      <c r="BN38" s="373"/>
      <c r="BO38" s="374"/>
      <c r="BP38" s="372"/>
      <c r="BQ38" s="372"/>
      <c r="BR38" s="372"/>
      <c r="BS38" s="371"/>
      <c r="BT38" s="375"/>
      <c r="BU38" s="372"/>
      <c r="BV38" s="372"/>
      <c r="BW38" s="372"/>
      <c r="BX38" s="373"/>
      <c r="BY38" s="374"/>
      <c r="BZ38" s="372"/>
      <c r="CA38" s="372"/>
      <c r="CB38" s="372"/>
      <c r="CC38" s="371"/>
      <c r="CD38" s="375"/>
      <c r="CE38" s="372"/>
      <c r="CF38" s="372"/>
      <c r="CG38" s="372"/>
      <c r="CH38" s="371"/>
      <c r="CI38" s="375"/>
      <c r="CJ38" s="372"/>
      <c r="CK38" s="372"/>
      <c r="CL38" s="372"/>
      <c r="CM38" s="373"/>
    </row>
    <row r="39" spans="1:91" ht="25.5" customHeight="1" thickBot="1">
      <c r="A39" s="391">
        <v>4232</v>
      </c>
      <c r="B39" s="392" t="s">
        <v>11</v>
      </c>
      <c r="C39" s="392" t="s">
        <v>44</v>
      </c>
      <c r="D39" s="392" t="s">
        <v>76</v>
      </c>
      <c r="E39" s="393" t="s">
        <v>53</v>
      </c>
      <c r="F39" s="392"/>
      <c r="G39" s="393" t="s">
        <v>1032</v>
      </c>
      <c r="H39" s="394" t="s">
        <v>54</v>
      </c>
      <c r="I39" s="395"/>
      <c r="J39" s="393"/>
      <c r="K39" s="396"/>
      <c r="L39" s="397" t="s">
        <v>78</v>
      </c>
      <c r="M39" s="392" t="s">
        <v>77</v>
      </c>
      <c r="N39" s="392"/>
      <c r="O39" s="392" t="s">
        <v>77</v>
      </c>
      <c r="P39" s="398" t="s">
        <v>77</v>
      </c>
      <c r="Q39" s="397"/>
      <c r="R39" s="392"/>
      <c r="S39" s="392"/>
      <c r="T39" s="392"/>
      <c r="U39" s="399" t="s">
        <v>80</v>
      </c>
      <c r="V39" s="391"/>
      <c r="W39" s="393"/>
      <c r="X39" s="393"/>
      <c r="Y39" s="393"/>
      <c r="Z39" s="396"/>
      <c r="AA39" s="400"/>
      <c r="AB39" s="393"/>
      <c r="AC39" s="393"/>
      <c r="AD39" s="393"/>
      <c r="AE39" s="394"/>
      <c r="AF39" s="395"/>
      <c r="AG39" s="393"/>
      <c r="AH39" s="393"/>
      <c r="AI39" s="393"/>
      <c r="AJ39" s="396"/>
      <c r="AK39" s="400"/>
      <c r="AL39" s="393"/>
      <c r="AM39" s="393"/>
      <c r="AN39" s="393"/>
      <c r="AO39" s="394"/>
      <c r="AP39" s="395"/>
      <c r="AQ39" s="393"/>
      <c r="AR39" s="393"/>
      <c r="AS39" s="393"/>
      <c r="AT39" s="396"/>
      <c r="AU39" s="400"/>
      <c r="AV39" s="393"/>
      <c r="AW39" s="393"/>
      <c r="AX39" s="393"/>
      <c r="AY39" s="394"/>
      <c r="AZ39" s="395"/>
      <c r="BA39" s="393"/>
      <c r="BB39" s="393"/>
      <c r="BC39" s="393"/>
      <c r="BD39" s="396"/>
      <c r="BE39" s="400"/>
      <c r="BF39" s="393"/>
      <c r="BG39" s="393"/>
      <c r="BH39" s="393"/>
      <c r="BI39" s="394"/>
      <c r="BJ39" s="395"/>
      <c r="BK39" s="393"/>
      <c r="BL39" s="393"/>
      <c r="BM39" s="393"/>
      <c r="BN39" s="396"/>
      <c r="BO39" s="400"/>
      <c r="BP39" s="393"/>
      <c r="BQ39" s="393"/>
      <c r="BR39" s="393"/>
      <c r="BS39" s="394"/>
      <c r="BT39" s="395"/>
      <c r="BU39" s="393"/>
      <c r="BV39" s="393"/>
      <c r="BW39" s="393"/>
      <c r="BX39" s="396"/>
      <c r="BY39" s="400"/>
      <c r="BZ39" s="393"/>
      <c r="CA39" s="393"/>
      <c r="CB39" s="393"/>
      <c r="CC39" s="394"/>
      <c r="CD39" s="395"/>
      <c r="CE39" s="393"/>
      <c r="CF39" s="393"/>
      <c r="CG39" s="393"/>
      <c r="CH39" s="394"/>
      <c r="CI39" s="395"/>
      <c r="CJ39" s="393"/>
      <c r="CK39" s="393"/>
      <c r="CL39" s="393"/>
      <c r="CM39" s="396"/>
    </row>
    <row r="40" spans="1:91" ht="25.5" customHeight="1">
      <c r="A40" s="401">
        <v>4233</v>
      </c>
      <c r="B40" s="402" t="s">
        <v>11</v>
      </c>
      <c r="C40" s="402" t="s">
        <v>44</v>
      </c>
      <c r="D40" s="402" t="s">
        <v>76</v>
      </c>
      <c r="E40" s="403" t="s">
        <v>53</v>
      </c>
      <c r="F40" s="402"/>
      <c r="G40" s="403" t="s">
        <v>1034</v>
      </c>
      <c r="H40" s="404" t="s">
        <v>54</v>
      </c>
      <c r="I40" s="405"/>
      <c r="J40" s="403"/>
      <c r="K40" s="406"/>
      <c r="L40" s="407" t="s">
        <v>78</v>
      </c>
      <c r="M40" s="402" t="s">
        <v>77</v>
      </c>
      <c r="N40" s="402"/>
      <c r="O40" s="402" t="s">
        <v>77</v>
      </c>
      <c r="P40" s="408" t="s">
        <v>77</v>
      </c>
      <c r="Q40" s="407"/>
      <c r="R40" s="402"/>
      <c r="S40" s="402"/>
      <c r="T40" s="402"/>
      <c r="U40" s="409" t="s">
        <v>80</v>
      </c>
      <c r="V40" s="401"/>
      <c r="W40" s="403"/>
      <c r="X40" s="403"/>
      <c r="Y40" s="403"/>
      <c r="Z40" s="406"/>
      <c r="AA40" s="410"/>
      <c r="AB40" s="403"/>
      <c r="AC40" s="403"/>
      <c r="AD40" s="403"/>
      <c r="AE40" s="404"/>
      <c r="AF40" s="405"/>
      <c r="AG40" s="403"/>
      <c r="AH40" s="403"/>
      <c r="AI40" s="403"/>
      <c r="AJ40" s="406"/>
      <c r="AK40" s="410"/>
      <c r="AL40" s="403"/>
      <c r="AM40" s="403"/>
      <c r="AN40" s="403"/>
      <c r="AO40" s="404"/>
      <c r="AP40" s="405"/>
      <c r="AQ40" s="403"/>
      <c r="AR40" s="403"/>
      <c r="AS40" s="403"/>
      <c r="AT40" s="406"/>
      <c r="AU40" s="410"/>
      <c r="AV40" s="403"/>
      <c r="AW40" s="403"/>
      <c r="AX40" s="403"/>
      <c r="AY40" s="404"/>
      <c r="AZ40" s="405"/>
      <c r="BA40" s="403"/>
      <c r="BB40" s="403"/>
      <c r="BC40" s="403"/>
      <c r="BD40" s="406"/>
      <c r="BE40" s="410"/>
      <c r="BF40" s="403"/>
      <c r="BG40" s="403"/>
      <c r="BH40" s="403"/>
      <c r="BI40" s="404"/>
      <c r="BJ40" s="405"/>
      <c r="BK40" s="403"/>
      <c r="BL40" s="403"/>
      <c r="BM40" s="403"/>
      <c r="BN40" s="406"/>
      <c r="BO40" s="410"/>
      <c r="BP40" s="403"/>
      <c r="BQ40" s="403"/>
      <c r="BR40" s="403"/>
      <c r="BS40" s="404"/>
      <c r="BT40" s="405"/>
      <c r="BU40" s="403"/>
      <c r="BV40" s="403"/>
      <c r="BW40" s="403"/>
      <c r="BX40" s="406"/>
      <c r="BY40" s="410"/>
      <c r="BZ40" s="403"/>
      <c r="CA40" s="403"/>
      <c r="CB40" s="403"/>
      <c r="CC40" s="404"/>
      <c r="CD40" s="405"/>
      <c r="CE40" s="403"/>
      <c r="CF40" s="403"/>
      <c r="CG40" s="403"/>
      <c r="CH40" s="404"/>
      <c r="CI40" s="405"/>
      <c r="CJ40" s="403"/>
      <c r="CK40" s="403"/>
      <c r="CL40" s="403"/>
      <c r="CM40" s="406"/>
    </row>
    <row r="41" spans="1:91" ht="25.5" customHeight="1">
      <c r="A41" s="386">
        <v>4234</v>
      </c>
      <c r="B41" s="387" t="s">
        <v>11</v>
      </c>
      <c r="C41" s="387" t="s">
        <v>44</v>
      </c>
      <c r="D41" s="387" t="s">
        <v>76</v>
      </c>
      <c r="E41" s="372" t="s">
        <v>53</v>
      </c>
      <c r="F41" s="387"/>
      <c r="G41" s="372" t="s">
        <v>1036</v>
      </c>
      <c r="H41" s="371" t="s">
        <v>54</v>
      </c>
      <c r="I41" s="375"/>
      <c r="J41" s="372"/>
      <c r="K41" s="373"/>
      <c r="L41" s="388" t="s">
        <v>78</v>
      </c>
      <c r="M41" s="387" t="s">
        <v>77</v>
      </c>
      <c r="N41" s="387"/>
      <c r="O41" s="387" t="s">
        <v>77</v>
      </c>
      <c r="P41" s="389" t="s">
        <v>77</v>
      </c>
      <c r="Q41" s="388"/>
      <c r="R41" s="387"/>
      <c r="S41" s="387"/>
      <c r="T41" s="387"/>
      <c r="U41" s="390" t="s">
        <v>80</v>
      </c>
      <c r="V41" s="386"/>
      <c r="W41" s="372"/>
      <c r="X41" s="372"/>
      <c r="Y41" s="372"/>
      <c r="Z41" s="373"/>
      <c r="AA41" s="374"/>
      <c r="AB41" s="372"/>
      <c r="AC41" s="372"/>
      <c r="AD41" s="372"/>
      <c r="AE41" s="371"/>
      <c r="AF41" s="375"/>
      <c r="AG41" s="372"/>
      <c r="AH41" s="372"/>
      <c r="AI41" s="372"/>
      <c r="AJ41" s="373"/>
      <c r="AK41" s="374"/>
      <c r="AL41" s="372"/>
      <c r="AM41" s="372"/>
      <c r="AN41" s="372"/>
      <c r="AO41" s="371"/>
      <c r="AP41" s="375"/>
      <c r="AQ41" s="372"/>
      <c r="AR41" s="372"/>
      <c r="AS41" s="372"/>
      <c r="AT41" s="373"/>
      <c r="AU41" s="374"/>
      <c r="AV41" s="372"/>
      <c r="AW41" s="372"/>
      <c r="AX41" s="372"/>
      <c r="AY41" s="371"/>
      <c r="AZ41" s="375"/>
      <c r="BA41" s="372"/>
      <c r="BB41" s="372"/>
      <c r="BC41" s="372"/>
      <c r="BD41" s="373"/>
      <c r="BE41" s="374"/>
      <c r="BF41" s="372"/>
      <c r="BG41" s="372"/>
      <c r="BH41" s="372"/>
      <c r="BI41" s="371"/>
      <c r="BJ41" s="375"/>
      <c r="BK41" s="372"/>
      <c r="BL41" s="372"/>
      <c r="BM41" s="372"/>
      <c r="BN41" s="373"/>
      <c r="BO41" s="374"/>
      <c r="BP41" s="372"/>
      <c r="BQ41" s="372"/>
      <c r="BR41" s="372"/>
      <c r="BS41" s="371"/>
      <c r="BT41" s="375"/>
      <c r="BU41" s="372"/>
      <c r="BV41" s="372"/>
      <c r="BW41" s="372"/>
      <c r="BX41" s="373"/>
      <c r="BY41" s="374"/>
      <c r="BZ41" s="372"/>
      <c r="CA41" s="372"/>
      <c r="CB41" s="372"/>
      <c r="CC41" s="371"/>
      <c r="CD41" s="375"/>
      <c r="CE41" s="372"/>
      <c r="CF41" s="372"/>
      <c r="CG41" s="372"/>
      <c r="CH41" s="371"/>
      <c r="CI41" s="375"/>
      <c r="CJ41" s="372"/>
      <c r="CK41" s="372"/>
      <c r="CL41" s="372"/>
      <c r="CM41" s="373"/>
    </row>
    <row r="42" spans="1:91" ht="25.5" customHeight="1">
      <c r="A42" s="386">
        <v>4235</v>
      </c>
      <c r="B42" s="387" t="s">
        <v>11</v>
      </c>
      <c r="C42" s="387" t="s">
        <v>44</v>
      </c>
      <c r="D42" s="387" t="s">
        <v>76</v>
      </c>
      <c r="E42" s="372" t="s">
        <v>53</v>
      </c>
      <c r="F42" s="387"/>
      <c r="G42" s="372" t="s">
        <v>1038</v>
      </c>
      <c r="H42" s="371" t="s">
        <v>54</v>
      </c>
      <c r="I42" s="375"/>
      <c r="J42" s="372"/>
      <c r="K42" s="373"/>
      <c r="L42" s="388" t="s">
        <v>78</v>
      </c>
      <c r="M42" s="387" t="s">
        <v>77</v>
      </c>
      <c r="N42" s="387"/>
      <c r="O42" s="387" t="s">
        <v>77</v>
      </c>
      <c r="P42" s="389" t="s">
        <v>77</v>
      </c>
      <c r="Q42" s="388"/>
      <c r="R42" s="387"/>
      <c r="S42" s="387"/>
      <c r="T42" s="387"/>
      <c r="U42" s="390" t="s">
        <v>80</v>
      </c>
      <c r="V42" s="386"/>
      <c r="W42" s="372"/>
      <c r="X42" s="372"/>
      <c r="Y42" s="372"/>
      <c r="Z42" s="373"/>
      <c r="AA42" s="374"/>
      <c r="AB42" s="372"/>
      <c r="AC42" s="372"/>
      <c r="AD42" s="372"/>
      <c r="AE42" s="371"/>
      <c r="AF42" s="375"/>
      <c r="AG42" s="372"/>
      <c r="AH42" s="372"/>
      <c r="AI42" s="372"/>
      <c r="AJ42" s="373"/>
      <c r="AK42" s="374"/>
      <c r="AL42" s="372"/>
      <c r="AM42" s="372"/>
      <c r="AN42" s="372"/>
      <c r="AO42" s="371"/>
      <c r="AP42" s="375"/>
      <c r="AQ42" s="372"/>
      <c r="AR42" s="372"/>
      <c r="AS42" s="372"/>
      <c r="AT42" s="373"/>
      <c r="AU42" s="374"/>
      <c r="AV42" s="372"/>
      <c r="AW42" s="372"/>
      <c r="AX42" s="372"/>
      <c r="AY42" s="371"/>
      <c r="AZ42" s="375"/>
      <c r="BA42" s="372"/>
      <c r="BB42" s="372"/>
      <c r="BC42" s="372"/>
      <c r="BD42" s="373"/>
      <c r="BE42" s="374"/>
      <c r="BF42" s="372"/>
      <c r="BG42" s="372"/>
      <c r="BH42" s="372"/>
      <c r="BI42" s="371"/>
      <c r="BJ42" s="375"/>
      <c r="BK42" s="372"/>
      <c r="BL42" s="372"/>
      <c r="BM42" s="372"/>
      <c r="BN42" s="373"/>
      <c r="BO42" s="374"/>
      <c r="BP42" s="372"/>
      <c r="BQ42" s="372"/>
      <c r="BR42" s="372"/>
      <c r="BS42" s="371"/>
      <c r="BT42" s="375"/>
      <c r="BU42" s="372"/>
      <c r="BV42" s="372"/>
      <c r="BW42" s="372"/>
      <c r="BX42" s="373"/>
      <c r="BY42" s="374"/>
      <c r="BZ42" s="372"/>
      <c r="CA42" s="372"/>
      <c r="CB42" s="372"/>
      <c r="CC42" s="371"/>
      <c r="CD42" s="375"/>
      <c r="CE42" s="372"/>
      <c r="CF42" s="372"/>
      <c r="CG42" s="372"/>
      <c r="CH42" s="371"/>
      <c r="CI42" s="375"/>
      <c r="CJ42" s="372"/>
      <c r="CK42" s="372"/>
      <c r="CL42" s="372"/>
      <c r="CM42" s="373"/>
    </row>
    <row r="43" spans="1:91" ht="25.5" customHeight="1">
      <c r="A43" s="386">
        <v>4236</v>
      </c>
      <c r="B43" s="387" t="s">
        <v>11</v>
      </c>
      <c r="C43" s="387" t="s">
        <v>44</v>
      </c>
      <c r="D43" s="387" t="s">
        <v>76</v>
      </c>
      <c r="E43" s="372" t="s">
        <v>53</v>
      </c>
      <c r="F43" s="387"/>
      <c r="G43" s="372" t="s">
        <v>1040</v>
      </c>
      <c r="H43" s="371" t="s">
        <v>54</v>
      </c>
      <c r="I43" s="375"/>
      <c r="J43" s="372"/>
      <c r="K43" s="373"/>
      <c r="L43" s="388" t="s">
        <v>78</v>
      </c>
      <c r="M43" s="387" t="s">
        <v>77</v>
      </c>
      <c r="N43" s="387"/>
      <c r="O43" s="387" t="s">
        <v>77</v>
      </c>
      <c r="P43" s="389" t="s">
        <v>77</v>
      </c>
      <c r="Q43" s="388"/>
      <c r="R43" s="387"/>
      <c r="S43" s="387"/>
      <c r="T43" s="387"/>
      <c r="U43" s="390" t="s">
        <v>80</v>
      </c>
      <c r="V43" s="386"/>
      <c r="W43" s="372"/>
      <c r="X43" s="372"/>
      <c r="Y43" s="372"/>
      <c r="Z43" s="373"/>
      <c r="AA43" s="374"/>
      <c r="AB43" s="372"/>
      <c r="AC43" s="372"/>
      <c r="AD43" s="372"/>
      <c r="AE43" s="371"/>
      <c r="AF43" s="375"/>
      <c r="AG43" s="372"/>
      <c r="AH43" s="372"/>
      <c r="AI43" s="372"/>
      <c r="AJ43" s="373"/>
      <c r="AK43" s="374"/>
      <c r="AL43" s="372"/>
      <c r="AM43" s="372"/>
      <c r="AN43" s="372"/>
      <c r="AO43" s="371"/>
      <c r="AP43" s="375"/>
      <c r="AQ43" s="372"/>
      <c r="AR43" s="372"/>
      <c r="AS43" s="372"/>
      <c r="AT43" s="373"/>
      <c r="AU43" s="374"/>
      <c r="AV43" s="372"/>
      <c r="AW43" s="372"/>
      <c r="AX43" s="372"/>
      <c r="AY43" s="371"/>
      <c r="AZ43" s="375"/>
      <c r="BA43" s="372"/>
      <c r="BB43" s="372"/>
      <c r="BC43" s="372"/>
      <c r="BD43" s="373"/>
      <c r="BE43" s="374"/>
      <c r="BF43" s="372"/>
      <c r="BG43" s="372"/>
      <c r="BH43" s="372"/>
      <c r="BI43" s="371"/>
      <c r="BJ43" s="375"/>
      <c r="BK43" s="372"/>
      <c r="BL43" s="372"/>
      <c r="BM43" s="372"/>
      <c r="BN43" s="373"/>
      <c r="BO43" s="374"/>
      <c r="BP43" s="372"/>
      <c r="BQ43" s="372"/>
      <c r="BR43" s="372"/>
      <c r="BS43" s="371"/>
      <c r="BT43" s="375"/>
      <c r="BU43" s="372"/>
      <c r="BV43" s="372"/>
      <c r="BW43" s="372"/>
      <c r="BX43" s="373"/>
      <c r="BY43" s="374"/>
      <c r="BZ43" s="372"/>
      <c r="CA43" s="372"/>
      <c r="CB43" s="372"/>
      <c r="CC43" s="371"/>
      <c r="CD43" s="375"/>
      <c r="CE43" s="372"/>
      <c r="CF43" s="372"/>
      <c r="CG43" s="372"/>
      <c r="CH43" s="371"/>
      <c r="CI43" s="375"/>
      <c r="CJ43" s="372"/>
      <c r="CK43" s="372"/>
      <c r="CL43" s="372"/>
      <c r="CM43" s="373"/>
    </row>
    <row r="44" spans="1:91" ht="25.5" customHeight="1" thickBot="1">
      <c r="A44" s="411">
        <v>4237</v>
      </c>
      <c r="B44" s="412" t="s">
        <v>11</v>
      </c>
      <c r="C44" s="412" t="s">
        <v>44</v>
      </c>
      <c r="D44" s="412" t="s">
        <v>76</v>
      </c>
      <c r="E44" s="377" t="s">
        <v>53</v>
      </c>
      <c r="F44" s="412"/>
      <c r="G44" s="377" t="s">
        <v>1042</v>
      </c>
      <c r="H44" s="376" t="s">
        <v>54</v>
      </c>
      <c r="I44" s="380"/>
      <c r="J44" s="377"/>
      <c r="K44" s="378"/>
      <c r="L44" s="413" t="s">
        <v>78</v>
      </c>
      <c r="M44" s="412" t="s">
        <v>77</v>
      </c>
      <c r="N44" s="412"/>
      <c r="O44" s="412" t="s">
        <v>77</v>
      </c>
      <c r="P44" s="414" t="s">
        <v>77</v>
      </c>
      <c r="Q44" s="413"/>
      <c r="R44" s="412"/>
      <c r="S44" s="412"/>
      <c r="T44" s="412"/>
      <c r="U44" s="415" t="s">
        <v>80</v>
      </c>
      <c r="V44" s="411"/>
      <c r="W44" s="377"/>
      <c r="X44" s="377"/>
      <c r="Y44" s="377"/>
      <c r="Z44" s="378"/>
      <c r="AA44" s="379"/>
      <c r="AB44" s="377"/>
      <c r="AC44" s="377"/>
      <c r="AD44" s="377"/>
      <c r="AE44" s="376"/>
      <c r="AF44" s="380"/>
      <c r="AG44" s="377"/>
      <c r="AH44" s="377"/>
      <c r="AI44" s="377"/>
      <c r="AJ44" s="378"/>
      <c r="AK44" s="379"/>
      <c r="AL44" s="377"/>
      <c r="AM44" s="377"/>
      <c r="AN44" s="377"/>
      <c r="AO44" s="376"/>
      <c r="AP44" s="380"/>
      <c r="AQ44" s="377"/>
      <c r="AR44" s="377"/>
      <c r="AS44" s="377"/>
      <c r="AT44" s="378"/>
      <c r="AU44" s="379"/>
      <c r="AV44" s="377"/>
      <c r="AW44" s="377"/>
      <c r="AX44" s="377"/>
      <c r="AY44" s="376"/>
      <c r="AZ44" s="380"/>
      <c r="BA44" s="377"/>
      <c r="BB44" s="377"/>
      <c r="BC44" s="377"/>
      <c r="BD44" s="378"/>
      <c r="BE44" s="379"/>
      <c r="BF44" s="377"/>
      <c r="BG44" s="377"/>
      <c r="BH44" s="377"/>
      <c r="BI44" s="376"/>
      <c r="BJ44" s="380"/>
      <c r="BK44" s="377"/>
      <c r="BL44" s="377"/>
      <c r="BM44" s="377"/>
      <c r="BN44" s="378"/>
      <c r="BO44" s="379"/>
      <c r="BP44" s="377"/>
      <c r="BQ44" s="377"/>
      <c r="BR44" s="377"/>
      <c r="BS44" s="376"/>
      <c r="BT44" s="380"/>
      <c r="BU44" s="377"/>
      <c r="BV44" s="377"/>
      <c r="BW44" s="377"/>
      <c r="BX44" s="378"/>
      <c r="BY44" s="379"/>
      <c r="BZ44" s="377"/>
      <c r="CA44" s="377"/>
      <c r="CB44" s="377"/>
      <c r="CC44" s="376"/>
      <c r="CD44" s="380"/>
      <c r="CE44" s="377"/>
      <c r="CF44" s="377"/>
      <c r="CG44" s="377"/>
      <c r="CH44" s="376"/>
      <c r="CI44" s="380"/>
      <c r="CJ44" s="377"/>
      <c r="CK44" s="377"/>
      <c r="CL44" s="377"/>
      <c r="CM44" s="378"/>
    </row>
    <row r="45" spans="1:91" ht="25.5" customHeight="1">
      <c r="A45" s="416">
        <v>4238</v>
      </c>
      <c r="B45" s="417" t="s">
        <v>11</v>
      </c>
      <c r="C45" s="417" t="s">
        <v>44</v>
      </c>
      <c r="D45" s="417" t="s">
        <v>76</v>
      </c>
      <c r="E45" s="381" t="s">
        <v>53</v>
      </c>
      <c r="F45" s="417"/>
      <c r="G45" s="381" t="s">
        <v>1044</v>
      </c>
      <c r="H45" s="384" t="s">
        <v>54</v>
      </c>
      <c r="I45" s="385"/>
      <c r="J45" s="381"/>
      <c r="K45" s="382"/>
      <c r="L45" s="418" t="s">
        <v>78</v>
      </c>
      <c r="M45" s="417" t="s">
        <v>77</v>
      </c>
      <c r="N45" s="417"/>
      <c r="O45" s="417" t="s">
        <v>77</v>
      </c>
      <c r="P45" s="419" t="s">
        <v>77</v>
      </c>
      <c r="Q45" s="418"/>
      <c r="R45" s="417"/>
      <c r="S45" s="417"/>
      <c r="T45" s="417"/>
      <c r="U45" s="420" t="s">
        <v>80</v>
      </c>
      <c r="V45" s="416"/>
      <c r="W45" s="381"/>
      <c r="X45" s="381"/>
      <c r="Y45" s="381"/>
      <c r="Z45" s="382"/>
      <c r="AA45" s="383"/>
      <c r="AB45" s="381"/>
      <c r="AC45" s="381"/>
      <c r="AD45" s="381"/>
      <c r="AE45" s="384"/>
      <c r="AF45" s="385"/>
      <c r="AG45" s="381"/>
      <c r="AH45" s="381"/>
      <c r="AI45" s="381"/>
      <c r="AJ45" s="382"/>
      <c r="AK45" s="383"/>
      <c r="AL45" s="381"/>
      <c r="AM45" s="381"/>
      <c r="AN45" s="381"/>
      <c r="AO45" s="384"/>
      <c r="AP45" s="385"/>
      <c r="AQ45" s="381"/>
      <c r="AR45" s="381"/>
      <c r="AS45" s="381"/>
      <c r="AT45" s="382"/>
      <c r="AU45" s="383"/>
      <c r="AV45" s="381"/>
      <c r="AW45" s="381"/>
      <c r="AX45" s="381"/>
      <c r="AY45" s="384"/>
      <c r="AZ45" s="385"/>
      <c r="BA45" s="381"/>
      <c r="BB45" s="381"/>
      <c r="BC45" s="381"/>
      <c r="BD45" s="382"/>
      <c r="BE45" s="383"/>
      <c r="BF45" s="381"/>
      <c r="BG45" s="381"/>
      <c r="BH45" s="381"/>
      <c r="BI45" s="384"/>
      <c r="BJ45" s="385"/>
      <c r="BK45" s="381"/>
      <c r="BL45" s="381"/>
      <c r="BM45" s="381"/>
      <c r="BN45" s="382"/>
      <c r="BO45" s="383"/>
      <c r="BP45" s="381"/>
      <c r="BQ45" s="381"/>
      <c r="BR45" s="381"/>
      <c r="BS45" s="384"/>
      <c r="BT45" s="385"/>
      <c r="BU45" s="381"/>
      <c r="BV45" s="381"/>
      <c r="BW45" s="381"/>
      <c r="BX45" s="382"/>
      <c r="BY45" s="383"/>
      <c r="BZ45" s="381"/>
      <c r="CA45" s="381"/>
      <c r="CB45" s="381"/>
      <c r="CC45" s="384"/>
      <c r="CD45" s="385"/>
      <c r="CE45" s="381"/>
      <c r="CF45" s="381"/>
      <c r="CG45" s="381"/>
      <c r="CH45" s="384"/>
      <c r="CI45" s="385"/>
      <c r="CJ45" s="381"/>
      <c r="CK45" s="381"/>
      <c r="CL45" s="381"/>
      <c r="CM45" s="382"/>
    </row>
    <row r="46" spans="1:91" ht="25.5" customHeight="1">
      <c r="A46" s="386">
        <v>4239</v>
      </c>
      <c r="B46" s="387" t="s">
        <v>11</v>
      </c>
      <c r="C46" s="387" t="s">
        <v>44</v>
      </c>
      <c r="D46" s="387" t="s">
        <v>76</v>
      </c>
      <c r="E46" s="372" t="s">
        <v>53</v>
      </c>
      <c r="F46" s="387"/>
      <c r="G46" s="372" t="s">
        <v>1046</v>
      </c>
      <c r="H46" s="371" t="s">
        <v>54</v>
      </c>
      <c r="I46" s="375"/>
      <c r="J46" s="372"/>
      <c r="K46" s="373"/>
      <c r="L46" s="388" t="s">
        <v>78</v>
      </c>
      <c r="M46" s="387" t="s">
        <v>77</v>
      </c>
      <c r="N46" s="387"/>
      <c r="O46" s="387" t="s">
        <v>77</v>
      </c>
      <c r="P46" s="389" t="s">
        <v>77</v>
      </c>
      <c r="Q46" s="388"/>
      <c r="R46" s="387"/>
      <c r="S46" s="387"/>
      <c r="T46" s="387"/>
      <c r="U46" s="390" t="s">
        <v>80</v>
      </c>
      <c r="V46" s="386"/>
      <c r="W46" s="372"/>
      <c r="X46" s="372"/>
      <c r="Y46" s="372"/>
      <c r="Z46" s="373"/>
      <c r="AA46" s="374"/>
      <c r="AB46" s="372"/>
      <c r="AC46" s="372"/>
      <c r="AD46" s="372"/>
      <c r="AE46" s="371"/>
      <c r="AF46" s="375"/>
      <c r="AG46" s="372"/>
      <c r="AH46" s="372"/>
      <c r="AI46" s="372"/>
      <c r="AJ46" s="373"/>
      <c r="AK46" s="374"/>
      <c r="AL46" s="372"/>
      <c r="AM46" s="372"/>
      <c r="AN46" s="372"/>
      <c r="AO46" s="371"/>
      <c r="AP46" s="375"/>
      <c r="AQ46" s="372"/>
      <c r="AR46" s="372"/>
      <c r="AS46" s="372"/>
      <c r="AT46" s="373"/>
      <c r="AU46" s="374"/>
      <c r="AV46" s="372"/>
      <c r="AW46" s="372"/>
      <c r="AX46" s="372"/>
      <c r="AY46" s="371"/>
      <c r="AZ46" s="375"/>
      <c r="BA46" s="372"/>
      <c r="BB46" s="372"/>
      <c r="BC46" s="372"/>
      <c r="BD46" s="373"/>
      <c r="BE46" s="374"/>
      <c r="BF46" s="372"/>
      <c r="BG46" s="372"/>
      <c r="BH46" s="372"/>
      <c r="BI46" s="371"/>
      <c r="BJ46" s="375"/>
      <c r="BK46" s="372"/>
      <c r="BL46" s="372"/>
      <c r="BM46" s="372"/>
      <c r="BN46" s="373"/>
      <c r="BO46" s="374"/>
      <c r="BP46" s="372"/>
      <c r="BQ46" s="372"/>
      <c r="BR46" s="372"/>
      <c r="BS46" s="371"/>
      <c r="BT46" s="375"/>
      <c r="BU46" s="372"/>
      <c r="BV46" s="372"/>
      <c r="BW46" s="372"/>
      <c r="BX46" s="373"/>
      <c r="BY46" s="374"/>
      <c r="BZ46" s="372"/>
      <c r="CA46" s="372"/>
      <c r="CB46" s="372"/>
      <c r="CC46" s="371"/>
      <c r="CD46" s="375"/>
      <c r="CE46" s="372"/>
      <c r="CF46" s="372"/>
      <c r="CG46" s="372"/>
      <c r="CH46" s="371"/>
      <c r="CI46" s="375"/>
      <c r="CJ46" s="372"/>
      <c r="CK46" s="372"/>
      <c r="CL46" s="372"/>
      <c r="CM46" s="373"/>
    </row>
    <row r="47" spans="1:91" ht="25.5" customHeight="1">
      <c r="A47" s="386">
        <v>4240</v>
      </c>
      <c r="B47" s="387" t="s">
        <v>11</v>
      </c>
      <c r="C47" s="387" t="s">
        <v>44</v>
      </c>
      <c r="D47" s="387" t="s">
        <v>76</v>
      </c>
      <c r="E47" s="372" t="s">
        <v>53</v>
      </c>
      <c r="F47" s="387"/>
      <c r="G47" s="372" t="s">
        <v>1048</v>
      </c>
      <c r="H47" s="371" t="s">
        <v>54</v>
      </c>
      <c r="I47" s="375"/>
      <c r="J47" s="372"/>
      <c r="K47" s="373"/>
      <c r="L47" s="388" t="s">
        <v>78</v>
      </c>
      <c r="M47" s="387" t="s">
        <v>77</v>
      </c>
      <c r="N47" s="387"/>
      <c r="O47" s="387" t="s">
        <v>77</v>
      </c>
      <c r="P47" s="389" t="s">
        <v>77</v>
      </c>
      <c r="Q47" s="388"/>
      <c r="R47" s="387"/>
      <c r="S47" s="387"/>
      <c r="T47" s="387"/>
      <c r="U47" s="390" t="s">
        <v>80</v>
      </c>
      <c r="V47" s="386"/>
      <c r="W47" s="372"/>
      <c r="X47" s="372"/>
      <c r="Y47" s="372"/>
      <c r="Z47" s="373"/>
      <c r="AA47" s="374"/>
      <c r="AB47" s="372"/>
      <c r="AC47" s="372"/>
      <c r="AD47" s="372"/>
      <c r="AE47" s="371"/>
      <c r="AF47" s="375"/>
      <c r="AG47" s="372"/>
      <c r="AH47" s="372"/>
      <c r="AI47" s="372"/>
      <c r="AJ47" s="373"/>
      <c r="AK47" s="374"/>
      <c r="AL47" s="372"/>
      <c r="AM47" s="372"/>
      <c r="AN47" s="372"/>
      <c r="AO47" s="371"/>
      <c r="AP47" s="375"/>
      <c r="AQ47" s="372"/>
      <c r="AR47" s="372"/>
      <c r="AS47" s="372"/>
      <c r="AT47" s="373"/>
      <c r="AU47" s="374"/>
      <c r="AV47" s="372"/>
      <c r="AW47" s="372"/>
      <c r="AX47" s="372"/>
      <c r="AY47" s="371"/>
      <c r="AZ47" s="375"/>
      <c r="BA47" s="372"/>
      <c r="BB47" s="372"/>
      <c r="BC47" s="372"/>
      <c r="BD47" s="373"/>
      <c r="BE47" s="374"/>
      <c r="BF47" s="372"/>
      <c r="BG47" s="372"/>
      <c r="BH47" s="372"/>
      <c r="BI47" s="371"/>
      <c r="BJ47" s="375"/>
      <c r="BK47" s="372"/>
      <c r="BL47" s="372"/>
      <c r="BM47" s="372"/>
      <c r="BN47" s="373"/>
      <c r="BO47" s="374"/>
      <c r="BP47" s="372"/>
      <c r="BQ47" s="372"/>
      <c r="BR47" s="372"/>
      <c r="BS47" s="371"/>
      <c r="BT47" s="375"/>
      <c r="BU47" s="372"/>
      <c r="BV47" s="372"/>
      <c r="BW47" s="372"/>
      <c r="BX47" s="373"/>
      <c r="BY47" s="374"/>
      <c r="BZ47" s="372"/>
      <c r="CA47" s="372"/>
      <c r="CB47" s="372"/>
      <c r="CC47" s="371"/>
      <c r="CD47" s="375"/>
      <c r="CE47" s="372"/>
      <c r="CF47" s="372"/>
      <c r="CG47" s="372"/>
      <c r="CH47" s="371"/>
      <c r="CI47" s="375"/>
      <c r="CJ47" s="372"/>
      <c r="CK47" s="372"/>
      <c r="CL47" s="372"/>
      <c r="CM47" s="373"/>
    </row>
    <row r="48" spans="1:91" ht="25.5" customHeight="1">
      <c r="A48" s="386">
        <v>4241</v>
      </c>
      <c r="B48" s="387" t="s">
        <v>11</v>
      </c>
      <c r="C48" s="387" t="s">
        <v>44</v>
      </c>
      <c r="D48" s="387" t="s">
        <v>76</v>
      </c>
      <c r="E48" s="372" t="s">
        <v>53</v>
      </c>
      <c r="F48" s="387"/>
      <c r="G48" s="372" t="s">
        <v>1050</v>
      </c>
      <c r="H48" s="371" t="s">
        <v>54</v>
      </c>
      <c r="I48" s="375"/>
      <c r="J48" s="372"/>
      <c r="K48" s="373"/>
      <c r="L48" s="388" t="s">
        <v>78</v>
      </c>
      <c r="M48" s="387" t="s">
        <v>77</v>
      </c>
      <c r="N48" s="387"/>
      <c r="O48" s="387" t="s">
        <v>77</v>
      </c>
      <c r="P48" s="389" t="s">
        <v>77</v>
      </c>
      <c r="Q48" s="388"/>
      <c r="R48" s="387"/>
      <c r="S48" s="387"/>
      <c r="T48" s="387"/>
      <c r="U48" s="390" t="s">
        <v>80</v>
      </c>
      <c r="V48" s="386"/>
      <c r="W48" s="372"/>
      <c r="X48" s="372"/>
      <c r="Y48" s="372"/>
      <c r="Z48" s="373"/>
      <c r="AA48" s="374"/>
      <c r="AB48" s="372"/>
      <c r="AC48" s="372"/>
      <c r="AD48" s="372"/>
      <c r="AE48" s="371"/>
      <c r="AF48" s="375"/>
      <c r="AG48" s="372"/>
      <c r="AH48" s="372"/>
      <c r="AI48" s="372"/>
      <c r="AJ48" s="373"/>
      <c r="AK48" s="374"/>
      <c r="AL48" s="372"/>
      <c r="AM48" s="372"/>
      <c r="AN48" s="372"/>
      <c r="AO48" s="371"/>
      <c r="AP48" s="375"/>
      <c r="AQ48" s="372"/>
      <c r="AR48" s="372"/>
      <c r="AS48" s="372"/>
      <c r="AT48" s="373"/>
      <c r="AU48" s="374"/>
      <c r="AV48" s="372"/>
      <c r="AW48" s="372"/>
      <c r="AX48" s="372"/>
      <c r="AY48" s="371"/>
      <c r="AZ48" s="375"/>
      <c r="BA48" s="372"/>
      <c r="BB48" s="372"/>
      <c r="BC48" s="372"/>
      <c r="BD48" s="373"/>
      <c r="BE48" s="374"/>
      <c r="BF48" s="372"/>
      <c r="BG48" s="372"/>
      <c r="BH48" s="372"/>
      <c r="BI48" s="371"/>
      <c r="BJ48" s="375"/>
      <c r="BK48" s="372"/>
      <c r="BL48" s="372"/>
      <c r="BM48" s="372"/>
      <c r="BN48" s="373"/>
      <c r="BO48" s="374"/>
      <c r="BP48" s="372"/>
      <c r="BQ48" s="372"/>
      <c r="BR48" s="372"/>
      <c r="BS48" s="371"/>
      <c r="BT48" s="375"/>
      <c r="BU48" s="372"/>
      <c r="BV48" s="372"/>
      <c r="BW48" s="372"/>
      <c r="BX48" s="373"/>
      <c r="BY48" s="374"/>
      <c r="BZ48" s="372"/>
      <c r="CA48" s="372"/>
      <c r="CB48" s="372"/>
      <c r="CC48" s="371"/>
      <c r="CD48" s="375"/>
      <c r="CE48" s="372"/>
      <c r="CF48" s="372"/>
      <c r="CG48" s="372"/>
      <c r="CH48" s="371"/>
      <c r="CI48" s="375"/>
      <c r="CJ48" s="372"/>
      <c r="CK48" s="372"/>
      <c r="CL48" s="372"/>
      <c r="CM48" s="373"/>
    </row>
    <row r="49" spans="1:91" ht="25.5" customHeight="1" thickBot="1">
      <c r="A49" s="391">
        <v>4242</v>
      </c>
      <c r="B49" s="392" t="s">
        <v>11</v>
      </c>
      <c r="C49" s="392" t="s">
        <v>44</v>
      </c>
      <c r="D49" s="392" t="s">
        <v>76</v>
      </c>
      <c r="E49" s="393" t="s">
        <v>53</v>
      </c>
      <c r="F49" s="392"/>
      <c r="G49" s="393" t="s">
        <v>1052</v>
      </c>
      <c r="H49" s="394" t="s">
        <v>54</v>
      </c>
      <c r="I49" s="395"/>
      <c r="J49" s="393"/>
      <c r="K49" s="396"/>
      <c r="L49" s="397" t="s">
        <v>78</v>
      </c>
      <c r="M49" s="392" t="s">
        <v>77</v>
      </c>
      <c r="N49" s="392"/>
      <c r="O49" s="392" t="s">
        <v>77</v>
      </c>
      <c r="P49" s="398" t="s">
        <v>77</v>
      </c>
      <c r="Q49" s="397"/>
      <c r="R49" s="392"/>
      <c r="S49" s="392"/>
      <c r="T49" s="392"/>
      <c r="U49" s="399" t="s">
        <v>80</v>
      </c>
      <c r="V49" s="391"/>
      <c r="W49" s="393"/>
      <c r="X49" s="393"/>
      <c r="Y49" s="393"/>
      <c r="Z49" s="396"/>
      <c r="AA49" s="400"/>
      <c r="AB49" s="393"/>
      <c r="AC49" s="393"/>
      <c r="AD49" s="393"/>
      <c r="AE49" s="394"/>
      <c r="AF49" s="395"/>
      <c r="AG49" s="393"/>
      <c r="AH49" s="393"/>
      <c r="AI49" s="393"/>
      <c r="AJ49" s="396"/>
      <c r="AK49" s="400"/>
      <c r="AL49" s="393"/>
      <c r="AM49" s="393"/>
      <c r="AN49" s="393"/>
      <c r="AO49" s="394"/>
      <c r="AP49" s="395"/>
      <c r="AQ49" s="393"/>
      <c r="AR49" s="393"/>
      <c r="AS49" s="393"/>
      <c r="AT49" s="396"/>
      <c r="AU49" s="400"/>
      <c r="AV49" s="393"/>
      <c r="AW49" s="393"/>
      <c r="AX49" s="393"/>
      <c r="AY49" s="394"/>
      <c r="AZ49" s="395"/>
      <c r="BA49" s="393"/>
      <c r="BB49" s="393"/>
      <c r="BC49" s="393"/>
      <c r="BD49" s="396"/>
      <c r="BE49" s="400"/>
      <c r="BF49" s="393"/>
      <c r="BG49" s="393"/>
      <c r="BH49" s="393"/>
      <c r="BI49" s="394"/>
      <c r="BJ49" s="395"/>
      <c r="BK49" s="393"/>
      <c r="BL49" s="393"/>
      <c r="BM49" s="393"/>
      <c r="BN49" s="396"/>
      <c r="BO49" s="400"/>
      <c r="BP49" s="393"/>
      <c r="BQ49" s="393"/>
      <c r="BR49" s="393"/>
      <c r="BS49" s="394"/>
      <c r="BT49" s="395"/>
      <c r="BU49" s="393"/>
      <c r="BV49" s="393"/>
      <c r="BW49" s="393"/>
      <c r="BX49" s="396"/>
      <c r="BY49" s="400"/>
      <c r="BZ49" s="393"/>
      <c r="CA49" s="393"/>
      <c r="CB49" s="393"/>
      <c r="CC49" s="394"/>
      <c r="CD49" s="395"/>
      <c r="CE49" s="393"/>
      <c r="CF49" s="393"/>
      <c r="CG49" s="393"/>
      <c r="CH49" s="394"/>
      <c r="CI49" s="395"/>
      <c r="CJ49" s="393"/>
      <c r="CK49" s="393"/>
      <c r="CL49" s="393"/>
      <c r="CM49" s="396"/>
    </row>
    <row r="50" spans="1:91" ht="25.5" customHeight="1">
      <c r="A50" s="401">
        <v>4243</v>
      </c>
      <c r="B50" s="402" t="s">
        <v>11</v>
      </c>
      <c r="C50" s="402" t="s">
        <v>44</v>
      </c>
      <c r="D50" s="402" t="s">
        <v>76</v>
      </c>
      <c r="E50" s="403" t="s">
        <v>53</v>
      </c>
      <c r="F50" s="402"/>
      <c r="G50" s="403" t="s">
        <v>1054</v>
      </c>
      <c r="H50" s="404" t="s">
        <v>54</v>
      </c>
      <c r="I50" s="405"/>
      <c r="J50" s="403"/>
      <c r="K50" s="406"/>
      <c r="L50" s="407" t="s">
        <v>78</v>
      </c>
      <c r="M50" s="402" t="s">
        <v>77</v>
      </c>
      <c r="N50" s="402"/>
      <c r="O50" s="402" t="s">
        <v>77</v>
      </c>
      <c r="P50" s="408" t="s">
        <v>77</v>
      </c>
      <c r="Q50" s="407"/>
      <c r="R50" s="402"/>
      <c r="S50" s="402"/>
      <c r="T50" s="402"/>
      <c r="U50" s="409" t="s">
        <v>80</v>
      </c>
      <c r="V50" s="401"/>
      <c r="W50" s="403"/>
      <c r="X50" s="403"/>
      <c r="Y50" s="403"/>
      <c r="Z50" s="406"/>
      <c r="AA50" s="410"/>
      <c r="AB50" s="403"/>
      <c r="AC50" s="403"/>
      <c r="AD50" s="403"/>
      <c r="AE50" s="404"/>
      <c r="AF50" s="405"/>
      <c r="AG50" s="403"/>
      <c r="AH50" s="403"/>
      <c r="AI50" s="403"/>
      <c r="AJ50" s="406"/>
      <c r="AK50" s="410"/>
      <c r="AL50" s="403"/>
      <c r="AM50" s="403"/>
      <c r="AN50" s="403"/>
      <c r="AO50" s="404"/>
      <c r="AP50" s="405"/>
      <c r="AQ50" s="403"/>
      <c r="AR50" s="403"/>
      <c r="AS50" s="403"/>
      <c r="AT50" s="406"/>
      <c r="AU50" s="410"/>
      <c r="AV50" s="403"/>
      <c r="AW50" s="403"/>
      <c r="AX50" s="403"/>
      <c r="AY50" s="404"/>
      <c r="AZ50" s="405"/>
      <c r="BA50" s="403"/>
      <c r="BB50" s="403"/>
      <c r="BC50" s="403"/>
      <c r="BD50" s="406"/>
      <c r="BE50" s="410"/>
      <c r="BF50" s="403"/>
      <c r="BG50" s="403"/>
      <c r="BH50" s="403"/>
      <c r="BI50" s="404"/>
      <c r="BJ50" s="405"/>
      <c r="BK50" s="403"/>
      <c r="BL50" s="403"/>
      <c r="BM50" s="403"/>
      <c r="BN50" s="406"/>
      <c r="BO50" s="410"/>
      <c r="BP50" s="403"/>
      <c r="BQ50" s="403"/>
      <c r="BR50" s="403"/>
      <c r="BS50" s="404"/>
      <c r="BT50" s="405"/>
      <c r="BU50" s="403"/>
      <c r="BV50" s="403"/>
      <c r="BW50" s="403"/>
      <c r="BX50" s="406"/>
      <c r="BY50" s="410"/>
      <c r="BZ50" s="403"/>
      <c r="CA50" s="403"/>
      <c r="CB50" s="403"/>
      <c r="CC50" s="404"/>
      <c r="CD50" s="405"/>
      <c r="CE50" s="403"/>
      <c r="CF50" s="403"/>
      <c r="CG50" s="403"/>
      <c r="CH50" s="404"/>
      <c r="CI50" s="405"/>
      <c r="CJ50" s="403"/>
      <c r="CK50" s="403"/>
      <c r="CL50" s="403"/>
      <c r="CM50" s="406"/>
    </row>
    <row r="51" spans="1:91" ht="25.5" customHeight="1">
      <c r="A51" s="386">
        <v>4244</v>
      </c>
      <c r="B51" s="387" t="s">
        <v>11</v>
      </c>
      <c r="C51" s="387" t="s">
        <v>44</v>
      </c>
      <c r="D51" s="387" t="s">
        <v>76</v>
      </c>
      <c r="E51" s="372" t="s">
        <v>53</v>
      </c>
      <c r="F51" s="387"/>
      <c r="G51" s="372" t="s">
        <v>1056</v>
      </c>
      <c r="H51" s="371" t="s">
        <v>54</v>
      </c>
      <c r="I51" s="375"/>
      <c r="J51" s="372"/>
      <c r="K51" s="373"/>
      <c r="L51" s="388" t="s">
        <v>78</v>
      </c>
      <c r="M51" s="387" t="s">
        <v>77</v>
      </c>
      <c r="N51" s="387"/>
      <c r="O51" s="387" t="s">
        <v>77</v>
      </c>
      <c r="P51" s="389" t="s">
        <v>77</v>
      </c>
      <c r="Q51" s="388"/>
      <c r="R51" s="387"/>
      <c r="S51" s="387"/>
      <c r="T51" s="387"/>
      <c r="U51" s="390" t="s">
        <v>80</v>
      </c>
      <c r="V51" s="386"/>
      <c r="W51" s="372"/>
      <c r="X51" s="372"/>
      <c r="Y51" s="372"/>
      <c r="Z51" s="373"/>
      <c r="AA51" s="374"/>
      <c r="AB51" s="372"/>
      <c r="AC51" s="372"/>
      <c r="AD51" s="372"/>
      <c r="AE51" s="371"/>
      <c r="AF51" s="375"/>
      <c r="AG51" s="372"/>
      <c r="AH51" s="372"/>
      <c r="AI51" s="372"/>
      <c r="AJ51" s="373"/>
      <c r="AK51" s="374"/>
      <c r="AL51" s="372"/>
      <c r="AM51" s="372"/>
      <c r="AN51" s="372"/>
      <c r="AO51" s="371"/>
      <c r="AP51" s="375"/>
      <c r="AQ51" s="372"/>
      <c r="AR51" s="372"/>
      <c r="AS51" s="372"/>
      <c r="AT51" s="373"/>
      <c r="AU51" s="374"/>
      <c r="AV51" s="372"/>
      <c r="AW51" s="372"/>
      <c r="AX51" s="372"/>
      <c r="AY51" s="371"/>
      <c r="AZ51" s="375"/>
      <c r="BA51" s="372"/>
      <c r="BB51" s="372"/>
      <c r="BC51" s="372"/>
      <c r="BD51" s="373"/>
      <c r="BE51" s="374"/>
      <c r="BF51" s="372"/>
      <c r="BG51" s="372"/>
      <c r="BH51" s="372"/>
      <c r="BI51" s="371"/>
      <c r="BJ51" s="375"/>
      <c r="BK51" s="372"/>
      <c r="BL51" s="372"/>
      <c r="BM51" s="372"/>
      <c r="BN51" s="373"/>
      <c r="BO51" s="374"/>
      <c r="BP51" s="372"/>
      <c r="BQ51" s="372"/>
      <c r="BR51" s="372"/>
      <c r="BS51" s="371"/>
      <c r="BT51" s="375"/>
      <c r="BU51" s="372"/>
      <c r="BV51" s="372"/>
      <c r="BW51" s="372"/>
      <c r="BX51" s="373"/>
      <c r="BY51" s="374"/>
      <c r="BZ51" s="372"/>
      <c r="CA51" s="372"/>
      <c r="CB51" s="372"/>
      <c r="CC51" s="371"/>
      <c r="CD51" s="375"/>
      <c r="CE51" s="372"/>
      <c r="CF51" s="372"/>
      <c r="CG51" s="372"/>
      <c r="CH51" s="371"/>
      <c r="CI51" s="375"/>
      <c r="CJ51" s="372"/>
      <c r="CK51" s="372"/>
      <c r="CL51" s="372"/>
      <c r="CM51" s="373"/>
    </row>
    <row r="52" spans="1:91" ht="25.5" customHeight="1">
      <c r="A52" s="386">
        <v>4245</v>
      </c>
      <c r="B52" s="387" t="s">
        <v>11</v>
      </c>
      <c r="C52" s="387" t="s">
        <v>44</v>
      </c>
      <c r="D52" s="387" t="s">
        <v>76</v>
      </c>
      <c r="E52" s="372" t="s">
        <v>53</v>
      </c>
      <c r="F52" s="387"/>
      <c r="G52" s="372" t="s">
        <v>1058</v>
      </c>
      <c r="H52" s="371" t="s">
        <v>54</v>
      </c>
      <c r="I52" s="375"/>
      <c r="J52" s="372"/>
      <c r="K52" s="373"/>
      <c r="L52" s="388" t="s">
        <v>78</v>
      </c>
      <c r="M52" s="387" t="s">
        <v>77</v>
      </c>
      <c r="N52" s="387"/>
      <c r="O52" s="387" t="s">
        <v>77</v>
      </c>
      <c r="P52" s="389" t="s">
        <v>77</v>
      </c>
      <c r="Q52" s="388"/>
      <c r="R52" s="387"/>
      <c r="S52" s="387"/>
      <c r="T52" s="387"/>
      <c r="U52" s="390" t="s">
        <v>80</v>
      </c>
      <c r="V52" s="386"/>
      <c r="W52" s="372"/>
      <c r="X52" s="372"/>
      <c r="Y52" s="372"/>
      <c r="Z52" s="373"/>
      <c r="AA52" s="374"/>
      <c r="AB52" s="372"/>
      <c r="AC52" s="372"/>
      <c r="AD52" s="372"/>
      <c r="AE52" s="371"/>
      <c r="AF52" s="375"/>
      <c r="AG52" s="372"/>
      <c r="AH52" s="372"/>
      <c r="AI52" s="372"/>
      <c r="AJ52" s="373"/>
      <c r="AK52" s="374"/>
      <c r="AL52" s="372"/>
      <c r="AM52" s="372"/>
      <c r="AN52" s="372"/>
      <c r="AO52" s="371"/>
      <c r="AP52" s="375"/>
      <c r="AQ52" s="372"/>
      <c r="AR52" s="372"/>
      <c r="AS52" s="372"/>
      <c r="AT52" s="373"/>
      <c r="AU52" s="374"/>
      <c r="AV52" s="372"/>
      <c r="AW52" s="372"/>
      <c r="AX52" s="372"/>
      <c r="AY52" s="371"/>
      <c r="AZ52" s="375"/>
      <c r="BA52" s="372"/>
      <c r="BB52" s="372"/>
      <c r="BC52" s="372"/>
      <c r="BD52" s="373"/>
      <c r="BE52" s="374"/>
      <c r="BF52" s="372"/>
      <c r="BG52" s="372"/>
      <c r="BH52" s="372"/>
      <c r="BI52" s="371"/>
      <c r="BJ52" s="375"/>
      <c r="BK52" s="372"/>
      <c r="BL52" s="372"/>
      <c r="BM52" s="372"/>
      <c r="BN52" s="373"/>
      <c r="BO52" s="374"/>
      <c r="BP52" s="372"/>
      <c r="BQ52" s="372"/>
      <c r="BR52" s="372"/>
      <c r="BS52" s="371"/>
      <c r="BT52" s="375"/>
      <c r="BU52" s="372"/>
      <c r="BV52" s="372"/>
      <c r="BW52" s="372"/>
      <c r="BX52" s="373"/>
      <c r="BY52" s="374"/>
      <c r="BZ52" s="372"/>
      <c r="CA52" s="372"/>
      <c r="CB52" s="372"/>
      <c r="CC52" s="371"/>
      <c r="CD52" s="375"/>
      <c r="CE52" s="372"/>
      <c r="CF52" s="372"/>
      <c r="CG52" s="372"/>
      <c r="CH52" s="371"/>
      <c r="CI52" s="375"/>
      <c r="CJ52" s="372"/>
      <c r="CK52" s="372"/>
      <c r="CL52" s="372"/>
      <c r="CM52" s="373"/>
    </row>
    <row r="53" spans="1:91" ht="25.5" customHeight="1">
      <c r="A53" s="386">
        <v>4246</v>
      </c>
      <c r="B53" s="387" t="s">
        <v>11</v>
      </c>
      <c r="C53" s="387" t="s">
        <v>44</v>
      </c>
      <c r="D53" s="387" t="s">
        <v>76</v>
      </c>
      <c r="E53" s="372" t="s">
        <v>53</v>
      </c>
      <c r="F53" s="387"/>
      <c r="G53" s="372" t="s">
        <v>1060</v>
      </c>
      <c r="H53" s="371" t="s">
        <v>54</v>
      </c>
      <c r="I53" s="375"/>
      <c r="J53" s="372"/>
      <c r="K53" s="373"/>
      <c r="L53" s="388" t="s">
        <v>78</v>
      </c>
      <c r="M53" s="387" t="s">
        <v>77</v>
      </c>
      <c r="N53" s="387"/>
      <c r="O53" s="387" t="s">
        <v>77</v>
      </c>
      <c r="P53" s="389" t="s">
        <v>77</v>
      </c>
      <c r="Q53" s="388"/>
      <c r="R53" s="387"/>
      <c r="S53" s="387"/>
      <c r="T53" s="387"/>
      <c r="U53" s="390" t="s">
        <v>80</v>
      </c>
      <c r="V53" s="386"/>
      <c r="W53" s="372"/>
      <c r="X53" s="372"/>
      <c r="Y53" s="372"/>
      <c r="Z53" s="373"/>
      <c r="AA53" s="374"/>
      <c r="AB53" s="372"/>
      <c r="AC53" s="372"/>
      <c r="AD53" s="372"/>
      <c r="AE53" s="371"/>
      <c r="AF53" s="375"/>
      <c r="AG53" s="372"/>
      <c r="AH53" s="372"/>
      <c r="AI53" s="372"/>
      <c r="AJ53" s="373"/>
      <c r="AK53" s="374"/>
      <c r="AL53" s="372"/>
      <c r="AM53" s="372"/>
      <c r="AN53" s="372"/>
      <c r="AO53" s="371"/>
      <c r="AP53" s="375"/>
      <c r="AQ53" s="372"/>
      <c r="AR53" s="372"/>
      <c r="AS53" s="372"/>
      <c r="AT53" s="373"/>
      <c r="AU53" s="374"/>
      <c r="AV53" s="372"/>
      <c r="AW53" s="372"/>
      <c r="AX53" s="372"/>
      <c r="AY53" s="371"/>
      <c r="AZ53" s="375"/>
      <c r="BA53" s="372"/>
      <c r="BB53" s="372"/>
      <c r="BC53" s="372"/>
      <c r="BD53" s="373"/>
      <c r="BE53" s="374"/>
      <c r="BF53" s="372"/>
      <c r="BG53" s="372"/>
      <c r="BH53" s="372"/>
      <c r="BI53" s="371"/>
      <c r="BJ53" s="375"/>
      <c r="BK53" s="372"/>
      <c r="BL53" s="372"/>
      <c r="BM53" s="372"/>
      <c r="BN53" s="373"/>
      <c r="BO53" s="374"/>
      <c r="BP53" s="372"/>
      <c r="BQ53" s="372"/>
      <c r="BR53" s="372"/>
      <c r="BS53" s="371"/>
      <c r="BT53" s="375"/>
      <c r="BU53" s="372"/>
      <c r="BV53" s="372"/>
      <c r="BW53" s="372"/>
      <c r="BX53" s="373"/>
      <c r="BY53" s="374"/>
      <c r="BZ53" s="372"/>
      <c r="CA53" s="372"/>
      <c r="CB53" s="372"/>
      <c r="CC53" s="371"/>
      <c r="CD53" s="375"/>
      <c r="CE53" s="372"/>
      <c r="CF53" s="372"/>
      <c r="CG53" s="372"/>
      <c r="CH53" s="371"/>
      <c r="CI53" s="375"/>
      <c r="CJ53" s="372"/>
      <c r="CK53" s="372"/>
      <c r="CL53" s="372"/>
      <c r="CM53" s="373"/>
    </row>
    <row r="54" spans="1:91" ht="25.5" customHeight="1" thickBot="1">
      <c r="A54" s="411">
        <v>4247</v>
      </c>
      <c r="B54" s="412" t="s">
        <v>11</v>
      </c>
      <c r="C54" s="412" t="s">
        <v>44</v>
      </c>
      <c r="D54" s="412" t="s">
        <v>76</v>
      </c>
      <c r="E54" s="377" t="s">
        <v>53</v>
      </c>
      <c r="F54" s="412"/>
      <c r="G54" s="377" t="s">
        <v>1062</v>
      </c>
      <c r="H54" s="376" t="s">
        <v>54</v>
      </c>
      <c r="I54" s="380"/>
      <c r="J54" s="377"/>
      <c r="K54" s="378"/>
      <c r="L54" s="413" t="s">
        <v>78</v>
      </c>
      <c r="M54" s="412" t="s">
        <v>77</v>
      </c>
      <c r="N54" s="412"/>
      <c r="O54" s="412" t="s">
        <v>77</v>
      </c>
      <c r="P54" s="414" t="s">
        <v>77</v>
      </c>
      <c r="Q54" s="413"/>
      <c r="R54" s="412"/>
      <c r="S54" s="412"/>
      <c r="T54" s="412"/>
      <c r="U54" s="415" t="s">
        <v>80</v>
      </c>
      <c r="V54" s="411"/>
      <c r="W54" s="377"/>
      <c r="X54" s="377"/>
      <c r="Y54" s="377"/>
      <c r="Z54" s="378"/>
      <c r="AA54" s="379"/>
      <c r="AB54" s="377"/>
      <c r="AC54" s="377"/>
      <c r="AD54" s="377"/>
      <c r="AE54" s="376"/>
      <c r="AF54" s="380"/>
      <c r="AG54" s="377"/>
      <c r="AH54" s="377"/>
      <c r="AI54" s="377"/>
      <c r="AJ54" s="378"/>
      <c r="AK54" s="379"/>
      <c r="AL54" s="377"/>
      <c r="AM54" s="377"/>
      <c r="AN54" s="377"/>
      <c r="AO54" s="376"/>
      <c r="AP54" s="380"/>
      <c r="AQ54" s="377"/>
      <c r="AR54" s="377"/>
      <c r="AS54" s="377"/>
      <c r="AT54" s="378"/>
      <c r="AU54" s="379"/>
      <c r="AV54" s="377"/>
      <c r="AW54" s="377"/>
      <c r="AX54" s="377"/>
      <c r="AY54" s="376"/>
      <c r="AZ54" s="380"/>
      <c r="BA54" s="377"/>
      <c r="BB54" s="377"/>
      <c r="BC54" s="377"/>
      <c r="BD54" s="378"/>
      <c r="BE54" s="379"/>
      <c r="BF54" s="377"/>
      <c r="BG54" s="377"/>
      <c r="BH54" s="377"/>
      <c r="BI54" s="376"/>
      <c r="BJ54" s="380"/>
      <c r="BK54" s="377"/>
      <c r="BL54" s="377"/>
      <c r="BM54" s="377"/>
      <c r="BN54" s="378"/>
      <c r="BO54" s="379"/>
      <c r="BP54" s="377"/>
      <c r="BQ54" s="377"/>
      <c r="BR54" s="377"/>
      <c r="BS54" s="376"/>
      <c r="BT54" s="380"/>
      <c r="BU54" s="377"/>
      <c r="BV54" s="377"/>
      <c r="BW54" s="377"/>
      <c r="BX54" s="378"/>
      <c r="BY54" s="379"/>
      <c r="BZ54" s="377"/>
      <c r="CA54" s="377"/>
      <c r="CB54" s="377"/>
      <c r="CC54" s="376"/>
      <c r="CD54" s="380"/>
      <c r="CE54" s="377"/>
      <c r="CF54" s="377"/>
      <c r="CG54" s="377"/>
      <c r="CH54" s="376"/>
      <c r="CI54" s="380"/>
      <c r="CJ54" s="377"/>
      <c r="CK54" s="377"/>
      <c r="CL54" s="377"/>
      <c r="CM54" s="378"/>
    </row>
    <row r="55" spans="1:91" ht="25.5" customHeight="1">
      <c r="A55" s="416">
        <v>4248</v>
      </c>
      <c r="B55" s="417" t="s">
        <v>11</v>
      </c>
      <c r="C55" s="417" t="s">
        <v>44</v>
      </c>
      <c r="D55" s="417" t="s">
        <v>76</v>
      </c>
      <c r="E55" s="381" t="s">
        <v>53</v>
      </c>
      <c r="F55" s="417"/>
      <c r="G55" s="381" t="s">
        <v>1064</v>
      </c>
      <c r="H55" s="384" t="s">
        <v>54</v>
      </c>
      <c r="I55" s="385"/>
      <c r="J55" s="381"/>
      <c r="K55" s="382"/>
      <c r="L55" s="418" t="s">
        <v>78</v>
      </c>
      <c r="M55" s="417" t="s">
        <v>77</v>
      </c>
      <c r="N55" s="417"/>
      <c r="O55" s="417" t="s">
        <v>77</v>
      </c>
      <c r="P55" s="419" t="s">
        <v>77</v>
      </c>
      <c r="Q55" s="418"/>
      <c r="R55" s="417"/>
      <c r="S55" s="417"/>
      <c r="T55" s="417"/>
      <c r="U55" s="420" t="s">
        <v>80</v>
      </c>
      <c r="V55" s="416"/>
      <c r="W55" s="381"/>
      <c r="X55" s="381"/>
      <c r="Y55" s="381"/>
      <c r="Z55" s="382"/>
      <c r="AA55" s="383"/>
      <c r="AB55" s="381"/>
      <c r="AC55" s="381"/>
      <c r="AD55" s="381"/>
      <c r="AE55" s="384"/>
      <c r="AF55" s="385"/>
      <c r="AG55" s="381"/>
      <c r="AH55" s="381"/>
      <c r="AI55" s="381"/>
      <c r="AJ55" s="382"/>
      <c r="AK55" s="383"/>
      <c r="AL55" s="381"/>
      <c r="AM55" s="381"/>
      <c r="AN55" s="381"/>
      <c r="AO55" s="384"/>
      <c r="AP55" s="385"/>
      <c r="AQ55" s="381"/>
      <c r="AR55" s="381"/>
      <c r="AS55" s="381"/>
      <c r="AT55" s="382"/>
      <c r="AU55" s="383"/>
      <c r="AV55" s="381"/>
      <c r="AW55" s="381"/>
      <c r="AX55" s="381"/>
      <c r="AY55" s="384"/>
      <c r="AZ55" s="385"/>
      <c r="BA55" s="381"/>
      <c r="BB55" s="381"/>
      <c r="BC55" s="381"/>
      <c r="BD55" s="382"/>
      <c r="BE55" s="383"/>
      <c r="BF55" s="381"/>
      <c r="BG55" s="381"/>
      <c r="BH55" s="381"/>
      <c r="BI55" s="384"/>
      <c r="BJ55" s="385"/>
      <c r="BK55" s="381"/>
      <c r="BL55" s="381"/>
      <c r="BM55" s="381"/>
      <c r="BN55" s="382"/>
      <c r="BO55" s="383"/>
      <c r="BP55" s="381"/>
      <c r="BQ55" s="381"/>
      <c r="BR55" s="381"/>
      <c r="BS55" s="384"/>
      <c r="BT55" s="385"/>
      <c r="BU55" s="381"/>
      <c r="BV55" s="381"/>
      <c r="BW55" s="381"/>
      <c r="BX55" s="382"/>
      <c r="BY55" s="383"/>
      <c r="BZ55" s="381"/>
      <c r="CA55" s="381"/>
      <c r="CB55" s="381"/>
      <c r="CC55" s="384"/>
      <c r="CD55" s="385"/>
      <c r="CE55" s="381"/>
      <c r="CF55" s="381"/>
      <c r="CG55" s="381"/>
      <c r="CH55" s="384"/>
      <c r="CI55" s="385"/>
      <c r="CJ55" s="381"/>
      <c r="CK55" s="381"/>
      <c r="CL55" s="381"/>
      <c r="CM55" s="382"/>
    </row>
    <row r="56" spans="1:91" ht="25.5" customHeight="1">
      <c r="A56" s="386">
        <v>4249</v>
      </c>
      <c r="B56" s="387" t="s">
        <v>11</v>
      </c>
      <c r="C56" s="387" t="s">
        <v>44</v>
      </c>
      <c r="D56" s="387" t="s">
        <v>76</v>
      </c>
      <c r="E56" s="372" t="s">
        <v>53</v>
      </c>
      <c r="F56" s="387"/>
      <c r="G56" s="372" t="s">
        <v>1066</v>
      </c>
      <c r="H56" s="371" t="s">
        <v>54</v>
      </c>
      <c r="I56" s="375"/>
      <c r="J56" s="372"/>
      <c r="K56" s="373"/>
      <c r="L56" s="388" t="s">
        <v>78</v>
      </c>
      <c r="M56" s="387" t="s">
        <v>77</v>
      </c>
      <c r="N56" s="387"/>
      <c r="O56" s="387" t="s">
        <v>77</v>
      </c>
      <c r="P56" s="389" t="s">
        <v>77</v>
      </c>
      <c r="Q56" s="388"/>
      <c r="R56" s="387"/>
      <c r="S56" s="387"/>
      <c r="T56" s="387"/>
      <c r="U56" s="390" t="s">
        <v>80</v>
      </c>
      <c r="V56" s="386"/>
      <c r="W56" s="372"/>
      <c r="X56" s="372"/>
      <c r="Y56" s="372"/>
      <c r="Z56" s="373"/>
      <c r="AA56" s="374"/>
      <c r="AB56" s="372"/>
      <c r="AC56" s="372"/>
      <c r="AD56" s="372"/>
      <c r="AE56" s="371"/>
      <c r="AF56" s="375"/>
      <c r="AG56" s="372"/>
      <c r="AH56" s="372"/>
      <c r="AI56" s="372"/>
      <c r="AJ56" s="373"/>
      <c r="AK56" s="374"/>
      <c r="AL56" s="372"/>
      <c r="AM56" s="372"/>
      <c r="AN56" s="372"/>
      <c r="AO56" s="371"/>
      <c r="AP56" s="375"/>
      <c r="AQ56" s="372"/>
      <c r="AR56" s="372"/>
      <c r="AS56" s="372"/>
      <c r="AT56" s="373"/>
      <c r="AU56" s="374"/>
      <c r="AV56" s="372"/>
      <c r="AW56" s="372"/>
      <c r="AX56" s="372"/>
      <c r="AY56" s="371"/>
      <c r="AZ56" s="375"/>
      <c r="BA56" s="372"/>
      <c r="BB56" s="372"/>
      <c r="BC56" s="372"/>
      <c r="BD56" s="373"/>
      <c r="BE56" s="374"/>
      <c r="BF56" s="372"/>
      <c r="BG56" s="372"/>
      <c r="BH56" s="372"/>
      <c r="BI56" s="371"/>
      <c r="BJ56" s="375"/>
      <c r="BK56" s="372"/>
      <c r="BL56" s="372"/>
      <c r="BM56" s="372"/>
      <c r="BN56" s="373"/>
      <c r="BO56" s="374"/>
      <c r="BP56" s="372"/>
      <c r="BQ56" s="372"/>
      <c r="BR56" s="372"/>
      <c r="BS56" s="371"/>
      <c r="BT56" s="375"/>
      <c r="BU56" s="372"/>
      <c r="BV56" s="372"/>
      <c r="BW56" s="372"/>
      <c r="BX56" s="373"/>
      <c r="BY56" s="374"/>
      <c r="BZ56" s="372"/>
      <c r="CA56" s="372"/>
      <c r="CB56" s="372"/>
      <c r="CC56" s="371"/>
      <c r="CD56" s="375"/>
      <c r="CE56" s="372"/>
      <c r="CF56" s="372"/>
      <c r="CG56" s="372"/>
      <c r="CH56" s="371"/>
      <c r="CI56" s="375"/>
      <c r="CJ56" s="372"/>
      <c r="CK56" s="372"/>
      <c r="CL56" s="372"/>
      <c r="CM56" s="373"/>
    </row>
    <row r="57" spans="1:91" ht="25.5" customHeight="1">
      <c r="A57" s="386">
        <v>4250</v>
      </c>
      <c r="B57" s="387" t="s">
        <v>11</v>
      </c>
      <c r="C57" s="387" t="s">
        <v>44</v>
      </c>
      <c r="D57" s="387" t="s">
        <v>76</v>
      </c>
      <c r="E57" s="372" t="s">
        <v>53</v>
      </c>
      <c r="F57" s="387"/>
      <c r="G57" s="372" t="s">
        <v>1068</v>
      </c>
      <c r="H57" s="371" t="s">
        <v>54</v>
      </c>
      <c r="I57" s="375"/>
      <c r="J57" s="372"/>
      <c r="K57" s="373"/>
      <c r="L57" s="388" t="s">
        <v>78</v>
      </c>
      <c r="M57" s="387" t="s">
        <v>77</v>
      </c>
      <c r="N57" s="387"/>
      <c r="O57" s="387" t="s">
        <v>77</v>
      </c>
      <c r="P57" s="389" t="s">
        <v>77</v>
      </c>
      <c r="Q57" s="388"/>
      <c r="R57" s="387"/>
      <c r="S57" s="387"/>
      <c r="T57" s="387"/>
      <c r="U57" s="390" t="s">
        <v>80</v>
      </c>
      <c r="V57" s="386"/>
      <c r="W57" s="372"/>
      <c r="X57" s="372"/>
      <c r="Y57" s="372"/>
      <c r="Z57" s="373"/>
      <c r="AA57" s="374"/>
      <c r="AB57" s="372"/>
      <c r="AC57" s="372"/>
      <c r="AD57" s="372"/>
      <c r="AE57" s="371"/>
      <c r="AF57" s="375"/>
      <c r="AG57" s="372"/>
      <c r="AH57" s="372"/>
      <c r="AI57" s="372"/>
      <c r="AJ57" s="373"/>
      <c r="AK57" s="374"/>
      <c r="AL57" s="372"/>
      <c r="AM57" s="372"/>
      <c r="AN57" s="372"/>
      <c r="AO57" s="371"/>
      <c r="AP57" s="375"/>
      <c r="AQ57" s="372"/>
      <c r="AR57" s="372"/>
      <c r="AS57" s="372"/>
      <c r="AT57" s="373"/>
      <c r="AU57" s="374"/>
      <c r="AV57" s="372"/>
      <c r="AW57" s="372"/>
      <c r="AX57" s="372"/>
      <c r="AY57" s="371"/>
      <c r="AZ57" s="375"/>
      <c r="BA57" s="372"/>
      <c r="BB57" s="372"/>
      <c r="BC57" s="372"/>
      <c r="BD57" s="373"/>
      <c r="BE57" s="374"/>
      <c r="BF57" s="372"/>
      <c r="BG57" s="372"/>
      <c r="BH57" s="372"/>
      <c r="BI57" s="371"/>
      <c r="BJ57" s="375"/>
      <c r="BK57" s="372"/>
      <c r="BL57" s="372"/>
      <c r="BM57" s="372"/>
      <c r="BN57" s="373"/>
      <c r="BO57" s="374"/>
      <c r="BP57" s="372"/>
      <c r="BQ57" s="372"/>
      <c r="BR57" s="372"/>
      <c r="BS57" s="371"/>
      <c r="BT57" s="375"/>
      <c r="BU57" s="372"/>
      <c r="BV57" s="372"/>
      <c r="BW57" s="372"/>
      <c r="BX57" s="373"/>
      <c r="BY57" s="374"/>
      <c r="BZ57" s="372"/>
      <c r="CA57" s="372"/>
      <c r="CB57" s="372"/>
      <c r="CC57" s="371"/>
      <c r="CD57" s="375"/>
      <c r="CE57" s="372"/>
      <c r="CF57" s="372"/>
      <c r="CG57" s="372"/>
      <c r="CH57" s="371"/>
      <c r="CI57" s="375"/>
      <c r="CJ57" s="372"/>
      <c r="CK57" s="372"/>
      <c r="CL57" s="372"/>
      <c r="CM57" s="373"/>
    </row>
    <row r="58" spans="1:91" ht="25.5" customHeight="1">
      <c r="A58" s="386">
        <v>4251</v>
      </c>
      <c r="B58" s="387" t="s">
        <v>11</v>
      </c>
      <c r="C58" s="387" t="s">
        <v>44</v>
      </c>
      <c r="D58" s="387" t="s">
        <v>76</v>
      </c>
      <c r="E58" s="372" t="s">
        <v>53</v>
      </c>
      <c r="F58" s="387"/>
      <c r="G58" s="372" t="s">
        <v>1070</v>
      </c>
      <c r="H58" s="371" t="s">
        <v>54</v>
      </c>
      <c r="I58" s="375"/>
      <c r="J58" s="372"/>
      <c r="K58" s="373"/>
      <c r="L58" s="388" t="s">
        <v>78</v>
      </c>
      <c r="M58" s="387" t="s">
        <v>77</v>
      </c>
      <c r="N58" s="387"/>
      <c r="O58" s="387" t="s">
        <v>77</v>
      </c>
      <c r="P58" s="389" t="s">
        <v>77</v>
      </c>
      <c r="Q58" s="388"/>
      <c r="R58" s="387"/>
      <c r="S58" s="387"/>
      <c r="T58" s="387"/>
      <c r="U58" s="390" t="s">
        <v>80</v>
      </c>
      <c r="V58" s="386"/>
      <c r="W58" s="372"/>
      <c r="X58" s="372"/>
      <c r="Y58" s="372"/>
      <c r="Z58" s="373"/>
      <c r="AA58" s="374"/>
      <c r="AB58" s="372"/>
      <c r="AC58" s="372"/>
      <c r="AD58" s="372"/>
      <c r="AE58" s="371"/>
      <c r="AF58" s="375"/>
      <c r="AG58" s="372"/>
      <c r="AH58" s="372"/>
      <c r="AI58" s="372"/>
      <c r="AJ58" s="373"/>
      <c r="AK58" s="374"/>
      <c r="AL58" s="372"/>
      <c r="AM58" s="372"/>
      <c r="AN58" s="372"/>
      <c r="AO58" s="371"/>
      <c r="AP58" s="375"/>
      <c r="AQ58" s="372"/>
      <c r="AR58" s="372"/>
      <c r="AS58" s="372"/>
      <c r="AT58" s="373"/>
      <c r="AU58" s="374"/>
      <c r="AV58" s="372"/>
      <c r="AW58" s="372"/>
      <c r="AX58" s="372"/>
      <c r="AY58" s="371"/>
      <c r="AZ58" s="375"/>
      <c r="BA58" s="372"/>
      <c r="BB58" s="372"/>
      <c r="BC58" s="372"/>
      <c r="BD58" s="373"/>
      <c r="BE58" s="374"/>
      <c r="BF58" s="372"/>
      <c r="BG58" s="372"/>
      <c r="BH58" s="372"/>
      <c r="BI58" s="371"/>
      <c r="BJ58" s="375"/>
      <c r="BK58" s="372"/>
      <c r="BL58" s="372"/>
      <c r="BM58" s="372"/>
      <c r="BN58" s="373"/>
      <c r="BO58" s="374"/>
      <c r="BP58" s="372"/>
      <c r="BQ58" s="372"/>
      <c r="BR58" s="372"/>
      <c r="BS58" s="371"/>
      <c r="BT58" s="375"/>
      <c r="BU58" s="372"/>
      <c r="BV58" s="372"/>
      <c r="BW58" s="372"/>
      <c r="BX58" s="373"/>
      <c r="BY58" s="374"/>
      <c r="BZ58" s="372"/>
      <c r="CA58" s="372"/>
      <c r="CB58" s="372"/>
      <c r="CC58" s="371"/>
      <c r="CD58" s="375"/>
      <c r="CE58" s="372"/>
      <c r="CF58" s="372"/>
      <c r="CG58" s="372"/>
      <c r="CH58" s="371"/>
      <c r="CI58" s="375"/>
      <c r="CJ58" s="372"/>
      <c r="CK58" s="372"/>
      <c r="CL58" s="372"/>
      <c r="CM58" s="373"/>
    </row>
    <row r="59" spans="1:91" ht="25.5" customHeight="1" thickBot="1">
      <c r="A59" s="411">
        <v>4252</v>
      </c>
      <c r="B59" s="412" t="s">
        <v>11</v>
      </c>
      <c r="C59" s="412" t="s">
        <v>44</v>
      </c>
      <c r="D59" s="412" t="s">
        <v>76</v>
      </c>
      <c r="E59" s="377" t="s">
        <v>53</v>
      </c>
      <c r="F59" s="412"/>
      <c r="G59" s="377" t="s">
        <v>1072</v>
      </c>
      <c r="H59" s="376" t="s">
        <v>54</v>
      </c>
      <c r="I59" s="380"/>
      <c r="J59" s="377"/>
      <c r="K59" s="378"/>
      <c r="L59" s="413" t="s">
        <v>78</v>
      </c>
      <c r="M59" s="412" t="s">
        <v>77</v>
      </c>
      <c r="N59" s="412"/>
      <c r="O59" s="412" t="s">
        <v>77</v>
      </c>
      <c r="P59" s="414" t="s">
        <v>77</v>
      </c>
      <c r="Q59" s="413"/>
      <c r="R59" s="412"/>
      <c r="S59" s="412"/>
      <c r="T59" s="412"/>
      <c r="U59" s="415" t="s">
        <v>80</v>
      </c>
      <c r="V59" s="411"/>
      <c r="W59" s="377"/>
      <c r="X59" s="377"/>
      <c r="Y59" s="377"/>
      <c r="Z59" s="378"/>
      <c r="AA59" s="379"/>
      <c r="AB59" s="377"/>
      <c r="AC59" s="377"/>
      <c r="AD59" s="377"/>
      <c r="AE59" s="376"/>
      <c r="AF59" s="380"/>
      <c r="AG59" s="377"/>
      <c r="AH59" s="377"/>
      <c r="AI59" s="377"/>
      <c r="AJ59" s="378"/>
      <c r="AK59" s="379"/>
      <c r="AL59" s="377"/>
      <c r="AM59" s="377"/>
      <c r="AN59" s="377"/>
      <c r="AO59" s="376"/>
      <c r="AP59" s="380"/>
      <c r="AQ59" s="377"/>
      <c r="AR59" s="377"/>
      <c r="AS59" s="377"/>
      <c r="AT59" s="378"/>
      <c r="AU59" s="379"/>
      <c r="AV59" s="377"/>
      <c r="AW59" s="377"/>
      <c r="AX59" s="377"/>
      <c r="AY59" s="376"/>
      <c r="AZ59" s="380"/>
      <c r="BA59" s="377"/>
      <c r="BB59" s="377"/>
      <c r="BC59" s="377"/>
      <c r="BD59" s="378"/>
      <c r="BE59" s="379"/>
      <c r="BF59" s="377"/>
      <c r="BG59" s="377"/>
      <c r="BH59" s="377"/>
      <c r="BI59" s="376"/>
      <c r="BJ59" s="380"/>
      <c r="BK59" s="377"/>
      <c r="BL59" s="377"/>
      <c r="BM59" s="377"/>
      <c r="BN59" s="378"/>
      <c r="BO59" s="379"/>
      <c r="BP59" s="377"/>
      <c r="BQ59" s="377"/>
      <c r="BR59" s="377"/>
      <c r="BS59" s="376"/>
      <c r="BT59" s="380"/>
      <c r="BU59" s="377"/>
      <c r="BV59" s="377"/>
      <c r="BW59" s="377"/>
      <c r="BX59" s="378"/>
      <c r="BY59" s="379"/>
      <c r="BZ59" s="377"/>
      <c r="CA59" s="377"/>
      <c r="CB59" s="377"/>
      <c r="CC59" s="376"/>
      <c r="CD59" s="380"/>
      <c r="CE59" s="377"/>
      <c r="CF59" s="377"/>
      <c r="CG59" s="377"/>
      <c r="CH59" s="376"/>
      <c r="CI59" s="380"/>
      <c r="CJ59" s="377"/>
      <c r="CK59" s="377"/>
      <c r="CL59" s="377"/>
      <c r="CM59" s="378"/>
    </row>
    <row r="60" spans="1:91" ht="15" customHeight="1" thickBot="1">
      <c r="A60" s="48"/>
      <c r="B60" s="179"/>
      <c r="C60" s="180"/>
      <c r="D60" s="181"/>
      <c r="E60" s="17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50"/>
      <c r="CH60" s="50"/>
      <c r="CI60" s="50"/>
      <c r="CJ60" s="50"/>
      <c r="CK60" s="50"/>
      <c r="CL60" s="50"/>
      <c r="CM60" s="51"/>
    </row>
    <row r="61" spans="1:91" ht="25.5" customHeight="1" thickBot="1">
      <c r="A61" s="275" t="s">
        <v>31</v>
      </c>
      <c r="B61" s="276"/>
      <c r="C61" s="277"/>
      <c r="D61" s="192"/>
      <c r="E61" s="278" t="s">
        <v>32</v>
      </c>
      <c r="F61" s="276"/>
      <c r="G61" s="277"/>
      <c r="H61" s="193" t="s">
        <v>8</v>
      </c>
      <c r="I61" s="192" t="s">
        <v>9</v>
      </c>
      <c r="J61" s="192" t="s">
        <v>33</v>
      </c>
      <c r="K61" s="192" t="s">
        <v>10</v>
      </c>
      <c r="L61" s="291"/>
      <c r="M61" s="292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  <c r="AA61" s="292"/>
      <c r="AB61" s="292"/>
      <c r="AC61" s="292"/>
      <c r="AD61" s="292"/>
      <c r="AE61" s="292"/>
      <c r="AF61" s="292"/>
      <c r="AG61" s="292"/>
      <c r="AH61" s="292"/>
      <c r="AI61" s="292"/>
      <c r="AJ61" s="292"/>
      <c r="AK61" s="292"/>
      <c r="AL61" s="292"/>
      <c r="AM61" s="292"/>
      <c r="AN61" s="292"/>
      <c r="AO61" s="292"/>
      <c r="AP61" s="292"/>
      <c r="AQ61" s="292"/>
      <c r="AR61" s="292"/>
      <c r="AS61" s="292"/>
      <c r="AT61" s="292"/>
      <c r="AU61" s="292"/>
      <c r="AV61" s="292"/>
      <c r="AW61" s="292"/>
      <c r="AX61" s="292"/>
      <c r="AY61" s="292"/>
      <c r="AZ61" s="292"/>
      <c r="BA61" s="292"/>
      <c r="BB61" s="292"/>
      <c r="BC61" s="292"/>
      <c r="BD61" s="292"/>
      <c r="BE61" s="293"/>
      <c r="BF61" s="300"/>
      <c r="BG61" s="300"/>
      <c r="BH61" s="300"/>
      <c r="BI61" s="300"/>
      <c r="BJ61" s="300"/>
      <c r="BK61" s="300"/>
      <c r="BL61" s="300"/>
      <c r="BM61" s="300"/>
      <c r="BN61" s="300"/>
      <c r="BO61" s="300"/>
      <c r="BP61" s="300"/>
      <c r="BQ61" s="300"/>
      <c r="BR61" s="300"/>
      <c r="BS61" s="300"/>
      <c r="BT61" s="300"/>
      <c r="BU61" s="301"/>
      <c r="BV61" s="291"/>
      <c r="BW61" s="247"/>
      <c r="BX61" s="247"/>
      <c r="BY61" s="247"/>
      <c r="BZ61" s="247"/>
      <c r="CA61" s="247"/>
      <c r="CB61" s="247"/>
      <c r="CC61" s="247"/>
      <c r="CD61" s="247"/>
      <c r="CE61" s="247"/>
      <c r="CF61" s="247"/>
      <c r="CG61" s="247"/>
      <c r="CH61" s="247"/>
      <c r="CI61" s="247"/>
      <c r="CJ61" s="247"/>
      <c r="CK61" s="247"/>
      <c r="CL61" s="247"/>
      <c r="CM61" s="248"/>
    </row>
    <row r="62" spans="1:91" ht="25.5" customHeight="1">
      <c r="A62" s="288"/>
      <c r="B62" s="289"/>
      <c r="C62" s="289"/>
      <c r="D62" s="52"/>
      <c r="E62" s="290"/>
      <c r="F62" s="290"/>
      <c r="G62" s="290"/>
      <c r="H62" s="53"/>
      <c r="I62" s="53"/>
      <c r="J62" s="53"/>
      <c r="K62" s="54"/>
      <c r="L62" s="294"/>
      <c r="M62" s="295"/>
      <c r="N62" s="295"/>
      <c r="O62" s="295"/>
      <c r="P62" s="295"/>
      <c r="Q62" s="295"/>
      <c r="R62" s="295"/>
      <c r="S62" s="295"/>
      <c r="T62" s="295"/>
      <c r="U62" s="295"/>
      <c r="V62" s="295"/>
      <c r="W62" s="295"/>
      <c r="X62" s="295"/>
      <c r="Y62" s="295"/>
      <c r="Z62" s="295"/>
      <c r="AA62" s="295"/>
      <c r="AB62" s="295"/>
      <c r="AC62" s="295"/>
      <c r="AD62" s="295"/>
      <c r="AE62" s="295"/>
      <c r="AF62" s="295"/>
      <c r="AG62" s="295"/>
      <c r="AH62" s="295"/>
      <c r="AI62" s="295"/>
      <c r="AJ62" s="295"/>
      <c r="AK62" s="295"/>
      <c r="AL62" s="295"/>
      <c r="AM62" s="295"/>
      <c r="AN62" s="295"/>
      <c r="AO62" s="295"/>
      <c r="AP62" s="295"/>
      <c r="AQ62" s="295"/>
      <c r="AR62" s="295"/>
      <c r="AS62" s="295"/>
      <c r="AT62" s="295"/>
      <c r="AU62" s="295"/>
      <c r="AV62" s="295"/>
      <c r="AW62" s="295"/>
      <c r="AX62" s="295"/>
      <c r="AY62" s="295"/>
      <c r="AZ62" s="295"/>
      <c r="BA62" s="295"/>
      <c r="BB62" s="295"/>
      <c r="BC62" s="295"/>
      <c r="BD62" s="295"/>
      <c r="BE62" s="296"/>
      <c r="BF62" s="302"/>
      <c r="BG62" s="302"/>
      <c r="BH62" s="302"/>
      <c r="BI62" s="302"/>
      <c r="BJ62" s="302"/>
      <c r="BK62" s="302"/>
      <c r="BL62" s="302"/>
      <c r="BM62" s="302"/>
      <c r="BN62" s="302"/>
      <c r="BO62" s="302"/>
      <c r="BP62" s="302"/>
      <c r="BQ62" s="302"/>
      <c r="BR62" s="302"/>
      <c r="BS62" s="302"/>
      <c r="BT62" s="302"/>
      <c r="BU62" s="303"/>
      <c r="BV62" s="306"/>
      <c r="BW62" s="249"/>
      <c r="BX62" s="249"/>
      <c r="BY62" s="249"/>
      <c r="BZ62" s="249"/>
      <c r="CA62" s="249"/>
      <c r="CB62" s="249"/>
      <c r="CC62" s="249"/>
      <c r="CD62" s="249"/>
      <c r="CE62" s="249"/>
      <c r="CF62" s="249"/>
      <c r="CG62" s="249"/>
      <c r="CH62" s="249"/>
      <c r="CI62" s="249"/>
      <c r="CJ62" s="249"/>
      <c r="CK62" s="249"/>
      <c r="CL62" s="249"/>
      <c r="CM62" s="250"/>
    </row>
    <row r="63" spans="1:91" ht="25.5" customHeight="1" thickBot="1">
      <c r="A63" s="288"/>
      <c r="B63" s="289"/>
      <c r="C63" s="289"/>
      <c r="D63" s="52"/>
      <c r="E63" s="290"/>
      <c r="F63" s="290"/>
      <c r="G63" s="290"/>
      <c r="H63" s="53"/>
      <c r="I63" s="53"/>
      <c r="J63" s="53"/>
      <c r="K63" s="54"/>
      <c r="L63" s="294"/>
      <c r="M63" s="295"/>
      <c r="N63" s="295"/>
      <c r="O63" s="295"/>
      <c r="P63" s="295"/>
      <c r="Q63" s="295"/>
      <c r="R63" s="295"/>
      <c r="S63" s="295"/>
      <c r="T63" s="295"/>
      <c r="U63" s="295"/>
      <c r="V63" s="295"/>
      <c r="W63" s="295"/>
      <c r="X63" s="295"/>
      <c r="Y63" s="295"/>
      <c r="Z63" s="295"/>
      <c r="AA63" s="295"/>
      <c r="AB63" s="295"/>
      <c r="AC63" s="295"/>
      <c r="AD63" s="295"/>
      <c r="AE63" s="295"/>
      <c r="AF63" s="295"/>
      <c r="AG63" s="295"/>
      <c r="AH63" s="295"/>
      <c r="AI63" s="295"/>
      <c r="AJ63" s="295"/>
      <c r="AK63" s="295"/>
      <c r="AL63" s="295"/>
      <c r="AM63" s="295"/>
      <c r="AN63" s="295"/>
      <c r="AO63" s="295"/>
      <c r="AP63" s="295"/>
      <c r="AQ63" s="295"/>
      <c r="AR63" s="295"/>
      <c r="AS63" s="295"/>
      <c r="AT63" s="295"/>
      <c r="AU63" s="295"/>
      <c r="AV63" s="295"/>
      <c r="AW63" s="295"/>
      <c r="AX63" s="295"/>
      <c r="AY63" s="295"/>
      <c r="AZ63" s="295"/>
      <c r="BA63" s="295"/>
      <c r="BB63" s="295"/>
      <c r="BC63" s="295"/>
      <c r="BD63" s="295"/>
      <c r="BE63" s="296"/>
      <c r="BF63" s="304"/>
      <c r="BG63" s="304"/>
      <c r="BH63" s="304"/>
      <c r="BI63" s="304"/>
      <c r="BJ63" s="304"/>
      <c r="BK63" s="304"/>
      <c r="BL63" s="304"/>
      <c r="BM63" s="304"/>
      <c r="BN63" s="304"/>
      <c r="BO63" s="304"/>
      <c r="BP63" s="304"/>
      <c r="BQ63" s="304"/>
      <c r="BR63" s="304"/>
      <c r="BS63" s="304"/>
      <c r="BT63" s="304"/>
      <c r="BU63" s="305"/>
      <c r="BV63" s="263"/>
      <c r="BW63" s="251"/>
      <c r="BX63" s="251"/>
      <c r="BY63" s="251"/>
      <c r="BZ63" s="251"/>
      <c r="CA63" s="251"/>
      <c r="CB63" s="251"/>
      <c r="CC63" s="251"/>
      <c r="CD63" s="251"/>
      <c r="CE63" s="251"/>
      <c r="CF63" s="251"/>
      <c r="CG63" s="251"/>
      <c r="CH63" s="251"/>
      <c r="CI63" s="251"/>
      <c r="CJ63" s="251"/>
      <c r="CK63" s="251"/>
      <c r="CL63" s="251"/>
      <c r="CM63" s="252"/>
    </row>
    <row r="64" spans="1:91" ht="27" customHeight="1">
      <c r="A64" s="288"/>
      <c r="B64" s="289"/>
      <c r="C64" s="289"/>
      <c r="D64" s="52"/>
      <c r="E64" s="290"/>
      <c r="F64" s="290"/>
      <c r="G64" s="290"/>
      <c r="H64" s="53"/>
      <c r="I64" s="53"/>
      <c r="J64" s="53"/>
      <c r="K64" s="54"/>
      <c r="L64" s="294"/>
      <c r="M64" s="295"/>
      <c r="N64" s="295"/>
      <c r="O64" s="295"/>
      <c r="P64" s="295"/>
      <c r="Q64" s="295"/>
      <c r="R64" s="295"/>
      <c r="S64" s="295"/>
      <c r="T64" s="295"/>
      <c r="U64" s="295"/>
      <c r="V64" s="295"/>
      <c r="W64" s="295"/>
      <c r="X64" s="295"/>
      <c r="Y64" s="295"/>
      <c r="Z64" s="295"/>
      <c r="AA64" s="295"/>
      <c r="AB64" s="295"/>
      <c r="AC64" s="295"/>
      <c r="AD64" s="295"/>
      <c r="AE64" s="295"/>
      <c r="AF64" s="295"/>
      <c r="AG64" s="295"/>
      <c r="AH64" s="295"/>
      <c r="AI64" s="295"/>
      <c r="AJ64" s="295"/>
      <c r="AK64" s="295"/>
      <c r="AL64" s="295"/>
      <c r="AM64" s="295"/>
      <c r="AN64" s="295"/>
      <c r="AO64" s="295"/>
      <c r="AP64" s="295"/>
      <c r="AQ64" s="295"/>
      <c r="AR64" s="295"/>
      <c r="AS64" s="295"/>
      <c r="AT64" s="295"/>
      <c r="AU64" s="295"/>
      <c r="AV64" s="295"/>
      <c r="AW64" s="295"/>
      <c r="AX64" s="295"/>
      <c r="AY64" s="295"/>
      <c r="AZ64" s="295"/>
      <c r="BA64" s="295"/>
      <c r="BB64" s="295"/>
      <c r="BC64" s="295"/>
      <c r="BD64" s="295"/>
      <c r="BE64" s="296"/>
      <c r="BF64" s="247" t="s">
        <v>89</v>
      </c>
      <c r="BG64" s="247"/>
      <c r="BH64" s="247"/>
      <c r="BI64" s="247"/>
      <c r="BJ64" s="247"/>
      <c r="BK64" s="247"/>
      <c r="BL64" s="247"/>
      <c r="BM64" s="247"/>
      <c r="BN64" s="247"/>
      <c r="BO64" s="247"/>
      <c r="BP64" s="247"/>
      <c r="BQ64" s="247"/>
      <c r="BR64" s="247"/>
      <c r="BS64" s="247"/>
      <c r="BT64" s="247"/>
      <c r="BU64" s="248"/>
      <c r="BV64" s="279" t="s">
        <v>90</v>
      </c>
      <c r="BW64" s="280"/>
      <c r="BX64" s="280"/>
      <c r="BY64" s="280"/>
      <c r="BZ64" s="280"/>
      <c r="CA64" s="280"/>
      <c r="CB64" s="280"/>
      <c r="CC64" s="280"/>
      <c r="CD64" s="280"/>
      <c r="CE64" s="280"/>
      <c r="CF64" s="280"/>
      <c r="CG64" s="280"/>
      <c r="CH64" s="280"/>
      <c r="CI64" s="280"/>
      <c r="CJ64" s="280"/>
      <c r="CK64" s="280"/>
      <c r="CL64" s="280"/>
      <c r="CM64" s="281"/>
    </row>
    <row r="65" spans="1:91" ht="25.5" customHeight="1">
      <c r="A65" s="288"/>
      <c r="B65" s="289"/>
      <c r="C65" s="289"/>
      <c r="D65" s="52"/>
      <c r="E65" s="290"/>
      <c r="F65" s="290"/>
      <c r="G65" s="290"/>
      <c r="H65" s="53"/>
      <c r="I65" s="53"/>
      <c r="J65" s="53"/>
      <c r="K65" s="54"/>
      <c r="L65" s="294"/>
      <c r="M65" s="295"/>
      <c r="N65" s="295"/>
      <c r="O65" s="295"/>
      <c r="P65" s="295"/>
      <c r="Q65" s="295"/>
      <c r="R65" s="295"/>
      <c r="S65" s="295"/>
      <c r="T65" s="295"/>
      <c r="U65" s="295"/>
      <c r="V65" s="295"/>
      <c r="W65" s="295"/>
      <c r="X65" s="295"/>
      <c r="Y65" s="295"/>
      <c r="Z65" s="295"/>
      <c r="AA65" s="295"/>
      <c r="AB65" s="295"/>
      <c r="AC65" s="295"/>
      <c r="AD65" s="295"/>
      <c r="AE65" s="295"/>
      <c r="AF65" s="295"/>
      <c r="AG65" s="295"/>
      <c r="AH65" s="295"/>
      <c r="AI65" s="295"/>
      <c r="AJ65" s="295"/>
      <c r="AK65" s="295"/>
      <c r="AL65" s="295"/>
      <c r="AM65" s="295"/>
      <c r="AN65" s="295"/>
      <c r="AO65" s="295"/>
      <c r="AP65" s="295"/>
      <c r="AQ65" s="295"/>
      <c r="AR65" s="295"/>
      <c r="AS65" s="295"/>
      <c r="AT65" s="295"/>
      <c r="AU65" s="295"/>
      <c r="AV65" s="295"/>
      <c r="AW65" s="295"/>
      <c r="AX65" s="295"/>
      <c r="AY65" s="295"/>
      <c r="AZ65" s="295"/>
      <c r="BA65" s="295"/>
      <c r="BB65" s="295"/>
      <c r="BC65" s="295"/>
      <c r="BD65" s="295"/>
      <c r="BE65" s="296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50"/>
      <c r="BV65" s="282"/>
      <c r="BW65" s="283"/>
      <c r="BX65" s="283"/>
      <c r="BY65" s="283"/>
      <c r="BZ65" s="283"/>
      <c r="CA65" s="283"/>
      <c r="CB65" s="283"/>
      <c r="CC65" s="283"/>
      <c r="CD65" s="283"/>
      <c r="CE65" s="283"/>
      <c r="CF65" s="283"/>
      <c r="CG65" s="283"/>
      <c r="CH65" s="283"/>
      <c r="CI65" s="283"/>
      <c r="CJ65" s="283"/>
      <c r="CK65" s="283"/>
      <c r="CL65" s="283"/>
      <c r="CM65" s="284"/>
    </row>
    <row r="66" spans="1:91" ht="25.5" customHeight="1" thickBot="1">
      <c r="A66" s="288"/>
      <c r="B66" s="289"/>
      <c r="C66" s="289"/>
      <c r="D66" s="52"/>
      <c r="E66" s="290"/>
      <c r="F66" s="290"/>
      <c r="G66" s="290"/>
      <c r="H66" s="53"/>
      <c r="I66" s="53"/>
      <c r="J66" s="53"/>
      <c r="K66" s="54"/>
      <c r="L66" s="294"/>
      <c r="M66" s="295"/>
      <c r="N66" s="295"/>
      <c r="O66" s="295"/>
      <c r="P66" s="295"/>
      <c r="Q66" s="295"/>
      <c r="R66" s="295"/>
      <c r="S66" s="295"/>
      <c r="T66" s="295"/>
      <c r="U66" s="295"/>
      <c r="V66" s="295"/>
      <c r="W66" s="295"/>
      <c r="X66" s="295"/>
      <c r="Y66" s="295"/>
      <c r="Z66" s="295"/>
      <c r="AA66" s="295"/>
      <c r="AB66" s="295"/>
      <c r="AC66" s="295"/>
      <c r="AD66" s="295"/>
      <c r="AE66" s="295"/>
      <c r="AF66" s="295"/>
      <c r="AG66" s="295"/>
      <c r="AH66" s="295"/>
      <c r="AI66" s="295"/>
      <c r="AJ66" s="295"/>
      <c r="AK66" s="295"/>
      <c r="AL66" s="295"/>
      <c r="AM66" s="295"/>
      <c r="AN66" s="295"/>
      <c r="AO66" s="295"/>
      <c r="AP66" s="295"/>
      <c r="AQ66" s="295"/>
      <c r="AR66" s="295"/>
      <c r="AS66" s="295"/>
      <c r="AT66" s="295"/>
      <c r="AU66" s="295"/>
      <c r="AV66" s="295"/>
      <c r="AW66" s="295"/>
      <c r="AX66" s="295"/>
      <c r="AY66" s="295"/>
      <c r="AZ66" s="295"/>
      <c r="BA66" s="295"/>
      <c r="BB66" s="295"/>
      <c r="BC66" s="295"/>
      <c r="BD66" s="295"/>
      <c r="BE66" s="296"/>
      <c r="BF66" s="251"/>
      <c r="BG66" s="251"/>
      <c r="BH66" s="251"/>
      <c r="BI66" s="251"/>
      <c r="BJ66" s="251"/>
      <c r="BK66" s="251"/>
      <c r="BL66" s="251"/>
      <c r="BM66" s="251"/>
      <c r="BN66" s="251"/>
      <c r="BO66" s="251"/>
      <c r="BP66" s="251"/>
      <c r="BQ66" s="251"/>
      <c r="BR66" s="251"/>
      <c r="BS66" s="251"/>
      <c r="BT66" s="251"/>
      <c r="BU66" s="252"/>
      <c r="BV66" s="285"/>
      <c r="BW66" s="286"/>
      <c r="BX66" s="286"/>
      <c r="BY66" s="286"/>
      <c r="BZ66" s="286"/>
      <c r="CA66" s="286"/>
      <c r="CB66" s="286"/>
      <c r="CC66" s="286"/>
      <c r="CD66" s="286"/>
      <c r="CE66" s="286"/>
      <c r="CF66" s="286"/>
      <c r="CG66" s="286"/>
      <c r="CH66" s="286"/>
      <c r="CI66" s="286"/>
      <c r="CJ66" s="286"/>
      <c r="CK66" s="286"/>
      <c r="CL66" s="286"/>
      <c r="CM66" s="287"/>
    </row>
    <row r="67" spans="1:91" ht="25.5" customHeight="1">
      <c r="A67" s="255" t="e">
        <f>IF(#REF!&lt;&gt;"",#REF!,"")</f>
        <v>#REF!</v>
      </c>
      <c r="B67" s="256"/>
      <c r="C67" s="256"/>
      <c r="D67" s="185"/>
      <c r="E67" s="257" t="e">
        <f>IF(#REF!&lt;&gt;"",#REF!,"")</f>
        <v>#REF!</v>
      </c>
      <c r="F67" s="257"/>
      <c r="G67" s="257"/>
      <c r="H67" s="186" t="e">
        <f>IF(#REF!&lt;&gt;"",#REF!,"")</f>
        <v>#REF!</v>
      </c>
      <c r="I67" s="186" t="e">
        <f>IF(#REF!&lt;&gt;"",#REF!,"")</f>
        <v>#REF!</v>
      </c>
      <c r="J67" s="186" t="e">
        <f>IF(#REF!&lt;&gt;"",#REF!,"")</f>
        <v>#REF!</v>
      </c>
      <c r="K67" s="187" t="e">
        <f>IF(#REF!&lt;&gt;"",#REF!,"")</f>
        <v>#REF!</v>
      </c>
      <c r="L67" s="294"/>
      <c r="M67" s="295"/>
      <c r="N67" s="295"/>
      <c r="O67" s="295"/>
      <c r="P67" s="295"/>
      <c r="Q67" s="295"/>
      <c r="R67" s="295"/>
      <c r="S67" s="295"/>
      <c r="T67" s="295"/>
      <c r="U67" s="295"/>
      <c r="V67" s="295"/>
      <c r="W67" s="295"/>
      <c r="X67" s="295"/>
      <c r="Y67" s="295"/>
      <c r="Z67" s="295"/>
      <c r="AA67" s="295"/>
      <c r="AB67" s="295"/>
      <c r="AC67" s="295"/>
      <c r="AD67" s="295"/>
      <c r="AE67" s="295"/>
      <c r="AF67" s="295"/>
      <c r="AG67" s="295"/>
      <c r="AH67" s="295"/>
      <c r="AI67" s="295"/>
      <c r="AJ67" s="295"/>
      <c r="AK67" s="295"/>
      <c r="AL67" s="295"/>
      <c r="AM67" s="295"/>
      <c r="AN67" s="295"/>
      <c r="AO67" s="295"/>
      <c r="AP67" s="295"/>
      <c r="AQ67" s="295"/>
      <c r="AR67" s="295"/>
      <c r="AS67" s="295"/>
      <c r="AT67" s="295"/>
      <c r="AU67" s="295"/>
      <c r="AV67" s="295"/>
      <c r="AW67" s="295"/>
      <c r="AX67" s="295"/>
      <c r="AY67" s="295"/>
      <c r="AZ67" s="295"/>
      <c r="BA67" s="295"/>
      <c r="BB67" s="295"/>
      <c r="BC67" s="295"/>
      <c r="BD67" s="295"/>
      <c r="BE67" s="296"/>
      <c r="BF67" s="272" t="s">
        <v>34</v>
      </c>
      <c r="BG67" s="272"/>
      <c r="BH67" s="272"/>
      <c r="BI67" s="272"/>
      <c r="BJ67" s="272"/>
      <c r="BK67" s="272"/>
      <c r="BL67" s="272"/>
      <c r="BM67" s="272"/>
      <c r="BN67" s="272"/>
      <c r="BO67" s="272"/>
      <c r="BP67" s="272"/>
      <c r="BQ67" s="272"/>
      <c r="BR67" s="272"/>
      <c r="BS67" s="272"/>
      <c r="BT67" s="272"/>
      <c r="BU67" s="254"/>
      <c r="BV67" s="273" t="s">
        <v>35</v>
      </c>
      <c r="BW67" s="272"/>
      <c r="BX67" s="274"/>
      <c r="BY67" s="253" t="s">
        <v>36</v>
      </c>
      <c r="BZ67" s="272"/>
      <c r="CA67" s="272"/>
      <c r="CB67" s="272"/>
      <c r="CC67" s="272"/>
      <c r="CD67" s="272"/>
      <c r="CE67" s="272"/>
      <c r="CF67" s="272"/>
      <c r="CG67" s="272"/>
      <c r="CH67" s="272"/>
      <c r="CI67" s="272"/>
      <c r="CJ67" s="272"/>
      <c r="CK67" s="274"/>
      <c r="CL67" s="253" t="s">
        <v>37</v>
      </c>
      <c r="CM67" s="254"/>
    </row>
    <row r="68" spans="1:91" ht="25.5" customHeight="1">
      <c r="A68" s="255" t="e">
        <f>IF(#REF!&lt;&gt;"",#REF!,"")</f>
        <v>#REF!</v>
      </c>
      <c r="B68" s="256"/>
      <c r="C68" s="256"/>
      <c r="D68" s="185"/>
      <c r="E68" s="257" t="e">
        <f>IF(#REF!&lt;&gt;"",#REF!,"")</f>
        <v>#REF!</v>
      </c>
      <c r="F68" s="257"/>
      <c r="G68" s="257"/>
      <c r="H68" s="186" t="e">
        <f>IF(#REF!&lt;&gt;"",#REF!,"")</f>
        <v>#REF!</v>
      </c>
      <c r="I68" s="186" t="e">
        <f>IF(#REF!&lt;&gt;"",#REF!,"")</f>
        <v>#REF!</v>
      </c>
      <c r="J68" s="186" t="e">
        <f>IF(#REF!&lt;&gt;"",#REF!,"")</f>
        <v>#REF!</v>
      </c>
      <c r="K68" s="187" t="e">
        <f>IF(#REF!&lt;&gt;"",#REF!,"")</f>
        <v>#REF!</v>
      </c>
      <c r="L68" s="294"/>
      <c r="M68" s="295"/>
      <c r="N68" s="295"/>
      <c r="O68" s="295"/>
      <c r="P68" s="295"/>
      <c r="Q68" s="295"/>
      <c r="R68" s="295"/>
      <c r="S68" s="295"/>
      <c r="T68" s="295"/>
      <c r="U68" s="295"/>
      <c r="V68" s="295"/>
      <c r="W68" s="295"/>
      <c r="X68" s="295"/>
      <c r="Y68" s="295"/>
      <c r="Z68" s="295"/>
      <c r="AA68" s="295"/>
      <c r="AB68" s="295"/>
      <c r="AC68" s="295"/>
      <c r="AD68" s="295"/>
      <c r="AE68" s="295"/>
      <c r="AF68" s="295"/>
      <c r="AG68" s="295"/>
      <c r="AH68" s="295"/>
      <c r="AI68" s="295"/>
      <c r="AJ68" s="295"/>
      <c r="AK68" s="295"/>
      <c r="AL68" s="295"/>
      <c r="AM68" s="295"/>
      <c r="AN68" s="295"/>
      <c r="AO68" s="295"/>
      <c r="AP68" s="295"/>
      <c r="AQ68" s="295"/>
      <c r="AR68" s="295"/>
      <c r="AS68" s="295"/>
      <c r="AT68" s="295"/>
      <c r="AU68" s="295"/>
      <c r="AV68" s="295"/>
      <c r="AW68" s="295"/>
      <c r="AX68" s="295"/>
      <c r="AY68" s="295"/>
      <c r="AZ68" s="295"/>
      <c r="BA68" s="295"/>
      <c r="BB68" s="295"/>
      <c r="BC68" s="295"/>
      <c r="BD68" s="295"/>
      <c r="BE68" s="296"/>
      <c r="BF68" s="258" t="s">
        <v>5</v>
      </c>
      <c r="BG68" s="259"/>
      <c r="BH68" s="259"/>
      <c r="BI68" s="259"/>
      <c r="BJ68" s="259"/>
      <c r="BK68" s="259"/>
      <c r="BL68" s="259"/>
      <c r="BM68" s="259"/>
      <c r="BN68" s="259"/>
      <c r="BO68" s="259"/>
      <c r="BP68" s="259"/>
      <c r="BQ68" s="259"/>
      <c r="BR68" s="259"/>
      <c r="BS68" s="259"/>
      <c r="BT68" s="259"/>
      <c r="BU68" s="260"/>
      <c r="BV68" s="261" t="s">
        <v>12</v>
      </c>
      <c r="BW68" s="259"/>
      <c r="BX68" s="262"/>
      <c r="BY68" s="265" t="s">
        <v>1699</v>
      </c>
      <c r="BZ68" s="266"/>
      <c r="CA68" s="266"/>
      <c r="CB68" s="266"/>
      <c r="CC68" s="266"/>
      <c r="CD68" s="266"/>
      <c r="CE68" s="266"/>
      <c r="CF68" s="266"/>
      <c r="CG68" s="266"/>
      <c r="CH68" s="266"/>
      <c r="CI68" s="266"/>
      <c r="CJ68" s="266"/>
      <c r="CK68" s="267"/>
      <c r="CL68" s="227" t="s">
        <v>11</v>
      </c>
      <c r="CM68" s="260"/>
    </row>
    <row r="69" spans="1:91" ht="25.5" customHeight="1" thickBot="1">
      <c r="A69" s="255" t="e">
        <f>IF(#REF!&lt;&gt;"",#REF!,"")</f>
        <v>#REF!</v>
      </c>
      <c r="B69" s="256"/>
      <c r="C69" s="256"/>
      <c r="D69" s="185"/>
      <c r="E69" s="257" t="e">
        <f>IF(#REF!&lt;&gt;"",#REF!,"")</f>
        <v>#REF!</v>
      </c>
      <c r="F69" s="257"/>
      <c r="G69" s="257"/>
      <c r="H69" s="186" t="e">
        <f>IF(#REF!&lt;&gt;"",#REF!,"")</f>
        <v>#REF!</v>
      </c>
      <c r="I69" s="186" t="e">
        <f>IF(#REF!&lt;&gt;"",#REF!,"")</f>
        <v>#REF!</v>
      </c>
      <c r="J69" s="186" t="e">
        <f>IF(#REF!&lt;&gt;"",#REF!,"")</f>
        <v>#REF!</v>
      </c>
      <c r="K69" s="187" t="e">
        <f>IF(#REF!&lt;&gt;"",#REF!,"")</f>
        <v>#REF!</v>
      </c>
      <c r="L69" s="297"/>
      <c r="M69" s="298"/>
      <c r="N69" s="298"/>
      <c r="O69" s="298"/>
      <c r="P69" s="298"/>
      <c r="Q69" s="298"/>
      <c r="R69" s="298"/>
      <c r="S69" s="298"/>
      <c r="T69" s="298"/>
      <c r="U69" s="298"/>
      <c r="V69" s="298"/>
      <c r="W69" s="298"/>
      <c r="X69" s="298"/>
      <c r="Y69" s="298"/>
      <c r="Z69" s="298"/>
      <c r="AA69" s="298"/>
      <c r="AB69" s="298"/>
      <c r="AC69" s="298"/>
      <c r="AD69" s="298"/>
      <c r="AE69" s="298"/>
      <c r="AF69" s="298"/>
      <c r="AG69" s="298"/>
      <c r="AH69" s="298"/>
      <c r="AI69" s="298"/>
      <c r="AJ69" s="298"/>
      <c r="AK69" s="298"/>
      <c r="AL69" s="298"/>
      <c r="AM69" s="298"/>
      <c r="AN69" s="298"/>
      <c r="AO69" s="298"/>
      <c r="AP69" s="298"/>
      <c r="AQ69" s="298"/>
      <c r="AR69" s="298"/>
      <c r="AS69" s="298"/>
      <c r="AT69" s="298"/>
      <c r="AU69" s="298"/>
      <c r="AV69" s="298"/>
      <c r="AW69" s="298"/>
      <c r="AX69" s="298"/>
      <c r="AY69" s="298"/>
      <c r="AZ69" s="298"/>
      <c r="BA69" s="298"/>
      <c r="BB69" s="298"/>
      <c r="BC69" s="298"/>
      <c r="BD69" s="298"/>
      <c r="BE69" s="299"/>
      <c r="BF69" s="251"/>
      <c r="BG69" s="251"/>
      <c r="BH69" s="251"/>
      <c r="BI69" s="251"/>
      <c r="BJ69" s="251"/>
      <c r="BK69" s="251"/>
      <c r="BL69" s="251"/>
      <c r="BM69" s="251"/>
      <c r="BN69" s="251"/>
      <c r="BO69" s="251"/>
      <c r="BP69" s="251"/>
      <c r="BQ69" s="251"/>
      <c r="BR69" s="251"/>
      <c r="BS69" s="251"/>
      <c r="BT69" s="251"/>
      <c r="BU69" s="252"/>
      <c r="BV69" s="263"/>
      <c r="BW69" s="251"/>
      <c r="BX69" s="264"/>
      <c r="BY69" s="268"/>
      <c r="BZ69" s="269"/>
      <c r="CA69" s="269"/>
      <c r="CB69" s="269"/>
      <c r="CC69" s="269"/>
      <c r="CD69" s="269"/>
      <c r="CE69" s="269"/>
      <c r="CF69" s="269"/>
      <c r="CG69" s="269"/>
      <c r="CH69" s="269"/>
      <c r="CI69" s="269"/>
      <c r="CJ69" s="269"/>
      <c r="CK69" s="270"/>
      <c r="CL69" s="271"/>
      <c r="CM69" s="252"/>
    </row>
    <row r="70" spans="1:91" ht="12" customHeight="1">
      <c r="A70" s="55"/>
      <c r="B70" s="56"/>
      <c r="C70" s="56"/>
      <c r="D70" s="56"/>
      <c r="E70" s="57"/>
      <c r="F70" s="58"/>
      <c r="G70" s="58"/>
      <c r="H70" s="58"/>
      <c r="I70" s="59"/>
      <c r="BL70" s="17"/>
      <c r="BM70" s="17"/>
      <c r="BN70" s="17"/>
      <c r="BO70" s="17"/>
      <c r="BP70" s="17"/>
      <c r="BQ70" s="17"/>
      <c r="BR70" s="17"/>
      <c r="BS70" s="17"/>
      <c r="BT70" s="61"/>
      <c r="CD70" s="57"/>
      <c r="CE70" s="57"/>
      <c r="CF70" s="57"/>
      <c r="CG70" s="57"/>
      <c r="CH70" s="57"/>
      <c r="CI70" s="57"/>
      <c r="CJ70" s="57"/>
      <c r="CK70" s="57"/>
      <c r="CL70" s="57"/>
      <c r="CM70" s="57"/>
    </row>
  </sheetData>
  <mergeCells count="45"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BV64:CM66"/>
    <mergeCell ref="A65:C65"/>
    <mergeCell ref="E65:G65"/>
    <mergeCell ref="A66:C66"/>
    <mergeCell ref="E66:G66"/>
    <mergeCell ref="A67:C67"/>
    <mergeCell ref="E67:G67"/>
    <mergeCell ref="BF67:BU67"/>
    <mergeCell ref="BV67:BX67"/>
    <mergeCell ref="BY67:CK67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BF64:BU66"/>
    <mergeCell ref="G7:G9"/>
    <mergeCell ref="H7:H9"/>
    <mergeCell ref="I7:K7"/>
    <mergeCell ref="J8:K8"/>
    <mergeCell ref="A61:C61"/>
    <mergeCell ref="E61:G61"/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29" orientation="landscape" r:id="rId1"/>
  <headerFooter alignWithMargins="0">
    <oddFooter xml:space="preserve">&amp;L&amp;Z&amp;F&amp;C&amp;D&amp;RConcise DesignShutdown Key 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DQ70"/>
  <sheetViews>
    <sheetView showGridLines="0" view="pageBreakPreview" topLeftCell="C1" zoomScale="50" zoomScaleNormal="50" zoomScaleSheetLayoutView="50" zoomScalePageLayoutView="50" workbookViewId="0">
      <selection activeCell="I1" sqref="I1:K9"/>
    </sheetView>
  </sheetViews>
  <sheetFormatPr defaultColWidth="12.7109375" defaultRowHeight="12" customHeight="1"/>
  <cols>
    <col min="1" max="1" width="8.7109375" style="21" hidden="1" customWidth="1"/>
    <col min="2" max="2" width="7.42578125" style="21" hidden="1" customWidth="1"/>
    <col min="3" max="3" width="19" style="21" customWidth="1"/>
    <col min="4" max="4" width="25.42578125" style="21" hidden="1" customWidth="1"/>
    <col min="5" max="5" width="95.85546875" style="27" bestFit="1" customWidth="1"/>
    <col min="6" max="6" width="18.42578125" style="196" hidden="1" customWidth="1"/>
    <col min="7" max="7" width="31.5703125" style="196" bestFit="1" customWidth="1"/>
    <col min="8" max="8" width="33" style="196" bestFit="1" customWidth="1"/>
    <col min="9" max="10" width="8.42578125" style="41" customWidth="1"/>
    <col min="11" max="11" width="10.85546875" style="41" bestFit="1" customWidth="1"/>
    <col min="12" max="12" width="6.140625" style="60" hidden="1" customWidth="1"/>
    <col min="13" max="14" width="6.140625" style="27" customWidth="1"/>
    <col min="15" max="16" width="6.140625" style="27" hidden="1" customWidth="1"/>
    <col min="17" max="21" width="6.140625" style="27" customWidth="1"/>
    <col min="22" max="22" width="6.140625" style="60" customWidth="1"/>
    <col min="23" max="31" width="6.140625" style="27" customWidth="1"/>
    <col min="32" max="32" width="6.140625" style="60" customWidth="1"/>
    <col min="33" max="41" width="6.140625" style="27" customWidth="1"/>
    <col min="42" max="42" width="6.140625" style="60" customWidth="1"/>
    <col min="43" max="51" width="6.140625" style="27" customWidth="1"/>
    <col min="52" max="52" width="6.140625" style="60" customWidth="1"/>
    <col min="53" max="61" width="6.140625" style="27" customWidth="1"/>
    <col min="62" max="62" width="6.140625" style="60" customWidth="1"/>
    <col min="63" max="71" width="6.140625" style="27" customWidth="1"/>
    <col min="72" max="72" width="6.140625" style="60" customWidth="1"/>
    <col min="73" max="80" width="6.140625" style="27" customWidth="1"/>
    <col min="81" max="81" width="6.140625" style="62" customWidth="1"/>
    <col min="82" max="91" width="6.140625" style="27" customWidth="1"/>
    <col min="92" max="16384" width="12.7109375" style="27"/>
  </cols>
  <sheetData>
    <row r="1" spans="1:121" s="194" customFormat="1" ht="20.25" customHeight="1">
      <c r="A1" s="15"/>
      <c r="B1" s="16"/>
      <c r="C1" s="16"/>
      <c r="D1" s="16"/>
      <c r="E1" s="17"/>
      <c r="F1" s="195"/>
      <c r="G1" s="195"/>
      <c r="H1" s="195"/>
      <c r="I1" s="18"/>
      <c r="J1" s="19" t="s">
        <v>13</v>
      </c>
      <c r="K1" s="20"/>
      <c r="L1" s="407">
        <v>1</v>
      </c>
      <c r="M1" s="402">
        <v>2</v>
      </c>
      <c r="N1" s="402">
        <v>3</v>
      </c>
      <c r="O1" s="402">
        <v>4</v>
      </c>
      <c r="P1" s="408">
        <v>6</v>
      </c>
      <c r="Q1" s="407">
        <v>7</v>
      </c>
      <c r="R1" s="402">
        <v>238</v>
      </c>
      <c r="S1" s="402">
        <v>889</v>
      </c>
      <c r="T1" s="402">
        <v>887</v>
      </c>
      <c r="U1" s="409">
        <v>888</v>
      </c>
      <c r="V1" s="401">
        <v>231</v>
      </c>
      <c r="W1" s="403">
        <v>7777</v>
      </c>
      <c r="X1" s="403"/>
      <c r="Y1" s="403"/>
      <c r="Z1" s="406"/>
      <c r="AA1" s="410"/>
      <c r="AB1" s="403"/>
      <c r="AC1" s="403"/>
      <c r="AD1" s="403"/>
      <c r="AE1" s="404"/>
      <c r="AF1" s="405"/>
      <c r="AG1" s="403"/>
      <c r="AH1" s="403"/>
      <c r="AI1" s="403"/>
      <c r="AJ1" s="406"/>
      <c r="AK1" s="410"/>
      <c r="AL1" s="403"/>
      <c r="AM1" s="403"/>
      <c r="AN1" s="403"/>
      <c r="AO1" s="404"/>
      <c r="AP1" s="405"/>
      <c r="AQ1" s="403"/>
      <c r="AR1" s="403"/>
      <c r="AS1" s="403"/>
      <c r="AT1" s="406"/>
      <c r="AU1" s="410"/>
      <c r="AV1" s="403"/>
      <c r="AW1" s="403"/>
      <c r="AX1" s="403"/>
      <c r="AY1" s="404"/>
      <c r="AZ1" s="405"/>
      <c r="BA1" s="403"/>
      <c r="BB1" s="403"/>
      <c r="BC1" s="403"/>
      <c r="BD1" s="406"/>
      <c r="BE1" s="410"/>
      <c r="BF1" s="403"/>
      <c r="BG1" s="403"/>
      <c r="BH1" s="403"/>
      <c r="BI1" s="404"/>
      <c r="BJ1" s="405"/>
      <c r="BK1" s="403"/>
      <c r="BL1" s="403"/>
      <c r="BM1" s="403"/>
      <c r="BN1" s="406"/>
      <c r="BO1" s="410"/>
      <c r="BP1" s="403"/>
      <c r="BQ1" s="403"/>
      <c r="BR1" s="403"/>
      <c r="BS1" s="404"/>
      <c r="BT1" s="405"/>
      <c r="BU1" s="403"/>
      <c r="BV1" s="403"/>
      <c r="BW1" s="403"/>
      <c r="BX1" s="406"/>
      <c r="BY1" s="410"/>
      <c r="BZ1" s="403"/>
      <c r="CA1" s="403"/>
      <c r="CB1" s="403"/>
      <c r="CC1" s="404"/>
      <c r="CD1" s="405"/>
      <c r="CE1" s="403"/>
      <c r="CF1" s="403"/>
      <c r="CG1" s="403"/>
      <c r="CH1" s="404"/>
      <c r="CI1" s="405"/>
      <c r="CJ1" s="403"/>
      <c r="CK1" s="403"/>
      <c r="CL1" s="403"/>
      <c r="CM1" s="406"/>
      <c r="CN1" s="21"/>
      <c r="CO1" s="21"/>
      <c r="CP1" s="21"/>
      <c r="CQ1" s="21"/>
      <c r="CR1" s="21"/>
      <c r="CS1" s="21"/>
      <c r="CT1" s="21"/>
      <c r="CU1" s="21"/>
      <c r="CV1" s="21"/>
      <c r="CW1" s="21"/>
      <c r="CX1" s="21"/>
      <c r="CY1" s="21"/>
      <c r="CZ1" s="21"/>
      <c r="DA1" s="21"/>
      <c r="DB1" s="21"/>
      <c r="DC1" s="21"/>
      <c r="DD1" s="21"/>
      <c r="DE1" s="21"/>
      <c r="DF1" s="21"/>
      <c r="DG1" s="21"/>
      <c r="DH1" s="21"/>
      <c r="DI1" s="21"/>
      <c r="DJ1" s="21"/>
      <c r="DK1" s="21"/>
      <c r="DL1" s="21"/>
      <c r="DM1" s="21"/>
      <c r="DN1" s="21"/>
      <c r="DO1" s="21"/>
      <c r="DP1" s="21"/>
      <c r="DQ1" s="21"/>
    </row>
    <row r="2" spans="1:121" s="194" customFormat="1" ht="24" customHeight="1" thickBot="1">
      <c r="A2" s="22"/>
      <c r="B2" s="21"/>
      <c r="C2" s="21"/>
      <c r="D2" s="21"/>
      <c r="F2" s="196"/>
      <c r="G2" s="196"/>
      <c r="H2" s="196"/>
      <c r="I2" s="23"/>
      <c r="J2" s="24" t="s">
        <v>14</v>
      </c>
      <c r="K2" s="25"/>
      <c r="L2" s="388" t="s">
        <v>11</v>
      </c>
      <c r="M2" s="387" t="s">
        <v>11</v>
      </c>
      <c r="N2" s="387" t="s">
        <v>11</v>
      </c>
      <c r="O2" s="387" t="s">
        <v>11</v>
      </c>
      <c r="P2" s="389" t="s">
        <v>11</v>
      </c>
      <c r="Q2" s="388" t="s">
        <v>77</v>
      </c>
      <c r="R2" s="387" t="s">
        <v>11</v>
      </c>
      <c r="S2" s="387" t="s">
        <v>11</v>
      </c>
      <c r="T2" s="387" t="s">
        <v>11</v>
      </c>
      <c r="U2" s="390" t="s">
        <v>11</v>
      </c>
      <c r="V2" s="386" t="s">
        <v>11</v>
      </c>
      <c r="W2" s="372" t="s">
        <v>11</v>
      </c>
      <c r="X2" s="372"/>
      <c r="Y2" s="372"/>
      <c r="Z2" s="373"/>
      <c r="AA2" s="374"/>
      <c r="AB2" s="372"/>
      <c r="AC2" s="372"/>
      <c r="AD2" s="372"/>
      <c r="AE2" s="371"/>
      <c r="AF2" s="375"/>
      <c r="AG2" s="372"/>
      <c r="AH2" s="372"/>
      <c r="AI2" s="372"/>
      <c r="AJ2" s="373"/>
      <c r="AK2" s="374"/>
      <c r="AL2" s="372"/>
      <c r="AM2" s="372"/>
      <c r="AN2" s="372"/>
      <c r="AO2" s="371"/>
      <c r="AP2" s="375"/>
      <c r="AQ2" s="372"/>
      <c r="AR2" s="372"/>
      <c r="AS2" s="372"/>
      <c r="AT2" s="373"/>
      <c r="AU2" s="374"/>
      <c r="AV2" s="372"/>
      <c r="AW2" s="372"/>
      <c r="AX2" s="372"/>
      <c r="AY2" s="371"/>
      <c r="AZ2" s="375"/>
      <c r="BA2" s="372"/>
      <c r="BB2" s="372"/>
      <c r="BC2" s="372"/>
      <c r="BD2" s="373"/>
      <c r="BE2" s="374"/>
      <c r="BF2" s="372"/>
      <c r="BG2" s="372"/>
      <c r="BH2" s="372"/>
      <c r="BI2" s="371"/>
      <c r="BJ2" s="375"/>
      <c r="BK2" s="372"/>
      <c r="BL2" s="372"/>
      <c r="BM2" s="372"/>
      <c r="BN2" s="373"/>
      <c r="BO2" s="374"/>
      <c r="BP2" s="372"/>
      <c r="BQ2" s="372"/>
      <c r="BR2" s="372"/>
      <c r="BS2" s="371"/>
      <c r="BT2" s="375"/>
      <c r="BU2" s="372"/>
      <c r="BV2" s="372"/>
      <c r="BW2" s="372"/>
      <c r="BX2" s="373"/>
      <c r="BY2" s="374"/>
      <c r="BZ2" s="372"/>
      <c r="CA2" s="372"/>
      <c r="CB2" s="372"/>
      <c r="CC2" s="371"/>
      <c r="CD2" s="375"/>
      <c r="CE2" s="372"/>
      <c r="CF2" s="372"/>
      <c r="CG2" s="372"/>
      <c r="CH2" s="371"/>
      <c r="CI2" s="375"/>
      <c r="CJ2" s="372"/>
      <c r="CK2" s="372"/>
      <c r="CL2" s="372"/>
      <c r="CM2" s="373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  <c r="DO2" s="26"/>
      <c r="DP2" s="26"/>
      <c r="DQ2" s="21"/>
    </row>
    <row r="3" spans="1:121" ht="111" customHeight="1">
      <c r="A3" s="22"/>
      <c r="I3" s="307" t="s">
        <v>15</v>
      </c>
      <c r="J3" s="308"/>
      <c r="K3" s="309"/>
      <c r="L3" s="421" t="s">
        <v>76</v>
      </c>
      <c r="M3" s="422" t="s">
        <v>76</v>
      </c>
      <c r="N3" s="422" t="s">
        <v>76</v>
      </c>
      <c r="O3" s="422" t="s">
        <v>76</v>
      </c>
      <c r="P3" s="423" t="s">
        <v>76</v>
      </c>
      <c r="Q3" s="421"/>
      <c r="R3" s="422" t="s">
        <v>16</v>
      </c>
      <c r="S3" s="422" t="s">
        <v>44</v>
      </c>
      <c r="T3" s="422" t="s">
        <v>44</v>
      </c>
      <c r="U3" s="424" t="s">
        <v>44</v>
      </c>
      <c r="V3" s="425" t="s">
        <v>44</v>
      </c>
      <c r="W3" s="372" t="s">
        <v>93</v>
      </c>
      <c r="X3" s="372"/>
      <c r="Y3" s="372"/>
      <c r="Z3" s="373"/>
      <c r="AA3" s="374"/>
      <c r="AB3" s="372"/>
      <c r="AC3" s="372"/>
      <c r="AD3" s="372"/>
      <c r="AE3" s="371"/>
      <c r="AF3" s="375"/>
      <c r="AG3" s="372"/>
      <c r="AH3" s="372"/>
      <c r="AI3" s="372"/>
      <c r="AJ3" s="373"/>
      <c r="AK3" s="374"/>
      <c r="AL3" s="372"/>
      <c r="AM3" s="372"/>
      <c r="AN3" s="372"/>
      <c r="AO3" s="371"/>
      <c r="AP3" s="375"/>
      <c r="AQ3" s="372"/>
      <c r="AR3" s="372"/>
      <c r="AS3" s="372"/>
      <c r="AT3" s="373"/>
      <c r="AU3" s="374"/>
      <c r="AV3" s="372"/>
      <c r="AW3" s="372"/>
      <c r="AX3" s="372"/>
      <c r="AY3" s="371"/>
      <c r="AZ3" s="375"/>
      <c r="BA3" s="372"/>
      <c r="BB3" s="372"/>
      <c r="BC3" s="372"/>
      <c r="BD3" s="373"/>
      <c r="BE3" s="374"/>
      <c r="BF3" s="372"/>
      <c r="BG3" s="372"/>
      <c r="BH3" s="372"/>
      <c r="BI3" s="371"/>
      <c r="BJ3" s="375"/>
      <c r="BK3" s="372"/>
      <c r="BL3" s="372"/>
      <c r="BM3" s="372"/>
      <c r="BN3" s="373"/>
      <c r="BO3" s="374"/>
      <c r="BP3" s="372"/>
      <c r="BQ3" s="372"/>
      <c r="BR3" s="372"/>
      <c r="BS3" s="371"/>
      <c r="BT3" s="375"/>
      <c r="BU3" s="372"/>
      <c r="BV3" s="372"/>
      <c r="BW3" s="372"/>
      <c r="BX3" s="373"/>
      <c r="BY3" s="374"/>
      <c r="BZ3" s="372"/>
      <c r="CA3" s="372"/>
      <c r="CB3" s="372"/>
      <c r="CC3" s="371"/>
      <c r="CD3" s="375"/>
      <c r="CE3" s="372"/>
      <c r="CF3" s="372"/>
      <c r="CG3" s="372"/>
      <c r="CH3" s="371"/>
      <c r="CI3" s="375"/>
      <c r="CJ3" s="372"/>
      <c r="CK3" s="372"/>
      <c r="CL3" s="372"/>
      <c r="CM3" s="373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</row>
    <row r="4" spans="1:121" s="29" customFormat="1" ht="156.75" customHeight="1">
      <c r="A4" s="22"/>
      <c r="B4" s="21"/>
      <c r="C4" s="21"/>
      <c r="D4" s="21"/>
      <c r="F4" s="21"/>
      <c r="G4" s="21"/>
      <c r="H4" s="30"/>
      <c r="I4" s="310" t="s">
        <v>17</v>
      </c>
      <c r="J4" s="311"/>
      <c r="K4" s="312"/>
      <c r="L4" s="421" t="s">
        <v>76</v>
      </c>
      <c r="M4" s="422" t="s">
        <v>76</v>
      </c>
      <c r="N4" s="422" t="s">
        <v>76</v>
      </c>
      <c r="O4" s="422" t="s">
        <v>76</v>
      </c>
      <c r="P4" s="423" t="s">
        <v>76</v>
      </c>
      <c r="Q4" s="421" t="s">
        <v>77</v>
      </c>
      <c r="R4" s="422" t="s">
        <v>76</v>
      </c>
      <c r="S4" s="422" t="s">
        <v>76</v>
      </c>
      <c r="T4" s="422" t="s">
        <v>76</v>
      </c>
      <c r="U4" s="424" t="s">
        <v>76</v>
      </c>
      <c r="V4" s="425" t="s">
        <v>76</v>
      </c>
      <c r="W4" s="372" t="s">
        <v>93</v>
      </c>
      <c r="X4" s="372"/>
      <c r="Y4" s="372"/>
      <c r="Z4" s="373"/>
      <c r="AA4" s="374"/>
      <c r="AB4" s="372"/>
      <c r="AC4" s="372"/>
      <c r="AD4" s="372"/>
      <c r="AE4" s="371"/>
      <c r="AF4" s="375"/>
      <c r="AG4" s="372"/>
      <c r="AH4" s="372"/>
      <c r="AI4" s="372"/>
      <c r="AJ4" s="373"/>
      <c r="AK4" s="374"/>
      <c r="AL4" s="372"/>
      <c r="AM4" s="372"/>
      <c r="AN4" s="372"/>
      <c r="AO4" s="371"/>
      <c r="AP4" s="375"/>
      <c r="AQ4" s="372"/>
      <c r="AR4" s="372"/>
      <c r="AS4" s="372"/>
      <c r="AT4" s="373"/>
      <c r="AU4" s="374"/>
      <c r="AV4" s="372"/>
      <c r="AW4" s="372"/>
      <c r="AX4" s="372"/>
      <c r="AY4" s="371"/>
      <c r="AZ4" s="375"/>
      <c r="BA4" s="372"/>
      <c r="BB4" s="372"/>
      <c r="BC4" s="372"/>
      <c r="BD4" s="373"/>
      <c r="BE4" s="374"/>
      <c r="BF4" s="372"/>
      <c r="BG4" s="372"/>
      <c r="BH4" s="372"/>
      <c r="BI4" s="371"/>
      <c r="BJ4" s="375"/>
      <c r="BK4" s="372"/>
      <c r="BL4" s="372"/>
      <c r="BM4" s="372"/>
      <c r="BN4" s="373"/>
      <c r="BO4" s="374"/>
      <c r="BP4" s="372"/>
      <c r="BQ4" s="372"/>
      <c r="BR4" s="372"/>
      <c r="BS4" s="371"/>
      <c r="BT4" s="375"/>
      <c r="BU4" s="372"/>
      <c r="BV4" s="372"/>
      <c r="BW4" s="372"/>
      <c r="BX4" s="373"/>
      <c r="BY4" s="374"/>
      <c r="BZ4" s="372"/>
      <c r="CA4" s="372"/>
      <c r="CB4" s="372"/>
      <c r="CC4" s="371"/>
      <c r="CD4" s="375"/>
      <c r="CE4" s="372"/>
      <c r="CF4" s="372"/>
      <c r="CG4" s="372"/>
      <c r="CH4" s="371"/>
      <c r="CI4" s="375"/>
      <c r="CJ4" s="372"/>
      <c r="CK4" s="372"/>
      <c r="CL4" s="372"/>
      <c r="CM4" s="373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6"/>
      <c r="DF4" s="28"/>
      <c r="DG4" s="26"/>
      <c r="DH4" s="28"/>
      <c r="DI4" s="26"/>
      <c r="DJ4" s="28"/>
      <c r="DK4" s="26"/>
      <c r="DL4" s="28"/>
      <c r="DM4" s="26"/>
      <c r="DN4" s="28"/>
      <c r="DO4" s="26"/>
      <c r="DP4" s="28"/>
      <c r="DQ4" s="28"/>
    </row>
    <row r="5" spans="1:121" s="21" customFormat="1" ht="408" customHeight="1">
      <c r="A5" s="22"/>
      <c r="H5" s="30" t="s">
        <v>18</v>
      </c>
      <c r="I5" s="203" t="s">
        <v>7</v>
      </c>
      <c r="J5" s="204"/>
      <c r="K5" s="313"/>
      <c r="L5" s="426" t="s">
        <v>69</v>
      </c>
      <c r="M5" s="427" t="s">
        <v>72</v>
      </c>
      <c r="N5" s="427" t="s">
        <v>71</v>
      </c>
      <c r="O5" s="427" t="s">
        <v>83</v>
      </c>
      <c r="P5" s="428" t="s">
        <v>82</v>
      </c>
      <c r="Q5" s="426"/>
      <c r="R5" s="427" t="s">
        <v>56</v>
      </c>
      <c r="S5" s="427" t="s">
        <v>59</v>
      </c>
      <c r="T5" s="427" t="s">
        <v>57</v>
      </c>
      <c r="U5" s="429" t="s">
        <v>58</v>
      </c>
      <c r="V5" s="430" t="s">
        <v>55</v>
      </c>
      <c r="W5" s="372" t="s">
        <v>93</v>
      </c>
      <c r="X5" s="372"/>
      <c r="Y5" s="372"/>
      <c r="Z5" s="373"/>
      <c r="AA5" s="374"/>
      <c r="AB5" s="372"/>
      <c r="AC5" s="372"/>
      <c r="AD5" s="372"/>
      <c r="AE5" s="371"/>
      <c r="AF5" s="375"/>
      <c r="AG5" s="372"/>
      <c r="AH5" s="372"/>
      <c r="AI5" s="372"/>
      <c r="AJ5" s="373"/>
      <c r="AK5" s="374"/>
      <c r="AL5" s="372"/>
      <c r="AM5" s="372"/>
      <c r="AN5" s="372"/>
      <c r="AO5" s="371"/>
      <c r="AP5" s="375"/>
      <c r="AQ5" s="372"/>
      <c r="AR5" s="372"/>
      <c r="AS5" s="372"/>
      <c r="AT5" s="373"/>
      <c r="AU5" s="374"/>
      <c r="AV5" s="372"/>
      <c r="AW5" s="372"/>
      <c r="AX5" s="372"/>
      <c r="AY5" s="371"/>
      <c r="AZ5" s="375"/>
      <c r="BA5" s="372"/>
      <c r="BB5" s="372"/>
      <c r="BC5" s="372"/>
      <c r="BD5" s="373"/>
      <c r="BE5" s="374"/>
      <c r="BF5" s="372"/>
      <c r="BG5" s="372"/>
      <c r="BH5" s="372"/>
      <c r="BI5" s="371"/>
      <c r="BJ5" s="375"/>
      <c r="BK5" s="372"/>
      <c r="BL5" s="372"/>
      <c r="BM5" s="372"/>
      <c r="BN5" s="373"/>
      <c r="BO5" s="374"/>
      <c r="BP5" s="372"/>
      <c r="BQ5" s="372"/>
      <c r="BR5" s="372"/>
      <c r="BS5" s="371"/>
      <c r="BT5" s="375"/>
      <c r="BU5" s="372"/>
      <c r="BV5" s="372"/>
      <c r="BW5" s="372"/>
      <c r="BX5" s="373"/>
      <c r="BY5" s="374"/>
      <c r="BZ5" s="372"/>
      <c r="CA5" s="372"/>
      <c r="CB5" s="372"/>
      <c r="CC5" s="371"/>
      <c r="CD5" s="375"/>
      <c r="CE5" s="372"/>
      <c r="CF5" s="372"/>
      <c r="CG5" s="372"/>
      <c r="CH5" s="371"/>
      <c r="CI5" s="375"/>
      <c r="CJ5" s="372"/>
      <c r="CK5" s="372"/>
      <c r="CL5" s="372"/>
      <c r="CM5" s="373"/>
      <c r="CN5" s="31"/>
      <c r="CO5" s="32"/>
      <c r="CP5" s="31"/>
      <c r="CQ5" s="32"/>
      <c r="CR5" s="31"/>
      <c r="CS5" s="32"/>
      <c r="CT5" s="31"/>
      <c r="CU5" s="32"/>
      <c r="CV5" s="31"/>
      <c r="CW5" s="33"/>
      <c r="CX5" s="31"/>
      <c r="CY5" s="33"/>
      <c r="CZ5" s="31"/>
      <c r="DA5" s="31"/>
      <c r="DB5" s="31"/>
      <c r="DC5" s="32"/>
      <c r="DD5" s="31"/>
      <c r="DE5" s="31"/>
      <c r="DF5" s="31"/>
      <c r="DG5" s="31"/>
      <c r="DH5" s="31"/>
      <c r="DI5" s="31"/>
      <c r="DJ5" s="31"/>
      <c r="DK5" s="32"/>
      <c r="DL5" s="31"/>
      <c r="DM5" s="33"/>
      <c r="DN5" s="31"/>
      <c r="DO5" s="31"/>
      <c r="DP5" s="31"/>
      <c r="DQ5" s="33"/>
    </row>
    <row r="6" spans="1:121" s="21" customFormat="1" ht="140.25" customHeight="1" thickBot="1">
      <c r="A6" s="22"/>
      <c r="D6" s="197"/>
      <c r="E6" s="197" t="s">
        <v>19</v>
      </c>
      <c r="I6" s="232" t="s">
        <v>20</v>
      </c>
      <c r="J6" s="233"/>
      <c r="K6" s="314"/>
      <c r="L6" s="431" t="s">
        <v>66</v>
      </c>
      <c r="M6" s="432" t="s">
        <v>64</v>
      </c>
      <c r="N6" s="432" t="s">
        <v>65</v>
      </c>
      <c r="O6" s="432" t="s">
        <v>67</v>
      </c>
      <c r="P6" s="433" t="s">
        <v>68</v>
      </c>
      <c r="Q6" s="431"/>
      <c r="R6" s="432" t="s">
        <v>21</v>
      </c>
      <c r="S6" s="432" t="s">
        <v>63</v>
      </c>
      <c r="T6" s="432" t="s">
        <v>61</v>
      </c>
      <c r="U6" s="434" t="s">
        <v>62</v>
      </c>
      <c r="V6" s="435" t="s">
        <v>60</v>
      </c>
      <c r="W6" s="393" t="s">
        <v>92</v>
      </c>
      <c r="X6" s="393"/>
      <c r="Y6" s="393"/>
      <c r="Z6" s="396"/>
      <c r="AA6" s="400"/>
      <c r="AB6" s="393"/>
      <c r="AC6" s="393"/>
      <c r="AD6" s="393"/>
      <c r="AE6" s="394"/>
      <c r="AF6" s="395"/>
      <c r="AG6" s="393"/>
      <c r="AH6" s="393"/>
      <c r="AI6" s="393"/>
      <c r="AJ6" s="396"/>
      <c r="AK6" s="400"/>
      <c r="AL6" s="393"/>
      <c r="AM6" s="393"/>
      <c r="AN6" s="393"/>
      <c r="AO6" s="394"/>
      <c r="AP6" s="395"/>
      <c r="AQ6" s="393"/>
      <c r="AR6" s="393"/>
      <c r="AS6" s="393"/>
      <c r="AT6" s="396"/>
      <c r="AU6" s="400"/>
      <c r="AV6" s="393"/>
      <c r="AW6" s="393"/>
      <c r="AX6" s="393"/>
      <c r="AY6" s="394"/>
      <c r="AZ6" s="395"/>
      <c r="BA6" s="393"/>
      <c r="BB6" s="393"/>
      <c r="BC6" s="393"/>
      <c r="BD6" s="396"/>
      <c r="BE6" s="400"/>
      <c r="BF6" s="393"/>
      <c r="BG6" s="393"/>
      <c r="BH6" s="393"/>
      <c r="BI6" s="394"/>
      <c r="BJ6" s="395"/>
      <c r="BK6" s="393"/>
      <c r="BL6" s="393"/>
      <c r="BM6" s="393"/>
      <c r="BN6" s="396"/>
      <c r="BO6" s="400"/>
      <c r="BP6" s="393"/>
      <c r="BQ6" s="393"/>
      <c r="BR6" s="393"/>
      <c r="BS6" s="394"/>
      <c r="BT6" s="395"/>
      <c r="BU6" s="393"/>
      <c r="BV6" s="393"/>
      <c r="BW6" s="393"/>
      <c r="BX6" s="396"/>
      <c r="BY6" s="400"/>
      <c r="BZ6" s="393"/>
      <c r="CA6" s="393"/>
      <c r="CB6" s="393"/>
      <c r="CC6" s="394"/>
      <c r="CD6" s="395"/>
      <c r="CE6" s="393"/>
      <c r="CF6" s="393"/>
      <c r="CG6" s="393"/>
      <c r="CH6" s="394"/>
      <c r="CI6" s="395"/>
      <c r="CJ6" s="393"/>
      <c r="CK6" s="393"/>
      <c r="CL6" s="393"/>
      <c r="CM6" s="396"/>
      <c r="CN6" s="28"/>
      <c r="CO6" s="28"/>
      <c r="CP6" s="28"/>
      <c r="CQ6" s="34"/>
      <c r="CR6" s="33"/>
      <c r="CS6" s="33"/>
      <c r="CT6" s="34"/>
      <c r="CU6" s="35"/>
      <c r="CV6" s="36"/>
      <c r="CW6" s="37"/>
      <c r="CX6" s="37"/>
      <c r="CY6" s="37"/>
      <c r="CZ6" s="38"/>
      <c r="DA6" s="39"/>
      <c r="DB6" s="39"/>
      <c r="DC6" s="39"/>
      <c r="DD6" s="28"/>
      <c r="DE6" s="39"/>
      <c r="DF6" s="40"/>
      <c r="DG6" s="39"/>
      <c r="DH6" s="40"/>
      <c r="DI6" s="39"/>
      <c r="DJ6" s="40"/>
      <c r="DK6" s="39"/>
      <c r="DL6" s="40"/>
      <c r="DM6" s="39"/>
      <c r="DN6" s="40"/>
      <c r="DO6" s="39"/>
      <c r="DP6" s="40"/>
      <c r="DQ6" s="40"/>
    </row>
    <row r="7" spans="1:121" s="41" customFormat="1" ht="25.5" customHeight="1">
      <c r="A7" s="221" t="s">
        <v>22</v>
      </c>
      <c r="B7" s="212" t="s">
        <v>23</v>
      </c>
      <c r="C7" s="212" t="s">
        <v>24</v>
      </c>
      <c r="D7" s="212" t="s">
        <v>25</v>
      </c>
      <c r="E7" s="212" t="s">
        <v>7</v>
      </c>
      <c r="F7" s="212" t="s">
        <v>26</v>
      </c>
      <c r="G7" s="212" t="s">
        <v>20</v>
      </c>
      <c r="H7" s="225" t="s">
        <v>27</v>
      </c>
      <c r="I7" s="318" t="s">
        <v>28</v>
      </c>
      <c r="J7" s="212"/>
      <c r="K7" s="319"/>
      <c r="L7" s="407"/>
      <c r="M7" s="402"/>
      <c r="N7" s="402"/>
      <c r="O7" s="402"/>
      <c r="P7" s="408"/>
      <c r="Q7" s="407"/>
      <c r="R7" s="402"/>
      <c r="S7" s="402"/>
      <c r="T7" s="402"/>
      <c r="U7" s="409"/>
      <c r="V7" s="401"/>
      <c r="W7" s="403" t="s">
        <v>93</v>
      </c>
      <c r="X7" s="403"/>
      <c r="Y7" s="403"/>
      <c r="Z7" s="406"/>
      <c r="AA7" s="410"/>
      <c r="AB7" s="403"/>
      <c r="AC7" s="403"/>
      <c r="AD7" s="403"/>
      <c r="AE7" s="404"/>
      <c r="AF7" s="405"/>
      <c r="AG7" s="403"/>
      <c r="AH7" s="403"/>
      <c r="AI7" s="403"/>
      <c r="AJ7" s="406"/>
      <c r="AK7" s="410"/>
      <c r="AL7" s="403"/>
      <c r="AM7" s="403"/>
      <c r="AN7" s="403"/>
      <c r="AO7" s="404"/>
      <c r="AP7" s="405"/>
      <c r="AQ7" s="403"/>
      <c r="AR7" s="403"/>
      <c r="AS7" s="403"/>
      <c r="AT7" s="406"/>
      <c r="AU7" s="410"/>
      <c r="AV7" s="403"/>
      <c r="AW7" s="403"/>
      <c r="AX7" s="403"/>
      <c r="AY7" s="404"/>
      <c r="AZ7" s="405"/>
      <c r="BA7" s="403"/>
      <c r="BB7" s="403"/>
      <c r="BC7" s="403"/>
      <c r="BD7" s="406"/>
      <c r="BE7" s="410"/>
      <c r="BF7" s="403"/>
      <c r="BG7" s="403"/>
      <c r="BH7" s="403"/>
      <c r="BI7" s="404"/>
      <c r="BJ7" s="405"/>
      <c r="BK7" s="403"/>
      <c r="BL7" s="403"/>
      <c r="BM7" s="403"/>
      <c r="BN7" s="406"/>
      <c r="BO7" s="410"/>
      <c r="BP7" s="403"/>
      <c r="BQ7" s="403"/>
      <c r="BR7" s="403"/>
      <c r="BS7" s="404"/>
      <c r="BT7" s="405"/>
      <c r="BU7" s="403"/>
      <c r="BV7" s="403"/>
      <c r="BW7" s="403"/>
      <c r="BX7" s="406"/>
      <c r="BY7" s="410"/>
      <c r="BZ7" s="403"/>
      <c r="CA7" s="403"/>
      <c r="CB7" s="403"/>
      <c r="CC7" s="404"/>
      <c r="CD7" s="405"/>
      <c r="CE7" s="403"/>
      <c r="CF7" s="403"/>
      <c r="CG7" s="403"/>
      <c r="CH7" s="404"/>
      <c r="CI7" s="405"/>
      <c r="CJ7" s="403"/>
      <c r="CK7" s="403"/>
      <c r="CL7" s="403"/>
      <c r="CM7" s="406"/>
    </row>
    <row r="8" spans="1:121" s="41" customFormat="1" ht="25.5" customHeight="1">
      <c r="A8" s="222"/>
      <c r="B8" s="213"/>
      <c r="C8" s="213"/>
      <c r="D8" s="213"/>
      <c r="E8" s="213"/>
      <c r="F8" s="213"/>
      <c r="G8" s="213"/>
      <c r="H8" s="226"/>
      <c r="I8" s="42"/>
      <c r="J8" s="214" t="s">
        <v>29</v>
      </c>
      <c r="K8" s="320"/>
      <c r="L8" s="388"/>
      <c r="M8" s="387"/>
      <c r="N8" s="387"/>
      <c r="O8" s="387"/>
      <c r="P8" s="389"/>
      <c r="Q8" s="388"/>
      <c r="R8" s="387"/>
      <c r="S8" s="387"/>
      <c r="T8" s="387"/>
      <c r="U8" s="390"/>
      <c r="V8" s="386"/>
      <c r="W8" s="372" t="s">
        <v>93</v>
      </c>
      <c r="X8" s="372"/>
      <c r="Y8" s="372"/>
      <c r="Z8" s="373"/>
      <c r="AA8" s="374"/>
      <c r="AB8" s="372"/>
      <c r="AC8" s="372"/>
      <c r="AD8" s="372"/>
      <c r="AE8" s="371"/>
      <c r="AF8" s="375"/>
      <c r="AG8" s="372"/>
      <c r="AH8" s="372"/>
      <c r="AI8" s="372"/>
      <c r="AJ8" s="373"/>
      <c r="AK8" s="374"/>
      <c r="AL8" s="372"/>
      <c r="AM8" s="372"/>
      <c r="AN8" s="372"/>
      <c r="AO8" s="371"/>
      <c r="AP8" s="375"/>
      <c r="AQ8" s="372"/>
      <c r="AR8" s="372"/>
      <c r="AS8" s="372"/>
      <c r="AT8" s="373"/>
      <c r="AU8" s="374"/>
      <c r="AV8" s="372"/>
      <c r="AW8" s="372"/>
      <c r="AX8" s="372"/>
      <c r="AY8" s="371"/>
      <c r="AZ8" s="375"/>
      <c r="BA8" s="372"/>
      <c r="BB8" s="372"/>
      <c r="BC8" s="372"/>
      <c r="BD8" s="373"/>
      <c r="BE8" s="374"/>
      <c r="BF8" s="372"/>
      <c r="BG8" s="372"/>
      <c r="BH8" s="372"/>
      <c r="BI8" s="371"/>
      <c r="BJ8" s="375"/>
      <c r="BK8" s="372"/>
      <c r="BL8" s="372"/>
      <c r="BM8" s="372"/>
      <c r="BN8" s="373"/>
      <c r="BO8" s="374"/>
      <c r="BP8" s="372"/>
      <c r="BQ8" s="372"/>
      <c r="BR8" s="372"/>
      <c r="BS8" s="371"/>
      <c r="BT8" s="375"/>
      <c r="BU8" s="372"/>
      <c r="BV8" s="372"/>
      <c r="BW8" s="372"/>
      <c r="BX8" s="373"/>
      <c r="BY8" s="374"/>
      <c r="BZ8" s="372"/>
      <c r="CA8" s="372"/>
      <c r="CB8" s="372"/>
      <c r="CC8" s="371"/>
      <c r="CD8" s="375"/>
      <c r="CE8" s="372"/>
      <c r="CF8" s="372"/>
      <c r="CG8" s="372"/>
      <c r="CH8" s="371"/>
      <c r="CI8" s="375"/>
      <c r="CJ8" s="372"/>
      <c r="CK8" s="372"/>
      <c r="CL8" s="372"/>
      <c r="CM8" s="373"/>
    </row>
    <row r="9" spans="1:121" s="41" customFormat="1" ht="25.5" customHeight="1" thickBot="1">
      <c r="A9" s="315"/>
      <c r="B9" s="316"/>
      <c r="C9" s="316"/>
      <c r="D9" s="316"/>
      <c r="E9" s="316"/>
      <c r="F9" s="316"/>
      <c r="G9" s="316"/>
      <c r="H9" s="317"/>
      <c r="I9" s="43"/>
      <c r="J9" s="191"/>
      <c r="K9" s="44" t="s">
        <v>30</v>
      </c>
      <c r="L9" s="413"/>
      <c r="M9" s="412"/>
      <c r="N9" s="412"/>
      <c r="O9" s="412"/>
      <c r="P9" s="414"/>
      <c r="Q9" s="413"/>
      <c r="R9" s="412"/>
      <c r="S9" s="412"/>
      <c r="T9" s="412"/>
      <c r="U9" s="415"/>
      <c r="V9" s="411"/>
      <c r="W9" s="377" t="s">
        <v>93</v>
      </c>
      <c r="X9" s="377"/>
      <c r="Y9" s="377"/>
      <c r="Z9" s="378"/>
      <c r="AA9" s="379"/>
      <c r="AB9" s="377"/>
      <c r="AC9" s="377"/>
      <c r="AD9" s="377"/>
      <c r="AE9" s="376"/>
      <c r="AF9" s="380"/>
      <c r="AG9" s="377"/>
      <c r="AH9" s="377"/>
      <c r="AI9" s="377"/>
      <c r="AJ9" s="378"/>
      <c r="AK9" s="379"/>
      <c r="AL9" s="377"/>
      <c r="AM9" s="377"/>
      <c r="AN9" s="377"/>
      <c r="AO9" s="376"/>
      <c r="AP9" s="380"/>
      <c r="AQ9" s="377"/>
      <c r="AR9" s="377"/>
      <c r="AS9" s="377"/>
      <c r="AT9" s="378"/>
      <c r="AU9" s="379"/>
      <c r="AV9" s="377"/>
      <c r="AW9" s="377"/>
      <c r="AX9" s="377"/>
      <c r="AY9" s="376"/>
      <c r="AZ9" s="380"/>
      <c r="BA9" s="377"/>
      <c r="BB9" s="377"/>
      <c r="BC9" s="377"/>
      <c r="BD9" s="378"/>
      <c r="BE9" s="379"/>
      <c r="BF9" s="377"/>
      <c r="BG9" s="377"/>
      <c r="BH9" s="377"/>
      <c r="BI9" s="376"/>
      <c r="BJ9" s="380"/>
      <c r="BK9" s="377"/>
      <c r="BL9" s="377"/>
      <c r="BM9" s="377"/>
      <c r="BN9" s="378"/>
      <c r="BO9" s="379"/>
      <c r="BP9" s="377"/>
      <c r="BQ9" s="377"/>
      <c r="BR9" s="377"/>
      <c r="BS9" s="376"/>
      <c r="BT9" s="380"/>
      <c r="BU9" s="377"/>
      <c r="BV9" s="377"/>
      <c r="BW9" s="377"/>
      <c r="BX9" s="378"/>
      <c r="BY9" s="379"/>
      <c r="BZ9" s="377"/>
      <c r="CA9" s="377"/>
      <c r="CB9" s="377"/>
      <c r="CC9" s="376"/>
      <c r="CD9" s="380"/>
      <c r="CE9" s="377"/>
      <c r="CF9" s="377"/>
      <c r="CG9" s="377"/>
      <c r="CH9" s="376"/>
      <c r="CI9" s="380"/>
      <c r="CJ9" s="377"/>
      <c r="CK9" s="377"/>
      <c r="CL9" s="377"/>
      <c r="CM9" s="378"/>
    </row>
    <row r="10" spans="1:121" ht="25.5" hidden="1" customHeight="1">
      <c r="A10" s="100">
        <v>4253</v>
      </c>
      <c r="B10" s="101" t="s">
        <v>11</v>
      </c>
      <c r="C10" s="101" t="s">
        <v>44</v>
      </c>
      <c r="D10" s="101" t="s">
        <v>76</v>
      </c>
      <c r="E10" s="102" t="s">
        <v>53</v>
      </c>
      <c r="F10" s="101"/>
      <c r="G10" s="102" t="s">
        <v>1074</v>
      </c>
      <c r="H10" s="177" t="s">
        <v>54</v>
      </c>
      <c r="I10" s="104"/>
      <c r="J10" s="102"/>
      <c r="K10" s="103"/>
      <c r="L10" s="347" t="s">
        <v>78</v>
      </c>
      <c r="M10" s="342" t="s">
        <v>77</v>
      </c>
      <c r="N10" s="342"/>
      <c r="O10" s="342" t="s">
        <v>77</v>
      </c>
      <c r="P10" s="348" t="s">
        <v>77</v>
      </c>
      <c r="Q10" s="347"/>
      <c r="R10" s="342"/>
      <c r="S10" s="342"/>
      <c r="T10" s="342"/>
      <c r="U10" s="349" t="s">
        <v>80</v>
      </c>
      <c r="V10" s="341"/>
      <c r="W10" s="343"/>
      <c r="X10" s="343"/>
      <c r="Y10" s="343"/>
      <c r="Z10" s="346"/>
      <c r="AA10" s="350"/>
      <c r="AB10" s="343"/>
      <c r="AC10" s="343"/>
      <c r="AD10" s="343"/>
      <c r="AE10" s="344"/>
      <c r="AF10" s="345"/>
      <c r="AG10" s="343"/>
      <c r="AH10" s="343"/>
      <c r="AI10" s="343"/>
      <c r="AJ10" s="346"/>
      <c r="AK10" s="350"/>
      <c r="AL10" s="343"/>
      <c r="AM10" s="343"/>
      <c r="AN10" s="343"/>
      <c r="AO10" s="344"/>
      <c r="AP10" s="345"/>
      <c r="AQ10" s="343"/>
      <c r="AR10" s="343"/>
      <c r="AS10" s="343"/>
      <c r="AT10" s="346"/>
      <c r="AU10" s="350"/>
      <c r="AV10" s="343"/>
      <c r="AW10" s="343"/>
      <c r="AX10" s="343"/>
      <c r="AY10" s="344"/>
      <c r="AZ10" s="345"/>
      <c r="BA10" s="343"/>
      <c r="BB10" s="343"/>
      <c r="BC10" s="343"/>
      <c r="BD10" s="346"/>
      <c r="BE10" s="350"/>
      <c r="BF10" s="343"/>
      <c r="BG10" s="343"/>
      <c r="BH10" s="343"/>
      <c r="BI10" s="344"/>
      <c r="BJ10" s="345"/>
      <c r="BK10" s="343"/>
      <c r="BL10" s="343"/>
      <c r="BM10" s="343"/>
      <c r="BN10" s="346"/>
      <c r="BO10" s="350"/>
      <c r="BP10" s="343"/>
      <c r="BQ10" s="343"/>
      <c r="BR10" s="343"/>
      <c r="BS10" s="344"/>
      <c r="BT10" s="345"/>
      <c r="BU10" s="343"/>
      <c r="BV10" s="343"/>
      <c r="BW10" s="343"/>
      <c r="BX10" s="346"/>
      <c r="BY10" s="350"/>
      <c r="BZ10" s="343"/>
      <c r="CA10" s="343"/>
      <c r="CB10" s="343"/>
      <c r="CC10" s="344"/>
      <c r="CD10" s="345"/>
      <c r="CE10" s="343"/>
      <c r="CF10" s="343"/>
      <c r="CG10" s="343"/>
      <c r="CH10" s="344"/>
      <c r="CI10" s="345"/>
      <c r="CJ10" s="343"/>
      <c r="CK10" s="343"/>
      <c r="CL10" s="343"/>
      <c r="CM10" s="346"/>
      <c r="CN10" s="45"/>
      <c r="CO10" s="45"/>
      <c r="CP10" s="45"/>
      <c r="CQ10" s="45"/>
      <c r="CR10" s="45"/>
      <c r="CS10" s="45"/>
      <c r="CT10" s="45"/>
      <c r="CU10" s="45"/>
      <c r="CV10" s="45"/>
      <c r="CW10" s="45"/>
      <c r="CX10" s="45"/>
      <c r="CY10" s="45"/>
      <c r="CZ10" s="45"/>
      <c r="DA10" s="45"/>
      <c r="DB10" s="45"/>
      <c r="DC10" s="45"/>
      <c r="DD10" s="45"/>
      <c r="DE10" s="45"/>
      <c r="DF10" s="45"/>
      <c r="DG10" s="45"/>
      <c r="DH10" s="45"/>
      <c r="DI10" s="45"/>
      <c r="DJ10" s="45"/>
      <c r="DK10" s="45"/>
      <c r="DL10" s="45"/>
      <c r="DM10" s="45"/>
      <c r="DN10" s="45"/>
    </row>
    <row r="11" spans="1:121" ht="25.5" customHeight="1">
      <c r="A11" s="321">
        <v>4254</v>
      </c>
      <c r="B11" s="322" t="s">
        <v>11</v>
      </c>
      <c r="C11" s="322" t="s">
        <v>44</v>
      </c>
      <c r="D11" s="322" t="s">
        <v>76</v>
      </c>
      <c r="E11" s="323" t="s">
        <v>53</v>
      </c>
      <c r="F11" s="322"/>
      <c r="G11" s="323" t="s">
        <v>1076</v>
      </c>
      <c r="H11" s="324" t="s">
        <v>54</v>
      </c>
      <c r="I11" s="325"/>
      <c r="J11" s="323"/>
      <c r="K11" s="326"/>
      <c r="L11" s="327" t="s">
        <v>78</v>
      </c>
      <c r="M11" s="322" t="s">
        <v>77</v>
      </c>
      <c r="N11" s="322"/>
      <c r="O11" s="322" t="s">
        <v>77</v>
      </c>
      <c r="P11" s="328" t="s">
        <v>77</v>
      </c>
      <c r="Q11" s="327"/>
      <c r="R11" s="322"/>
      <c r="S11" s="322"/>
      <c r="T11" s="322"/>
      <c r="U11" s="329" t="s">
        <v>80</v>
      </c>
      <c r="V11" s="321"/>
      <c r="W11" s="323"/>
      <c r="X11" s="323"/>
      <c r="Y11" s="323"/>
      <c r="Z11" s="326"/>
      <c r="AA11" s="330"/>
      <c r="AB11" s="323"/>
      <c r="AC11" s="323"/>
      <c r="AD11" s="323"/>
      <c r="AE11" s="324"/>
      <c r="AF11" s="325"/>
      <c r="AG11" s="323"/>
      <c r="AH11" s="323"/>
      <c r="AI11" s="323"/>
      <c r="AJ11" s="326"/>
      <c r="AK11" s="330"/>
      <c r="AL11" s="323"/>
      <c r="AM11" s="323"/>
      <c r="AN11" s="323"/>
      <c r="AO11" s="324"/>
      <c r="AP11" s="325"/>
      <c r="AQ11" s="323"/>
      <c r="AR11" s="323"/>
      <c r="AS11" s="323"/>
      <c r="AT11" s="326"/>
      <c r="AU11" s="330"/>
      <c r="AV11" s="323"/>
      <c r="AW11" s="323"/>
      <c r="AX11" s="323"/>
      <c r="AY11" s="324"/>
      <c r="AZ11" s="325"/>
      <c r="BA11" s="323"/>
      <c r="BB11" s="323"/>
      <c r="BC11" s="323"/>
      <c r="BD11" s="326"/>
      <c r="BE11" s="330"/>
      <c r="BF11" s="323"/>
      <c r="BG11" s="323"/>
      <c r="BH11" s="323"/>
      <c r="BI11" s="324"/>
      <c r="BJ11" s="325"/>
      <c r="BK11" s="323"/>
      <c r="BL11" s="323"/>
      <c r="BM11" s="323"/>
      <c r="BN11" s="326"/>
      <c r="BO11" s="330"/>
      <c r="BP11" s="323"/>
      <c r="BQ11" s="323"/>
      <c r="BR11" s="323"/>
      <c r="BS11" s="324"/>
      <c r="BT11" s="325"/>
      <c r="BU11" s="323"/>
      <c r="BV11" s="323"/>
      <c r="BW11" s="323"/>
      <c r="BX11" s="326"/>
      <c r="BY11" s="330"/>
      <c r="BZ11" s="323"/>
      <c r="CA11" s="323"/>
      <c r="CB11" s="323"/>
      <c r="CC11" s="324"/>
      <c r="CD11" s="325"/>
      <c r="CE11" s="323"/>
      <c r="CF11" s="323"/>
      <c r="CG11" s="323"/>
      <c r="CH11" s="324"/>
      <c r="CI11" s="325"/>
      <c r="CJ11" s="323"/>
      <c r="CK11" s="323"/>
      <c r="CL11" s="323"/>
      <c r="CM11" s="326"/>
      <c r="CN11" s="46"/>
      <c r="CO11" s="45"/>
      <c r="CP11" s="45"/>
      <c r="CQ11" s="45"/>
      <c r="CR11" s="46"/>
      <c r="CS11" s="45"/>
      <c r="CT11" s="45"/>
      <c r="CU11" s="45"/>
      <c r="CV11" s="45"/>
      <c r="CW11" s="45"/>
      <c r="CX11" s="46"/>
      <c r="CY11" s="45"/>
      <c r="CZ11" s="45"/>
      <c r="DA11" s="46"/>
      <c r="DB11" s="47"/>
      <c r="DC11" s="46"/>
      <c r="DD11" s="46"/>
      <c r="DE11" s="45"/>
      <c r="DF11" s="46"/>
      <c r="DG11" s="46"/>
      <c r="DH11" s="45"/>
      <c r="DI11" s="45"/>
      <c r="DJ11" s="45"/>
      <c r="DK11" s="45"/>
      <c r="DL11" s="45"/>
      <c r="DM11" s="45"/>
      <c r="DN11" s="45"/>
    </row>
    <row r="12" spans="1:121" ht="25.5" customHeight="1">
      <c r="A12" s="321">
        <v>4255</v>
      </c>
      <c r="B12" s="322" t="s">
        <v>11</v>
      </c>
      <c r="C12" s="322" t="s">
        <v>44</v>
      </c>
      <c r="D12" s="322" t="s">
        <v>76</v>
      </c>
      <c r="E12" s="323" t="s">
        <v>53</v>
      </c>
      <c r="F12" s="322"/>
      <c r="G12" s="323" t="s">
        <v>1078</v>
      </c>
      <c r="H12" s="324" t="s">
        <v>54</v>
      </c>
      <c r="I12" s="325"/>
      <c r="J12" s="323"/>
      <c r="K12" s="326"/>
      <c r="L12" s="327" t="s">
        <v>78</v>
      </c>
      <c r="M12" s="322" t="s">
        <v>77</v>
      </c>
      <c r="N12" s="322"/>
      <c r="O12" s="322" t="s">
        <v>77</v>
      </c>
      <c r="P12" s="328" t="s">
        <v>77</v>
      </c>
      <c r="Q12" s="327"/>
      <c r="R12" s="322"/>
      <c r="S12" s="322"/>
      <c r="T12" s="322"/>
      <c r="U12" s="329" t="s">
        <v>80</v>
      </c>
      <c r="V12" s="321"/>
      <c r="W12" s="323"/>
      <c r="X12" s="323"/>
      <c r="Y12" s="323"/>
      <c r="Z12" s="326"/>
      <c r="AA12" s="330"/>
      <c r="AB12" s="323"/>
      <c r="AC12" s="323"/>
      <c r="AD12" s="323"/>
      <c r="AE12" s="324"/>
      <c r="AF12" s="325"/>
      <c r="AG12" s="323"/>
      <c r="AH12" s="323"/>
      <c r="AI12" s="323"/>
      <c r="AJ12" s="326"/>
      <c r="AK12" s="330"/>
      <c r="AL12" s="323"/>
      <c r="AM12" s="323"/>
      <c r="AN12" s="323"/>
      <c r="AO12" s="324"/>
      <c r="AP12" s="325"/>
      <c r="AQ12" s="323"/>
      <c r="AR12" s="323"/>
      <c r="AS12" s="323"/>
      <c r="AT12" s="326"/>
      <c r="AU12" s="330"/>
      <c r="AV12" s="323"/>
      <c r="AW12" s="323"/>
      <c r="AX12" s="323"/>
      <c r="AY12" s="324"/>
      <c r="AZ12" s="325"/>
      <c r="BA12" s="323"/>
      <c r="BB12" s="323"/>
      <c r="BC12" s="323"/>
      <c r="BD12" s="326"/>
      <c r="BE12" s="330"/>
      <c r="BF12" s="323"/>
      <c r="BG12" s="323"/>
      <c r="BH12" s="323"/>
      <c r="BI12" s="324"/>
      <c r="BJ12" s="325"/>
      <c r="BK12" s="323"/>
      <c r="BL12" s="323"/>
      <c r="BM12" s="323"/>
      <c r="BN12" s="326"/>
      <c r="BO12" s="330"/>
      <c r="BP12" s="323"/>
      <c r="BQ12" s="323"/>
      <c r="BR12" s="323"/>
      <c r="BS12" s="324"/>
      <c r="BT12" s="325"/>
      <c r="BU12" s="323"/>
      <c r="BV12" s="323"/>
      <c r="BW12" s="323"/>
      <c r="BX12" s="326"/>
      <c r="BY12" s="330"/>
      <c r="BZ12" s="323"/>
      <c r="CA12" s="323"/>
      <c r="CB12" s="323"/>
      <c r="CC12" s="324"/>
      <c r="CD12" s="325"/>
      <c r="CE12" s="323"/>
      <c r="CF12" s="323"/>
      <c r="CG12" s="323"/>
      <c r="CH12" s="324"/>
      <c r="CI12" s="325"/>
      <c r="CJ12" s="323"/>
      <c r="CK12" s="323"/>
      <c r="CL12" s="323"/>
      <c r="CM12" s="326"/>
      <c r="CN12" s="45"/>
      <c r="CO12" s="45"/>
      <c r="CP12" s="45"/>
      <c r="CQ12" s="45"/>
      <c r="CR12" s="45"/>
      <c r="CS12" s="45"/>
      <c r="CT12" s="45"/>
      <c r="CU12" s="45"/>
      <c r="CV12" s="45"/>
      <c r="CW12" s="45"/>
      <c r="CX12" s="46"/>
      <c r="CY12" s="45"/>
      <c r="CZ12" s="45"/>
      <c r="DA12" s="46"/>
      <c r="DB12" s="45"/>
      <c r="DC12" s="46"/>
      <c r="DD12" s="46"/>
      <c r="DE12" s="45"/>
      <c r="DF12" s="46"/>
      <c r="DG12" s="46"/>
      <c r="DH12" s="45"/>
      <c r="DI12" s="45"/>
      <c r="DJ12" s="45"/>
      <c r="DK12" s="45"/>
      <c r="DL12" s="45"/>
      <c r="DM12" s="45"/>
      <c r="DN12" s="45"/>
    </row>
    <row r="13" spans="1:121" ht="25.5" hidden="1" customHeight="1">
      <c r="A13" s="321">
        <v>4256</v>
      </c>
      <c r="B13" s="322" t="s">
        <v>11</v>
      </c>
      <c r="C13" s="322" t="s">
        <v>44</v>
      </c>
      <c r="D13" s="322" t="s">
        <v>76</v>
      </c>
      <c r="E13" s="323" t="s">
        <v>53</v>
      </c>
      <c r="F13" s="322"/>
      <c r="G13" s="323" t="s">
        <v>1080</v>
      </c>
      <c r="H13" s="324" t="s">
        <v>54</v>
      </c>
      <c r="I13" s="325"/>
      <c r="J13" s="323"/>
      <c r="K13" s="326"/>
      <c r="L13" s="327" t="s">
        <v>78</v>
      </c>
      <c r="M13" s="322" t="s">
        <v>77</v>
      </c>
      <c r="N13" s="322"/>
      <c r="O13" s="322" t="s">
        <v>77</v>
      </c>
      <c r="P13" s="328" t="s">
        <v>77</v>
      </c>
      <c r="Q13" s="327"/>
      <c r="R13" s="322"/>
      <c r="S13" s="322"/>
      <c r="T13" s="322"/>
      <c r="U13" s="329" t="s">
        <v>80</v>
      </c>
      <c r="V13" s="321"/>
      <c r="W13" s="323"/>
      <c r="X13" s="323"/>
      <c r="Y13" s="323"/>
      <c r="Z13" s="326"/>
      <c r="AA13" s="330"/>
      <c r="AB13" s="323"/>
      <c r="AC13" s="323"/>
      <c r="AD13" s="323"/>
      <c r="AE13" s="324"/>
      <c r="AF13" s="325"/>
      <c r="AG13" s="323"/>
      <c r="AH13" s="323"/>
      <c r="AI13" s="323"/>
      <c r="AJ13" s="326"/>
      <c r="AK13" s="330"/>
      <c r="AL13" s="323"/>
      <c r="AM13" s="323"/>
      <c r="AN13" s="323"/>
      <c r="AO13" s="324"/>
      <c r="AP13" s="325"/>
      <c r="AQ13" s="323"/>
      <c r="AR13" s="323"/>
      <c r="AS13" s="323"/>
      <c r="AT13" s="326"/>
      <c r="AU13" s="330"/>
      <c r="AV13" s="323"/>
      <c r="AW13" s="323"/>
      <c r="AX13" s="323"/>
      <c r="AY13" s="324"/>
      <c r="AZ13" s="325"/>
      <c r="BA13" s="323"/>
      <c r="BB13" s="323"/>
      <c r="BC13" s="323"/>
      <c r="BD13" s="326"/>
      <c r="BE13" s="330"/>
      <c r="BF13" s="323"/>
      <c r="BG13" s="323"/>
      <c r="BH13" s="323"/>
      <c r="BI13" s="324"/>
      <c r="BJ13" s="325"/>
      <c r="BK13" s="323"/>
      <c r="BL13" s="323"/>
      <c r="BM13" s="323"/>
      <c r="BN13" s="326"/>
      <c r="BO13" s="330"/>
      <c r="BP13" s="323"/>
      <c r="BQ13" s="323"/>
      <c r="BR13" s="323"/>
      <c r="BS13" s="324"/>
      <c r="BT13" s="325"/>
      <c r="BU13" s="323"/>
      <c r="BV13" s="323"/>
      <c r="BW13" s="323"/>
      <c r="BX13" s="326"/>
      <c r="BY13" s="330"/>
      <c r="BZ13" s="323"/>
      <c r="CA13" s="323"/>
      <c r="CB13" s="323"/>
      <c r="CC13" s="324"/>
      <c r="CD13" s="325"/>
      <c r="CE13" s="323"/>
      <c r="CF13" s="323"/>
      <c r="CG13" s="323"/>
      <c r="CH13" s="324"/>
      <c r="CI13" s="325"/>
      <c r="CJ13" s="323"/>
      <c r="CK13" s="323"/>
      <c r="CL13" s="323"/>
      <c r="CM13" s="326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  <c r="DA13" s="45"/>
      <c r="DB13" s="45"/>
      <c r="DC13" s="45"/>
      <c r="DD13" s="45"/>
      <c r="DE13" s="45"/>
      <c r="DF13" s="45"/>
      <c r="DG13" s="46"/>
      <c r="DH13" s="45"/>
      <c r="DI13" s="45"/>
      <c r="DJ13" s="45"/>
      <c r="DK13" s="45"/>
      <c r="DL13" s="45"/>
      <c r="DM13" s="45"/>
      <c r="DN13" s="45"/>
    </row>
    <row r="14" spans="1:121" ht="25.5" hidden="1" customHeight="1" thickBot="1">
      <c r="A14" s="331">
        <v>4257</v>
      </c>
      <c r="B14" s="332" t="s">
        <v>11</v>
      </c>
      <c r="C14" s="332" t="s">
        <v>44</v>
      </c>
      <c r="D14" s="332" t="s">
        <v>76</v>
      </c>
      <c r="E14" s="333" t="s">
        <v>53</v>
      </c>
      <c r="F14" s="332"/>
      <c r="G14" s="333" t="s">
        <v>1082</v>
      </c>
      <c r="H14" s="334" t="s">
        <v>54</v>
      </c>
      <c r="I14" s="335"/>
      <c r="J14" s="333"/>
      <c r="K14" s="336"/>
      <c r="L14" s="337" t="s">
        <v>78</v>
      </c>
      <c r="M14" s="332" t="s">
        <v>77</v>
      </c>
      <c r="N14" s="332"/>
      <c r="O14" s="332" t="s">
        <v>77</v>
      </c>
      <c r="P14" s="338" t="s">
        <v>77</v>
      </c>
      <c r="Q14" s="337"/>
      <c r="R14" s="332"/>
      <c r="S14" s="332"/>
      <c r="T14" s="332"/>
      <c r="U14" s="339" t="s">
        <v>80</v>
      </c>
      <c r="V14" s="331"/>
      <c r="W14" s="333"/>
      <c r="X14" s="333"/>
      <c r="Y14" s="333"/>
      <c r="Z14" s="336"/>
      <c r="AA14" s="340"/>
      <c r="AB14" s="333"/>
      <c r="AC14" s="333"/>
      <c r="AD14" s="333"/>
      <c r="AE14" s="334"/>
      <c r="AF14" s="335"/>
      <c r="AG14" s="333"/>
      <c r="AH14" s="333"/>
      <c r="AI14" s="333"/>
      <c r="AJ14" s="336"/>
      <c r="AK14" s="340"/>
      <c r="AL14" s="333"/>
      <c r="AM14" s="333"/>
      <c r="AN14" s="333"/>
      <c r="AO14" s="334"/>
      <c r="AP14" s="335"/>
      <c r="AQ14" s="333"/>
      <c r="AR14" s="333"/>
      <c r="AS14" s="333"/>
      <c r="AT14" s="336"/>
      <c r="AU14" s="340"/>
      <c r="AV14" s="333"/>
      <c r="AW14" s="333"/>
      <c r="AX14" s="333"/>
      <c r="AY14" s="334"/>
      <c r="AZ14" s="335"/>
      <c r="BA14" s="333"/>
      <c r="BB14" s="333"/>
      <c r="BC14" s="333"/>
      <c r="BD14" s="336"/>
      <c r="BE14" s="340"/>
      <c r="BF14" s="333"/>
      <c r="BG14" s="333"/>
      <c r="BH14" s="333"/>
      <c r="BI14" s="334"/>
      <c r="BJ14" s="335"/>
      <c r="BK14" s="333"/>
      <c r="BL14" s="333"/>
      <c r="BM14" s="333"/>
      <c r="BN14" s="336"/>
      <c r="BO14" s="340"/>
      <c r="BP14" s="333"/>
      <c r="BQ14" s="333"/>
      <c r="BR14" s="333"/>
      <c r="BS14" s="334"/>
      <c r="BT14" s="335"/>
      <c r="BU14" s="333"/>
      <c r="BV14" s="333"/>
      <c r="BW14" s="333"/>
      <c r="BX14" s="336"/>
      <c r="BY14" s="340"/>
      <c r="BZ14" s="333"/>
      <c r="CA14" s="333"/>
      <c r="CB14" s="333"/>
      <c r="CC14" s="334"/>
      <c r="CD14" s="335"/>
      <c r="CE14" s="333"/>
      <c r="CF14" s="333"/>
      <c r="CG14" s="333"/>
      <c r="CH14" s="334"/>
      <c r="CI14" s="335"/>
      <c r="CJ14" s="333"/>
      <c r="CK14" s="333"/>
      <c r="CL14" s="333"/>
      <c r="CM14" s="336"/>
      <c r="CN14" s="45"/>
      <c r="CO14" s="45"/>
      <c r="CP14" s="45"/>
      <c r="CQ14" s="45"/>
      <c r="CR14" s="45"/>
      <c r="CS14" s="45"/>
      <c r="CT14" s="45"/>
      <c r="CU14" s="45"/>
      <c r="CV14" s="45"/>
      <c r="CW14" s="45"/>
      <c r="CX14" s="45"/>
      <c r="CY14" s="45"/>
      <c r="CZ14" s="45"/>
      <c r="DA14" s="45"/>
      <c r="DB14" s="45"/>
      <c r="DC14" s="45"/>
      <c r="DD14" s="45"/>
      <c r="DE14" s="45"/>
      <c r="DF14" s="45"/>
      <c r="DG14" s="46"/>
      <c r="DH14" s="45"/>
      <c r="DI14" s="45"/>
      <c r="DJ14" s="45"/>
      <c r="DK14" s="45"/>
      <c r="DL14" s="45"/>
      <c r="DM14" s="45"/>
      <c r="DN14" s="45"/>
    </row>
    <row r="15" spans="1:121" ht="25.5" customHeight="1">
      <c r="A15" s="341">
        <v>4258</v>
      </c>
      <c r="B15" s="342" t="s">
        <v>11</v>
      </c>
      <c r="C15" s="342" t="s">
        <v>44</v>
      </c>
      <c r="D15" s="342" t="s">
        <v>76</v>
      </c>
      <c r="E15" s="343" t="s">
        <v>53</v>
      </c>
      <c r="F15" s="342"/>
      <c r="G15" s="343" t="s">
        <v>1084</v>
      </c>
      <c r="H15" s="344" t="s">
        <v>54</v>
      </c>
      <c r="I15" s="345"/>
      <c r="J15" s="343"/>
      <c r="K15" s="346"/>
      <c r="L15" s="347" t="s">
        <v>78</v>
      </c>
      <c r="M15" s="342" t="s">
        <v>77</v>
      </c>
      <c r="N15" s="342"/>
      <c r="O15" s="342" t="s">
        <v>77</v>
      </c>
      <c r="P15" s="348" t="s">
        <v>77</v>
      </c>
      <c r="Q15" s="347"/>
      <c r="R15" s="342"/>
      <c r="S15" s="342"/>
      <c r="T15" s="342"/>
      <c r="U15" s="349" t="s">
        <v>80</v>
      </c>
      <c r="V15" s="341"/>
      <c r="W15" s="343"/>
      <c r="X15" s="343"/>
      <c r="Y15" s="343"/>
      <c r="Z15" s="346"/>
      <c r="AA15" s="350"/>
      <c r="AB15" s="343"/>
      <c r="AC15" s="343"/>
      <c r="AD15" s="343"/>
      <c r="AE15" s="344"/>
      <c r="AF15" s="345"/>
      <c r="AG15" s="343"/>
      <c r="AH15" s="343"/>
      <c r="AI15" s="343"/>
      <c r="AJ15" s="346"/>
      <c r="AK15" s="350"/>
      <c r="AL15" s="343"/>
      <c r="AM15" s="343"/>
      <c r="AN15" s="343"/>
      <c r="AO15" s="344"/>
      <c r="AP15" s="345"/>
      <c r="AQ15" s="343"/>
      <c r="AR15" s="343"/>
      <c r="AS15" s="343"/>
      <c r="AT15" s="346"/>
      <c r="AU15" s="350"/>
      <c r="AV15" s="343"/>
      <c r="AW15" s="343"/>
      <c r="AX15" s="343"/>
      <c r="AY15" s="344"/>
      <c r="AZ15" s="345"/>
      <c r="BA15" s="343"/>
      <c r="BB15" s="343"/>
      <c r="BC15" s="343"/>
      <c r="BD15" s="346"/>
      <c r="BE15" s="350"/>
      <c r="BF15" s="343"/>
      <c r="BG15" s="343"/>
      <c r="BH15" s="343"/>
      <c r="BI15" s="344"/>
      <c r="BJ15" s="345"/>
      <c r="BK15" s="343"/>
      <c r="BL15" s="343"/>
      <c r="BM15" s="343"/>
      <c r="BN15" s="346"/>
      <c r="BO15" s="350"/>
      <c r="BP15" s="343"/>
      <c r="BQ15" s="343"/>
      <c r="BR15" s="343"/>
      <c r="BS15" s="344"/>
      <c r="BT15" s="345"/>
      <c r="BU15" s="343"/>
      <c r="BV15" s="343"/>
      <c r="BW15" s="343"/>
      <c r="BX15" s="346"/>
      <c r="BY15" s="350"/>
      <c r="BZ15" s="343"/>
      <c r="CA15" s="343"/>
      <c r="CB15" s="343"/>
      <c r="CC15" s="344"/>
      <c r="CD15" s="345"/>
      <c r="CE15" s="343"/>
      <c r="CF15" s="343"/>
      <c r="CG15" s="343"/>
      <c r="CH15" s="344"/>
      <c r="CI15" s="345"/>
      <c r="CJ15" s="343"/>
      <c r="CK15" s="343"/>
      <c r="CL15" s="343"/>
      <c r="CM15" s="346"/>
      <c r="CN15" s="45"/>
      <c r="CO15" s="45"/>
      <c r="CP15" s="46"/>
      <c r="CQ15" s="45"/>
      <c r="CR15" s="45"/>
      <c r="CS15" s="45"/>
      <c r="CT15" s="45"/>
      <c r="CU15" s="45"/>
      <c r="CV15" s="45"/>
      <c r="CW15" s="45"/>
      <c r="CX15" s="46"/>
      <c r="CY15" s="45"/>
      <c r="CZ15" s="45"/>
      <c r="DA15" s="46"/>
      <c r="DB15" s="45"/>
      <c r="DC15" s="46"/>
      <c r="DD15" s="46"/>
      <c r="DE15" s="45"/>
      <c r="DF15" s="46"/>
      <c r="DG15" s="46"/>
      <c r="DH15" s="45"/>
      <c r="DI15" s="46"/>
      <c r="DJ15" s="46"/>
      <c r="DK15" s="45"/>
      <c r="DL15" s="46"/>
      <c r="DM15" s="45"/>
      <c r="DN15" s="45"/>
    </row>
    <row r="16" spans="1:121" ht="25.5" customHeight="1">
      <c r="A16" s="321">
        <v>4259</v>
      </c>
      <c r="B16" s="322" t="s">
        <v>11</v>
      </c>
      <c r="C16" s="322" t="s">
        <v>44</v>
      </c>
      <c r="D16" s="322" t="s">
        <v>76</v>
      </c>
      <c r="E16" s="323" t="s">
        <v>53</v>
      </c>
      <c r="F16" s="322"/>
      <c r="G16" s="323" t="s">
        <v>1086</v>
      </c>
      <c r="H16" s="324" t="s">
        <v>54</v>
      </c>
      <c r="I16" s="325"/>
      <c r="J16" s="323"/>
      <c r="K16" s="326"/>
      <c r="L16" s="327" t="s">
        <v>78</v>
      </c>
      <c r="M16" s="322" t="s">
        <v>77</v>
      </c>
      <c r="N16" s="322"/>
      <c r="O16" s="322" t="s">
        <v>77</v>
      </c>
      <c r="P16" s="328" t="s">
        <v>77</v>
      </c>
      <c r="Q16" s="327"/>
      <c r="R16" s="322"/>
      <c r="S16" s="322"/>
      <c r="T16" s="322"/>
      <c r="U16" s="329" t="s">
        <v>80</v>
      </c>
      <c r="V16" s="321"/>
      <c r="W16" s="323"/>
      <c r="X16" s="323"/>
      <c r="Y16" s="323"/>
      <c r="Z16" s="326"/>
      <c r="AA16" s="330"/>
      <c r="AB16" s="323"/>
      <c r="AC16" s="323"/>
      <c r="AD16" s="323"/>
      <c r="AE16" s="324"/>
      <c r="AF16" s="325"/>
      <c r="AG16" s="323"/>
      <c r="AH16" s="323"/>
      <c r="AI16" s="323"/>
      <c r="AJ16" s="326"/>
      <c r="AK16" s="330"/>
      <c r="AL16" s="323"/>
      <c r="AM16" s="323"/>
      <c r="AN16" s="323"/>
      <c r="AO16" s="324"/>
      <c r="AP16" s="325"/>
      <c r="AQ16" s="323"/>
      <c r="AR16" s="323"/>
      <c r="AS16" s="323"/>
      <c r="AT16" s="326"/>
      <c r="AU16" s="330"/>
      <c r="AV16" s="323"/>
      <c r="AW16" s="323"/>
      <c r="AX16" s="323"/>
      <c r="AY16" s="324"/>
      <c r="AZ16" s="325"/>
      <c r="BA16" s="323"/>
      <c r="BB16" s="323"/>
      <c r="BC16" s="323"/>
      <c r="BD16" s="326"/>
      <c r="BE16" s="330"/>
      <c r="BF16" s="323"/>
      <c r="BG16" s="323"/>
      <c r="BH16" s="323"/>
      <c r="BI16" s="324"/>
      <c r="BJ16" s="325"/>
      <c r="BK16" s="323"/>
      <c r="BL16" s="323"/>
      <c r="BM16" s="323"/>
      <c r="BN16" s="326"/>
      <c r="BO16" s="330"/>
      <c r="BP16" s="323"/>
      <c r="BQ16" s="323"/>
      <c r="BR16" s="323"/>
      <c r="BS16" s="324"/>
      <c r="BT16" s="325"/>
      <c r="BU16" s="323"/>
      <c r="BV16" s="323"/>
      <c r="BW16" s="323"/>
      <c r="BX16" s="326"/>
      <c r="BY16" s="330"/>
      <c r="BZ16" s="323"/>
      <c r="CA16" s="323"/>
      <c r="CB16" s="323"/>
      <c r="CC16" s="324"/>
      <c r="CD16" s="325"/>
      <c r="CE16" s="323"/>
      <c r="CF16" s="323"/>
      <c r="CG16" s="323"/>
      <c r="CH16" s="324"/>
      <c r="CI16" s="325"/>
      <c r="CJ16" s="323"/>
      <c r="CK16" s="323"/>
      <c r="CL16" s="323"/>
      <c r="CM16" s="326"/>
      <c r="CN16" s="45"/>
      <c r="CO16" s="45"/>
      <c r="CP16" s="45"/>
      <c r="CQ16" s="45"/>
      <c r="CR16" s="45"/>
      <c r="CS16" s="45"/>
      <c r="CT16" s="45"/>
      <c r="CU16" s="45"/>
      <c r="CV16" s="45"/>
      <c r="CW16" s="45"/>
      <c r="CX16" s="45"/>
      <c r="CY16" s="45"/>
      <c r="CZ16" s="45"/>
      <c r="DA16" s="45"/>
      <c r="DB16" s="45"/>
      <c r="DC16" s="45"/>
      <c r="DD16" s="45"/>
      <c r="DE16" s="45"/>
      <c r="DF16" s="45"/>
      <c r="DG16" s="45"/>
      <c r="DH16" s="45"/>
      <c r="DI16" s="45"/>
      <c r="DJ16" s="45"/>
      <c r="DK16" s="45"/>
      <c r="DL16" s="45"/>
      <c r="DM16" s="45"/>
      <c r="DN16" s="45"/>
    </row>
    <row r="17" spans="1:118" ht="25.5" customHeight="1">
      <c r="A17" s="321">
        <v>4260</v>
      </c>
      <c r="B17" s="322" t="s">
        <v>11</v>
      </c>
      <c r="C17" s="322" t="s">
        <v>44</v>
      </c>
      <c r="D17" s="322" t="s">
        <v>76</v>
      </c>
      <c r="E17" s="323" t="s">
        <v>53</v>
      </c>
      <c r="F17" s="322"/>
      <c r="G17" s="323" t="s">
        <v>1088</v>
      </c>
      <c r="H17" s="324" t="s">
        <v>54</v>
      </c>
      <c r="I17" s="325"/>
      <c r="J17" s="323"/>
      <c r="K17" s="326"/>
      <c r="L17" s="327" t="s">
        <v>78</v>
      </c>
      <c r="M17" s="322" t="s">
        <v>77</v>
      </c>
      <c r="N17" s="322"/>
      <c r="O17" s="322" t="s">
        <v>77</v>
      </c>
      <c r="P17" s="328" t="s">
        <v>77</v>
      </c>
      <c r="Q17" s="327"/>
      <c r="R17" s="322"/>
      <c r="S17" s="322"/>
      <c r="T17" s="322"/>
      <c r="U17" s="329" t="s">
        <v>80</v>
      </c>
      <c r="V17" s="321"/>
      <c r="W17" s="323"/>
      <c r="X17" s="323"/>
      <c r="Y17" s="323"/>
      <c r="Z17" s="326"/>
      <c r="AA17" s="330"/>
      <c r="AB17" s="323"/>
      <c r="AC17" s="323"/>
      <c r="AD17" s="323"/>
      <c r="AE17" s="324"/>
      <c r="AF17" s="325"/>
      <c r="AG17" s="323"/>
      <c r="AH17" s="323"/>
      <c r="AI17" s="323"/>
      <c r="AJ17" s="326"/>
      <c r="AK17" s="330"/>
      <c r="AL17" s="323"/>
      <c r="AM17" s="323"/>
      <c r="AN17" s="323"/>
      <c r="AO17" s="324"/>
      <c r="AP17" s="325"/>
      <c r="AQ17" s="323"/>
      <c r="AR17" s="323"/>
      <c r="AS17" s="323"/>
      <c r="AT17" s="326"/>
      <c r="AU17" s="330"/>
      <c r="AV17" s="323"/>
      <c r="AW17" s="323"/>
      <c r="AX17" s="323"/>
      <c r="AY17" s="324"/>
      <c r="AZ17" s="325"/>
      <c r="BA17" s="323"/>
      <c r="BB17" s="323"/>
      <c r="BC17" s="323"/>
      <c r="BD17" s="326"/>
      <c r="BE17" s="330"/>
      <c r="BF17" s="323"/>
      <c r="BG17" s="323"/>
      <c r="BH17" s="323"/>
      <c r="BI17" s="324"/>
      <c r="BJ17" s="325"/>
      <c r="BK17" s="323"/>
      <c r="BL17" s="323"/>
      <c r="BM17" s="323"/>
      <c r="BN17" s="326"/>
      <c r="BO17" s="330"/>
      <c r="BP17" s="323"/>
      <c r="BQ17" s="323"/>
      <c r="BR17" s="323"/>
      <c r="BS17" s="324"/>
      <c r="BT17" s="325"/>
      <c r="BU17" s="323"/>
      <c r="BV17" s="323"/>
      <c r="BW17" s="323"/>
      <c r="BX17" s="326"/>
      <c r="BY17" s="330"/>
      <c r="BZ17" s="323"/>
      <c r="CA17" s="323"/>
      <c r="CB17" s="323"/>
      <c r="CC17" s="324"/>
      <c r="CD17" s="325"/>
      <c r="CE17" s="323"/>
      <c r="CF17" s="323"/>
      <c r="CG17" s="323"/>
      <c r="CH17" s="324"/>
      <c r="CI17" s="325"/>
      <c r="CJ17" s="323"/>
      <c r="CK17" s="323"/>
      <c r="CL17" s="323"/>
      <c r="CM17" s="326"/>
      <c r="CN17" s="45"/>
      <c r="CO17" s="45"/>
      <c r="CP17" s="45"/>
      <c r="CQ17" s="45"/>
      <c r="CR17" s="45"/>
      <c r="CS17" s="45"/>
      <c r="CT17" s="45"/>
      <c r="CU17" s="45"/>
      <c r="CV17" s="45"/>
      <c r="CW17" s="45"/>
      <c r="CX17" s="45"/>
      <c r="CY17" s="45"/>
      <c r="CZ17" s="45"/>
      <c r="DA17" s="45"/>
      <c r="DB17" s="45"/>
      <c r="DC17" s="45"/>
      <c r="DD17" s="45"/>
      <c r="DE17" s="45"/>
      <c r="DF17" s="45"/>
      <c r="DG17" s="45"/>
      <c r="DH17" s="45"/>
      <c r="DI17" s="45"/>
      <c r="DJ17" s="45"/>
      <c r="DK17" s="45"/>
      <c r="DL17" s="45"/>
      <c r="DM17" s="45"/>
      <c r="DN17" s="45"/>
    </row>
    <row r="18" spans="1:118" ht="25.5" customHeight="1">
      <c r="A18" s="321">
        <v>4261</v>
      </c>
      <c r="B18" s="322" t="s">
        <v>11</v>
      </c>
      <c r="C18" s="322" t="s">
        <v>44</v>
      </c>
      <c r="D18" s="322" t="s">
        <v>76</v>
      </c>
      <c r="E18" s="323" t="s">
        <v>53</v>
      </c>
      <c r="F18" s="322"/>
      <c r="G18" s="323" t="s">
        <v>1090</v>
      </c>
      <c r="H18" s="324" t="s">
        <v>54</v>
      </c>
      <c r="I18" s="325"/>
      <c r="J18" s="323"/>
      <c r="K18" s="326"/>
      <c r="L18" s="327" t="s">
        <v>78</v>
      </c>
      <c r="M18" s="322" t="s">
        <v>77</v>
      </c>
      <c r="N18" s="322"/>
      <c r="O18" s="322" t="s">
        <v>77</v>
      </c>
      <c r="P18" s="328" t="s">
        <v>77</v>
      </c>
      <c r="Q18" s="327"/>
      <c r="R18" s="322"/>
      <c r="S18" s="322"/>
      <c r="T18" s="322"/>
      <c r="U18" s="329" t="s">
        <v>80</v>
      </c>
      <c r="V18" s="321"/>
      <c r="W18" s="323"/>
      <c r="X18" s="323"/>
      <c r="Y18" s="323"/>
      <c r="Z18" s="326"/>
      <c r="AA18" s="330"/>
      <c r="AB18" s="323"/>
      <c r="AC18" s="323"/>
      <c r="AD18" s="323"/>
      <c r="AE18" s="324"/>
      <c r="AF18" s="325"/>
      <c r="AG18" s="323"/>
      <c r="AH18" s="323"/>
      <c r="AI18" s="323"/>
      <c r="AJ18" s="326"/>
      <c r="AK18" s="330"/>
      <c r="AL18" s="323"/>
      <c r="AM18" s="323"/>
      <c r="AN18" s="323"/>
      <c r="AO18" s="324"/>
      <c r="AP18" s="325"/>
      <c r="AQ18" s="323"/>
      <c r="AR18" s="323"/>
      <c r="AS18" s="323"/>
      <c r="AT18" s="326"/>
      <c r="AU18" s="330"/>
      <c r="AV18" s="323"/>
      <c r="AW18" s="323"/>
      <c r="AX18" s="323"/>
      <c r="AY18" s="324"/>
      <c r="AZ18" s="325"/>
      <c r="BA18" s="323"/>
      <c r="BB18" s="323"/>
      <c r="BC18" s="323"/>
      <c r="BD18" s="326"/>
      <c r="BE18" s="330"/>
      <c r="BF18" s="323"/>
      <c r="BG18" s="323"/>
      <c r="BH18" s="323"/>
      <c r="BI18" s="324"/>
      <c r="BJ18" s="325"/>
      <c r="BK18" s="323"/>
      <c r="BL18" s="323"/>
      <c r="BM18" s="323"/>
      <c r="BN18" s="326"/>
      <c r="BO18" s="330"/>
      <c r="BP18" s="323"/>
      <c r="BQ18" s="323"/>
      <c r="BR18" s="323"/>
      <c r="BS18" s="324"/>
      <c r="BT18" s="325"/>
      <c r="BU18" s="323"/>
      <c r="BV18" s="323"/>
      <c r="BW18" s="323"/>
      <c r="BX18" s="326"/>
      <c r="BY18" s="330"/>
      <c r="BZ18" s="323"/>
      <c r="CA18" s="323"/>
      <c r="CB18" s="323"/>
      <c r="CC18" s="324"/>
      <c r="CD18" s="325"/>
      <c r="CE18" s="323"/>
      <c r="CF18" s="323"/>
      <c r="CG18" s="323"/>
      <c r="CH18" s="324"/>
      <c r="CI18" s="325"/>
      <c r="CJ18" s="323"/>
      <c r="CK18" s="323"/>
      <c r="CL18" s="323"/>
      <c r="CM18" s="326"/>
      <c r="CN18" s="45"/>
      <c r="CO18" s="45"/>
      <c r="CP18" s="45"/>
      <c r="CQ18" s="45"/>
      <c r="CR18" s="45"/>
      <c r="CS18" s="45"/>
      <c r="CT18" s="45"/>
      <c r="CU18" s="45"/>
      <c r="CV18" s="45"/>
      <c r="CW18" s="45"/>
      <c r="CX18" s="45"/>
      <c r="CY18" s="45"/>
      <c r="CZ18" s="45"/>
      <c r="DA18" s="45"/>
      <c r="DB18" s="45"/>
      <c r="DC18" s="45"/>
      <c r="DD18" s="45"/>
      <c r="DE18" s="45"/>
      <c r="DF18" s="45"/>
      <c r="DG18" s="45"/>
      <c r="DH18" s="45"/>
      <c r="DI18" s="45"/>
      <c r="DJ18" s="45"/>
      <c r="DK18" s="45"/>
      <c r="DL18" s="45"/>
      <c r="DM18" s="45"/>
      <c r="DN18" s="45"/>
    </row>
    <row r="19" spans="1:118" ht="25.5" customHeight="1" thickBot="1">
      <c r="A19" s="351">
        <v>4262</v>
      </c>
      <c r="B19" s="352" t="s">
        <v>11</v>
      </c>
      <c r="C19" s="352" t="s">
        <v>44</v>
      </c>
      <c r="D19" s="352" t="s">
        <v>76</v>
      </c>
      <c r="E19" s="353" t="s">
        <v>53</v>
      </c>
      <c r="F19" s="352"/>
      <c r="G19" s="353" t="s">
        <v>1092</v>
      </c>
      <c r="H19" s="354" t="s">
        <v>54</v>
      </c>
      <c r="I19" s="355"/>
      <c r="J19" s="353"/>
      <c r="K19" s="356"/>
      <c r="L19" s="357" t="s">
        <v>78</v>
      </c>
      <c r="M19" s="352" t="s">
        <v>77</v>
      </c>
      <c r="N19" s="352"/>
      <c r="O19" s="352" t="s">
        <v>77</v>
      </c>
      <c r="P19" s="358" t="s">
        <v>77</v>
      </c>
      <c r="Q19" s="357"/>
      <c r="R19" s="352"/>
      <c r="S19" s="352"/>
      <c r="T19" s="352"/>
      <c r="U19" s="359" t="s">
        <v>80</v>
      </c>
      <c r="V19" s="351"/>
      <c r="W19" s="353"/>
      <c r="X19" s="353"/>
      <c r="Y19" s="353"/>
      <c r="Z19" s="356"/>
      <c r="AA19" s="360"/>
      <c r="AB19" s="353"/>
      <c r="AC19" s="353"/>
      <c r="AD19" s="353"/>
      <c r="AE19" s="354"/>
      <c r="AF19" s="355"/>
      <c r="AG19" s="353"/>
      <c r="AH19" s="353"/>
      <c r="AI19" s="353"/>
      <c r="AJ19" s="356"/>
      <c r="AK19" s="360"/>
      <c r="AL19" s="353"/>
      <c r="AM19" s="353"/>
      <c r="AN19" s="353"/>
      <c r="AO19" s="354"/>
      <c r="AP19" s="355"/>
      <c r="AQ19" s="353"/>
      <c r="AR19" s="353"/>
      <c r="AS19" s="353"/>
      <c r="AT19" s="356"/>
      <c r="AU19" s="360"/>
      <c r="AV19" s="353"/>
      <c r="AW19" s="353"/>
      <c r="AX19" s="353"/>
      <c r="AY19" s="354"/>
      <c r="AZ19" s="355"/>
      <c r="BA19" s="353"/>
      <c r="BB19" s="353"/>
      <c r="BC19" s="353"/>
      <c r="BD19" s="356"/>
      <c r="BE19" s="360"/>
      <c r="BF19" s="353"/>
      <c r="BG19" s="353"/>
      <c r="BH19" s="353"/>
      <c r="BI19" s="354"/>
      <c r="BJ19" s="355"/>
      <c r="BK19" s="353"/>
      <c r="BL19" s="353"/>
      <c r="BM19" s="353"/>
      <c r="BN19" s="356"/>
      <c r="BO19" s="360"/>
      <c r="BP19" s="353"/>
      <c r="BQ19" s="353"/>
      <c r="BR19" s="353"/>
      <c r="BS19" s="354"/>
      <c r="BT19" s="355"/>
      <c r="BU19" s="353"/>
      <c r="BV19" s="353"/>
      <c r="BW19" s="353"/>
      <c r="BX19" s="356"/>
      <c r="BY19" s="360"/>
      <c r="BZ19" s="353"/>
      <c r="CA19" s="353"/>
      <c r="CB19" s="353"/>
      <c r="CC19" s="354"/>
      <c r="CD19" s="355"/>
      <c r="CE19" s="353"/>
      <c r="CF19" s="353"/>
      <c r="CG19" s="353"/>
      <c r="CH19" s="354"/>
      <c r="CI19" s="355"/>
      <c r="CJ19" s="353"/>
      <c r="CK19" s="353"/>
      <c r="CL19" s="353"/>
      <c r="CM19" s="356"/>
      <c r="CN19" s="45"/>
      <c r="CO19" s="45"/>
      <c r="CP19" s="45"/>
      <c r="CQ19" s="45"/>
      <c r="CR19" s="45"/>
      <c r="CS19" s="45"/>
      <c r="CT19" s="45"/>
      <c r="CU19" s="45"/>
      <c r="CV19" s="45"/>
      <c r="CW19" s="45"/>
      <c r="CX19" s="45"/>
      <c r="CY19" s="45"/>
      <c r="CZ19" s="45"/>
      <c r="DA19" s="45"/>
      <c r="DB19" s="45"/>
      <c r="DC19" s="45"/>
      <c r="DD19" s="45"/>
      <c r="DE19" s="45"/>
      <c r="DF19" s="45"/>
      <c r="DG19" s="45"/>
      <c r="DH19" s="45"/>
      <c r="DI19" s="45"/>
      <c r="DJ19" s="45"/>
      <c r="DK19" s="45"/>
      <c r="DL19" s="45"/>
      <c r="DM19" s="45"/>
      <c r="DN19" s="45"/>
    </row>
    <row r="20" spans="1:118" ht="25.5" customHeight="1">
      <c r="A20" s="361">
        <v>4263</v>
      </c>
      <c r="B20" s="362" t="s">
        <v>11</v>
      </c>
      <c r="C20" s="362" t="s">
        <v>44</v>
      </c>
      <c r="D20" s="362" t="s">
        <v>76</v>
      </c>
      <c r="E20" s="363" t="s">
        <v>53</v>
      </c>
      <c r="F20" s="362"/>
      <c r="G20" s="363" t="s">
        <v>1094</v>
      </c>
      <c r="H20" s="364" t="s">
        <v>54</v>
      </c>
      <c r="I20" s="365"/>
      <c r="J20" s="363"/>
      <c r="K20" s="366"/>
      <c r="L20" s="367" t="s">
        <v>78</v>
      </c>
      <c r="M20" s="362" t="s">
        <v>77</v>
      </c>
      <c r="N20" s="362"/>
      <c r="O20" s="362" t="s">
        <v>77</v>
      </c>
      <c r="P20" s="368" t="s">
        <v>77</v>
      </c>
      <c r="Q20" s="367"/>
      <c r="R20" s="362"/>
      <c r="S20" s="362"/>
      <c r="T20" s="362"/>
      <c r="U20" s="369" t="s">
        <v>80</v>
      </c>
      <c r="V20" s="361"/>
      <c r="W20" s="363"/>
      <c r="X20" s="363"/>
      <c r="Y20" s="363"/>
      <c r="Z20" s="366"/>
      <c r="AA20" s="370"/>
      <c r="AB20" s="363"/>
      <c r="AC20" s="363"/>
      <c r="AD20" s="363"/>
      <c r="AE20" s="364"/>
      <c r="AF20" s="365"/>
      <c r="AG20" s="363"/>
      <c r="AH20" s="363"/>
      <c r="AI20" s="363"/>
      <c r="AJ20" s="366"/>
      <c r="AK20" s="370"/>
      <c r="AL20" s="363"/>
      <c r="AM20" s="363"/>
      <c r="AN20" s="363"/>
      <c r="AO20" s="364"/>
      <c r="AP20" s="365"/>
      <c r="AQ20" s="363"/>
      <c r="AR20" s="363"/>
      <c r="AS20" s="363"/>
      <c r="AT20" s="366"/>
      <c r="AU20" s="370"/>
      <c r="AV20" s="363"/>
      <c r="AW20" s="363"/>
      <c r="AX20" s="363"/>
      <c r="AY20" s="364"/>
      <c r="AZ20" s="365"/>
      <c r="BA20" s="363"/>
      <c r="BB20" s="363"/>
      <c r="BC20" s="363"/>
      <c r="BD20" s="366"/>
      <c r="BE20" s="370"/>
      <c r="BF20" s="363"/>
      <c r="BG20" s="363"/>
      <c r="BH20" s="363"/>
      <c r="BI20" s="364"/>
      <c r="BJ20" s="365"/>
      <c r="BK20" s="363"/>
      <c r="BL20" s="363"/>
      <c r="BM20" s="363"/>
      <c r="BN20" s="366"/>
      <c r="BO20" s="370"/>
      <c r="BP20" s="363"/>
      <c r="BQ20" s="363"/>
      <c r="BR20" s="363"/>
      <c r="BS20" s="364"/>
      <c r="BT20" s="365"/>
      <c r="BU20" s="363"/>
      <c r="BV20" s="363"/>
      <c r="BW20" s="363"/>
      <c r="BX20" s="366"/>
      <c r="BY20" s="370"/>
      <c r="BZ20" s="363"/>
      <c r="CA20" s="363"/>
      <c r="CB20" s="363"/>
      <c r="CC20" s="364"/>
      <c r="CD20" s="365"/>
      <c r="CE20" s="363"/>
      <c r="CF20" s="363"/>
      <c r="CG20" s="363"/>
      <c r="CH20" s="364"/>
      <c r="CI20" s="365"/>
      <c r="CJ20" s="363"/>
      <c r="CK20" s="363"/>
      <c r="CL20" s="363"/>
      <c r="CM20" s="366"/>
      <c r="CN20" s="45"/>
      <c r="CO20" s="45"/>
      <c r="CP20" s="45"/>
      <c r="CQ20" s="45"/>
      <c r="CR20" s="45"/>
      <c r="CS20" s="45"/>
      <c r="CT20" s="45"/>
      <c r="CU20" s="45"/>
      <c r="CV20" s="45"/>
      <c r="CW20" s="45"/>
      <c r="CX20" s="46"/>
      <c r="CY20" s="45"/>
      <c r="CZ20" s="45"/>
      <c r="DA20" s="46"/>
      <c r="DB20" s="45"/>
      <c r="DC20" s="45"/>
      <c r="DD20" s="45"/>
      <c r="DE20" s="45"/>
      <c r="DF20" s="46"/>
      <c r="DG20" s="45"/>
      <c r="DH20" s="45"/>
      <c r="DI20" s="45"/>
      <c r="DJ20" s="45"/>
      <c r="DK20" s="45"/>
      <c r="DL20" s="45"/>
      <c r="DM20" s="45"/>
      <c r="DN20" s="45"/>
    </row>
    <row r="21" spans="1:118" ht="25.5" customHeight="1">
      <c r="A21" s="321">
        <v>4264</v>
      </c>
      <c r="B21" s="322" t="s">
        <v>11</v>
      </c>
      <c r="C21" s="322" t="s">
        <v>44</v>
      </c>
      <c r="D21" s="322" t="s">
        <v>76</v>
      </c>
      <c r="E21" s="323" t="s">
        <v>53</v>
      </c>
      <c r="F21" s="322"/>
      <c r="G21" s="323" t="s">
        <v>1096</v>
      </c>
      <c r="H21" s="324" t="s">
        <v>54</v>
      </c>
      <c r="I21" s="325"/>
      <c r="J21" s="323"/>
      <c r="K21" s="326"/>
      <c r="L21" s="327" t="s">
        <v>78</v>
      </c>
      <c r="M21" s="322" t="s">
        <v>77</v>
      </c>
      <c r="N21" s="322"/>
      <c r="O21" s="322" t="s">
        <v>77</v>
      </c>
      <c r="P21" s="328" t="s">
        <v>77</v>
      </c>
      <c r="Q21" s="327"/>
      <c r="R21" s="322"/>
      <c r="S21" s="322"/>
      <c r="T21" s="322"/>
      <c r="U21" s="329" t="s">
        <v>80</v>
      </c>
      <c r="V21" s="321"/>
      <c r="W21" s="323"/>
      <c r="X21" s="323"/>
      <c r="Y21" s="323"/>
      <c r="Z21" s="326"/>
      <c r="AA21" s="330"/>
      <c r="AB21" s="323"/>
      <c r="AC21" s="323"/>
      <c r="AD21" s="323"/>
      <c r="AE21" s="324"/>
      <c r="AF21" s="325"/>
      <c r="AG21" s="323"/>
      <c r="AH21" s="323"/>
      <c r="AI21" s="323"/>
      <c r="AJ21" s="326"/>
      <c r="AK21" s="330"/>
      <c r="AL21" s="323"/>
      <c r="AM21" s="323"/>
      <c r="AN21" s="323"/>
      <c r="AO21" s="324"/>
      <c r="AP21" s="325"/>
      <c r="AQ21" s="323"/>
      <c r="AR21" s="323"/>
      <c r="AS21" s="323"/>
      <c r="AT21" s="326"/>
      <c r="AU21" s="330"/>
      <c r="AV21" s="323"/>
      <c r="AW21" s="323"/>
      <c r="AX21" s="323"/>
      <c r="AY21" s="324"/>
      <c r="AZ21" s="325"/>
      <c r="BA21" s="323"/>
      <c r="BB21" s="323"/>
      <c r="BC21" s="323"/>
      <c r="BD21" s="326"/>
      <c r="BE21" s="330"/>
      <c r="BF21" s="323"/>
      <c r="BG21" s="323"/>
      <c r="BH21" s="323"/>
      <c r="BI21" s="324"/>
      <c r="BJ21" s="325"/>
      <c r="BK21" s="323"/>
      <c r="BL21" s="323"/>
      <c r="BM21" s="323"/>
      <c r="BN21" s="326"/>
      <c r="BO21" s="330"/>
      <c r="BP21" s="323"/>
      <c r="BQ21" s="323"/>
      <c r="BR21" s="323"/>
      <c r="BS21" s="324"/>
      <c r="BT21" s="325"/>
      <c r="BU21" s="323"/>
      <c r="BV21" s="323"/>
      <c r="BW21" s="323"/>
      <c r="BX21" s="326"/>
      <c r="BY21" s="330"/>
      <c r="BZ21" s="323"/>
      <c r="CA21" s="323"/>
      <c r="CB21" s="323"/>
      <c r="CC21" s="324"/>
      <c r="CD21" s="325"/>
      <c r="CE21" s="323"/>
      <c r="CF21" s="323"/>
      <c r="CG21" s="323"/>
      <c r="CH21" s="324"/>
      <c r="CI21" s="325"/>
      <c r="CJ21" s="323"/>
      <c r="CK21" s="323"/>
      <c r="CL21" s="323"/>
      <c r="CM21" s="326"/>
    </row>
    <row r="22" spans="1:118" ht="25.5" customHeight="1">
      <c r="A22" s="321">
        <v>4265</v>
      </c>
      <c r="B22" s="322" t="s">
        <v>11</v>
      </c>
      <c r="C22" s="322" t="s">
        <v>44</v>
      </c>
      <c r="D22" s="322" t="s">
        <v>76</v>
      </c>
      <c r="E22" s="323" t="s">
        <v>53</v>
      </c>
      <c r="F22" s="322"/>
      <c r="G22" s="323" t="s">
        <v>1098</v>
      </c>
      <c r="H22" s="371" t="s">
        <v>54</v>
      </c>
      <c r="I22" s="325"/>
      <c r="J22" s="323"/>
      <c r="K22" s="326"/>
      <c r="L22" s="327" t="s">
        <v>78</v>
      </c>
      <c r="M22" s="322" t="s">
        <v>77</v>
      </c>
      <c r="N22" s="322"/>
      <c r="O22" s="322" t="s">
        <v>77</v>
      </c>
      <c r="P22" s="328" t="s">
        <v>77</v>
      </c>
      <c r="Q22" s="327"/>
      <c r="R22" s="322"/>
      <c r="S22" s="322"/>
      <c r="T22" s="322"/>
      <c r="U22" s="329" t="s">
        <v>80</v>
      </c>
      <c r="V22" s="321"/>
      <c r="W22" s="372"/>
      <c r="X22" s="372"/>
      <c r="Y22" s="372"/>
      <c r="Z22" s="373"/>
      <c r="AA22" s="374"/>
      <c r="AB22" s="372"/>
      <c r="AC22" s="372"/>
      <c r="AD22" s="372"/>
      <c r="AE22" s="371"/>
      <c r="AF22" s="375"/>
      <c r="AG22" s="372"/>
      <c r="AH22" s="372"/>
      <c r="AI22" s="372"/>
      <c r="AJ22" s="373"/>
      <c r="AK22" s="374"/>
      <c r="AL22" s="372"/>
      <c r="AM22" s="372"/>
      <c r="AN22" s="372"/>
      <c r="AO22" s="371"/>
      <c r="AP22" s="375"/>
      <c r="AQ22" s="372"/>
      <c r="AR22" s="372"/>
      <c r="AS22" s="372"/>
      <c r="AT22" s="373"/>
      <c r="AU22" s="374"/>
      <c r="AV22" s="372"/>
      <c r="AW22" s="372"/>
      <c r="AX22" s="372"/>
      <c r="AY22" s="371"/>
      <c r="AZ22" s="375"/>
      <c r="BA22" s="372"/>
      <c r="BB22" s="372"/>
      <c r="BC22" s="372"/>
      <c r="BD22" s="373"/>
      <c r="BE22" s="374"/>
      <c r="BF22" s="372"/>
      <c r="BG22" s="372"/>
      <c r="BH22" s="372"/>
      <c r="BI22" s="371"/>
      <c r="BJ22" s="375"/>
      <c r="BK22" s="372"/>
      <c r="BL22" s="372"/>
      <c r="BM22" s="372"/>
      <c r="BN22" s="373"/>
      <c r="BO22" s="374"/>
      <c r="BP22" s="372"/>
      <c r="BQ22" s="372"/>
      <c r="BR22" s="372"/>
      <c r="BS22" s="371"/>
      <c r="BT22" s="375"/>
      <c r="BU22" s="372"/>
      <c r="BV22" s="372"/>
      <c r="BW22" s="372"/>
      <c r="BX22" s="373"/>
      <c r="BY22" s="374"/>
      <c r="BZ22" s="372"/>
      <c r="CA22" s="372"/>
      <c r="CB22" s="372"/>
      <c r="CC22" s="371"/>
      <c r="CD22" s="375"/>
      <c r="CE22" s="372"/>
      <c r="CF22" s="372"/>
      <c r="CG22" s="372"/>
      <c r="CH22" s="371"/>
      <c r="CI22" s="375"/>
      <c r="CJ22" s="372"/>
      <c r="CK22" s="372"/>
      <c r="CL22" s="372"/>
      <c r="CM22" s="373"/>
    </row>
    <row r="23" spans="1:118" ht="25.5" customHeight="1">
      <c r="A23" s="321">
        <v>4266</v>
      </c>
      <c r="B23" s="322" t="s">
        <v>11</v>
      </c>
      <c r="C23" s="322" t="s">
        <v>44</v>
      </c>
      <c r="D23" s="322" t="s">
        <v>76</v>
      </c>
      <c r="E23" s="323" t="s">
        <v>53</v>
      </c>
      <c r="F23" s="322"/>
      <c r="G23" s="323" t="s">
        <v>1100</v>
      </c>
      <c r="H23" s="371" t="s">
        <v>54</v>
      </c>
      <c r="I23" s="325"/>
      <c r="J23" s="323"/>
      <c r="K23" s="326"/>
      <c r="L23" s="327" t="s">
        <v>78</v>
      </c>
      <c r="M23" s="322" t="s">
        <v>77</v>
      </c>
      <c r="N23" s="322"/>
      <c r="O23" s="322" t="s">
        <v>77</v>
      </c>
      <c r="P23" s="328" t="s">
        <v>77</v>
      </c>
      <c r="Q23" s="327"/>
      <c r="R23" s="322"/>
      <c r="S23" s="322"/>
      <c r="T23" s="322"/>
      <c r="U23" s="329" t="s">
        <v>80</v>
      </c>
      <c r="V23" s="321"/>
      <c r="W23" s="372"/>
      <c r="X23" s="372"/>
      <c r="Y23" s="372"/>
      <c r="Z23" s="373"/>
      <c r="AA23" s="374"/>
      <c r="AB23" s="372"/>
      <c r="AC23" s="372"/>
      <c r="AD23" s="372"/>
      <c r="AE23" s="371"/>
      <c r="AF23" s="375"/>
      <c r="AG23" s="372"/>
      <c r="AH23" s="372"/>
      <c r="AI23" s="372"/>
      <c r="AJ23" s="373"/>
      <c r="AK23" s="374"/>
      <c r="AL23" s="372"/>
      <c r="AM23" s="372"/>
      <c r="AN23" s="372"/>
      <c r="AO23" s="371"/>
      <c r="AP23" s="375"/>
      <c r="AQ23" s="372"/>
      <c r="AR23" s="372"/>
      <c r="AS23" s="372"/>
      <c r="AT23" s="373"/>
      <c r="AU23" s="374"/>
      <c r="AV23" s="372"/>
      <c r="AW23" s="372"/>
      <c r="AX23" s="372"/>
      <c r="AY23" s="371"/>
      <c r="AZ23" s="375"/>
      <c r="BA23" s="372"/>
      <c r="BB23" s="372"/>
      <c r="BC23" s="372"/>
      <c r="BD23" s="373"/>
      <c r="BE23" s="374"/>
      <c r="BF23" s="372"/>
      <c r="BG23" s="372"/>
      <c r="BH23" s="372"/>
      <c r="BI23" s="371"/>
      <c r="BJ23" s="375"/>
      <c r="BK23" s="372"/>
      <c r="BL23" s="372"/>
      <c r="BM23" s="372"/>
      <c r="BN23" s="373"/>
      <c r="BO23" s="374"/>
      <c r="BP23" s="372"/>
      <c r="BQ23" s="372"/>
      <c r="BR23" s="372"/>
      <c r="BS23" s="371"/>
      <c r="BT23" s="375"/>
      <c r="BU23" s="372"/>
      <c r="BV23" s="372"/>
      <c r="BW23" s="372"/>
      <c r="BX23" s="373"/>
      <c r="BY23" s="374"/>
      <c r="BZ23" s="372"/>
      <c r="CA23" s="372"/>
      <c r="CB23" s="372"/>
      <c r="CC23" s="371"/>
      <c r="CD23" s="375"/>
      <c r="CE23" s="372"/>
      <c r="CF23" s="372"/>
      <c r="CG23" s="372"/>
      <c r="CH23" s="371"/>
      <c r="CI23" s="375"/>
      <c r="CJ23" s="372"/>
      <c r="CK23" s="372"/>
      <c r="CL23" s="372"/>
      <c r="CM23" s="373"/>
    </row>
    <row r="24" spans="1:118" ht="25.5" customHeight="1" thickBot="1">
      <c r="A24" s="331">
        <v>4267</v>
      </c>
      <c r="B24" s="332" t="s">
        <v>11</v>
      </c>
      <c r="C24" s="332" t="s">
        <v>44</v>
      </c>
      <c r="D24" s="332" t="s">
        <v>76</v>
      </c>
      <c r="E24" s="333" t="s">
        <v>53</v>
      </c>
      <c r="F24" s="332"/>
      <c r="G24" s="333" t="s">
        <v>1102</v>
      </c>
      <c r="H24" s="376" t="s">
        <v>54</v>
      </c>
      <c r="I24" s="335"/>
      <c r="J24" s="333"/>
      <c r="K24" s="336"/>
      <c r="L24" s="337" t="s">
        <v>78</v>
      </c>
      <c r="M24" s="332" t="s">
        <v>77</v>
      </c>
      <c r="N24" s="332"/>
      <c r="O24" s="332" t="s">
        <v>77</v>
      </c>
      <c r="P24" s="338" t="s">
        <v>77</v>
      </c>
      <c r="Q24" s="337"/>
      <c r="R24" s="332"/>
      <c r="S24" s="332"/>
      <c r="T24" s="332"/>
      <c r="U24" s="339" t="s">
        <v>80</v>
      </c>
      <c r="V24" s="331"/>
      <c r="W24" s="377"/>
      <c r="X24" s="377"/>
      <c r="Y24" s="377"/>
      <c r="Z24" s="378"/>
      <c r="AA24" s="379"/>
      <c r="AB24" s="377"/>
      <c r="AC24" s="377"/>
      <c r="AD24" s="377"/>
      <c r="AE24" s="376"/>
      <c r="AF24" s="380"/>
      <c r="AG24" s="377"/>
      <c r="AH24" s="377"/>
      <c r="AI24" s="377"/>
      <c r="AJ24" s="378"/>
      <c r="AK24" s="379"/>
      <c r="AL24" s="377"/>
      <c r="AM24" s="377"/>
      <c r="AN24" s="377"/>
      <c r="AO24" s="376"/>
      <c r="AP24" s="380"/>
      <c r="AQ24" s="377"/>
      <c r="AR24" s="377"/>
      <c r="AS24" s="377"/>
      <c r="AT24" s="378"/>
      <c r="AU24" s="379"/>
      <c r="AV24" s="377"/>
      <c r="AW24" s="377"/>
      <c r="AX24" s="377"/>
      <c r="AY24" s="376"/>
      <c r="AZ24" s="380"/>
      <c r="BA24" s="377"/>
      <c r="BB24" s="377"/>
      <c r="BC24" s="377"/>
      <c r="BD24" s="378"/>
      <c r="BE24" s="379"/>
      <c r="BF24" s="377"/>
      <c r="BG24" s="377"/>
      <c r="BH24" s="377"/>
      <c r="BI24" s="376"/>
      <c r="BJ24" s="380"/>
      <c r="BK24" s="377"/>
      <c r="BL24" s="377"/>
      <c r="BM24" s="377"/>
      <c r="BN24" s="378"/>
      <c r="BO24" s="379"/>
      <c r="BP24" s="377"/>
      <c r="BQ24" s="377"/>
      <c r="BR24" s="377"/>
      <c r="BS24" s="376"/>
      <c r="BT24" s="380"/>
      <c r="BU24" s="377"/>
      <c r="BV24" s="377"/>
      <c r="BW24" s="377"/>
      <c r="BX24" s="378"/>
      <c r="BY24" s="379"/>
      <c r="BZ24" s="377"/>
      <c r="CA24" s="377"/>
      <c r="CB24" s="377"/>
      <c r="CC24" s="376"/>
      <c r="CD24" s="380"/>
      <c r="CE24" s="377"/>
      <c r="CF24" s="377"/>
      <c r="CG24" s="377"/>
      <c r="CH24" s="376"/>
      <c r="CI24" s="380"/>
      <c r="CJ24" s="377"/>
      <c r="CK24" s="377"/>
      <c r="CL24" s="377"/>
      <c r="CM24" s="378"/>
    </row>
    <row r="25" spans="1:118" ht="25.5" customHeight="1">
      <c r="A25" s="341">
        <v>4268</v>
      </c>
      <c r="B25" s="342" t="s">
        <v>11</v>
      </c>
      <c r="C25" s="342" t="s">
        <v>44</v>
      </c>
      <c r="D25" s="342" t="s">
        <v>76</v>
      </c>
      <c r="E25" s="343" t="s">
        <v>53</v>
      </c>
      <c r="F25" s="342"/>
      <c r="G25" s="343" t="s">
        <v>1104</v>
      </c>
      <c r="H25" s="344" t="s">
        <v>54</v>
      </c>
      <c r="I25" s="345"/>
      <c r="J25" s="343"/>
      <c r="K25" s="346"/>
      <c r="L25" s="347" t="s">
        <v>78</v>
      </c>
      <c r="M25" s="342" t="s">
        <v>77</v>
      </c>
      <c r="N25" s="342"/>
      <c r="O25" s="342" t="s">
        <v>77</v>
      </c>
      <c r="P25" s="348" t="s">
        <v>77</v>
      </c>
      <c r="Q25" s="347"/>
      <c r="R25" s="342"/>
      <c r="S25" s="342"/>
      <c r="T25" s="342"/>
      <c r="U25" s="349" t="s">
        <v>80</v>
      </c>
      <c r="V25" s="341"/>
      <c r="W25" s="381"/>
      <c r="X25" s="381"/>
      <c r="Y25" s="381"/>
      <c r="Z25" s="382"/>
      <c r="AA25" s="383"/>
      <c r="AB25" s="381"/>
      <c r="AC25" s="381"/>
      <c r="AD25" s="381"/>
      <c r="AE25" s="384"/>
      <c r="AF25" s="385"/>
      <c r="AG25" s="381"/>
      <c r="AH25" s="381"/>
      <c r="AI25" s="381"/>
      <c r="AJ25" s="382"/>
      <c r="AK25" s="383"/>
      <c r="AL25" s="381"/>
      <c r="AM25" s="381"/>
      <c r="AN25" s="381"/>
      <c r="AO25" s="384"/>
      <c r="AP25" s="385"/>
      <c r="AQ25" s="381"/>
      <c r="AR25" s="381"/>
      <c r="AS25" s="381"/>
      <c r="AT25" s="382"/>
      <c r="AU25" s="383"/>
      <c r="AV25" s="381"/>
      <c r="AW25" s="381"/>
      <c r="AX25" s="381"/>
      <c r="AY25" s="384"/>
      <c r="AZ25" s="385"/>
      <c r="BA25" s="381"/>
      <c r="BB25" s="381"/>
      <c r="BC25" s="381"/>
      <c r="BD25" s="382"/>
      <c r="BE25" s="383"/>
      <c r="BF25" s="381"/>
      <c r="BG25" s="381"/>
      <c r="BH25" s="381"/>
      <c r="BI25" s="384"/>
      <c r="BJ25" s="385"/>
      <c r="BK25" s="381"/>
      <c r="BL25" s="381"/>
      <c r="BM25" s="381"/>
      <c r="BN25" s="382"/>
      <c r="BO25" s="383"/>
      <c r="BP25" s="381"/>
      <c r="BQ25" s="381"/>
      <c r="BR25" s="381"/>
      <c r="BS25" s="384"/>
      <c r="BT25" s="385"/>
      <c r="BU25" s="381"/>
      <c r="BV25" s="381"/>
      <c r="BW25" s="381"/>
      <c r="BX25" s="382"/>
      <c r="BY25" s="383"/>
      <c r="BZ25" s="381"/>
      <c r="CA25" s="381"/>
      <c r="CB25" s="381"/>
      <c r="CC25" s="384"/>
      <c r="CD25" s="385"/>
      <c r="CE25" s="381"/>
      <c r="CF25" s="381"/>
      <c r="CG25" s="381"/>
      <c r="CH25" s="384"/>
      <c r="CI25" s="385"/>
      <c r="CJ25" s="381"/>
      <c r="CK25" s="381"/>
      <c r="CL25" s="381"/>
      <c r="CM25" s="382"/>
    </row>
    <row r="26" spans="1:118" ht="25.5" customHeight="1">
      <c r="A26" s="386">
        <v>4269</v>
      </c>
      <c r="B26" s="387" t="s">
        <v>11</v>
      </c>
      <c r="C26" s="387" t="s">
        <v>44</v>
      </c>
      <c r="D26" s="387" t="s">
        <v>76</v>
      </c>
      <c r="E26" s="372" t="s">
        <v>53</v>
      </c>
      <c r="F26" s="387"/>
      <c r="G26" s="372" t="s">
        <v>1106</v>
      </c>
      <c r="H26" s="371" t="s">
        <v>54</v>
      </c>
      <c r="I26" s="375"/>
      <c r="J26" s="372"/>
      <c r="K26" s="373"/>
      <c r="L26" s="388" t="s">
        <v>78</v>
      </c>
      <c r="M26" s="387" t="s">
        <v>77</v>
      </c>
      <c r="N26" s="387"/>
      <c r="O26" s="387" t="s">
        <v>77</v>
      </c>
      <c r="P26" s="389" t="s">
        <v>77</v>
      </c>
      <c r="Q26" s="388"/>
      <c r="R26" s="387"/>
      <c r="S26" s="387"/>
      <c r="T26" s="387"/>
      <c r="U26" s="390" t="s">
        <v>80</v>
      </c>
      <c r="V26" s="386"/>
      <c r="W26" s="372"/>
      <c r="X26" s="372"/>
      <c r="Y26" s="372"/>
      <c r="Z26" s="373"/>
      <c r="AA26" s="374"/>
      <c r="AB26" s="372"/>
      <c r="AC26" s="372"/>
      <c r="AD26" s="372"/>
      <c r="AE26" s="371"/>
      <c r="AF26" s="375"/>
      <c r="AG26" s="372"/>
      <c r="AH26" s="372"/>
      <c r="AI26" s="372"/>
      <c r="AJ26" s="373"/>
      <c r="AK26" s="374"/>
      <c r="AL26" s="372"/>
      <c r="AM26" s="372"/>
      <c r="AN26" s="372"/>
      <c r="AO26" s="371"/>
      <c r="AP26" s="375"/>
      <c r="AQ26" s="372"/>
      <c r="AR26" s="372"/>
      <c r="AS26" s="372"/>
      <c r="AT26" s="373"/>
      <c r="AU26" s="374"/>
      <c r="AV26" s="372"/>
      <c r="AW26" s="372"/>
      <c r="AX26" s="372"/>
      <c r="AY26" s="371"/>
      <c r="AZ26" s="375"/>
      <c r="BA26" s="372"/>
      <c r="BB26" s="372"/>
      <c r="BC26" s="372"/>
      <c r="BD26" s="373"/>
      <c r="BE26" s="374"/>
      <c r="BF26" s="372"/>
      <c r="BG26" s="372"/>
      <c r="BH26" s="372"/>
      <c r="BI26" s="371"/>
      <c r="BJ26" s="375"/>
      <c r="BK26" s="372"/>
      <c r="BL26" s="372"/>
      <c r="BM26" s="372"/>
      <c r="BN26" s="373"/>
      <c r="BO26" s="374"/>
      <c r="BP26" s="372"/>
      <c r="BQ26" s="372"/>
      <c r="BR26" s="372"/>
      <c r="BS26" s="371"/>
      <c r="BT26" s="375"/>
      <c r="BU26" s="372"/>
      <c r="BV26" s="372"/>
      <c r="BW26" s="372"/>
      <c r="BX26" s="373"/>
      <c r="BY26" s="374"/>
      <c r="BZ26" s="372"/>
      <c r="CA26" s="372"/>
      <c r="CB26" s="372"/>
      <c r="CC26" s="371"/>
      <c r="CD26" s="375"/>
      <c r="CE26" s="372"/>
      <c r="CF26" s="372"/>
      <c r="CG26" s="372"/>
      <c r="CH26" s="371"/>
      <c r="CI26" s="375"/>
      <c r="CJ26" s="372"/>
      <c r="CK26" s="372"/>
      <c r="CL26" s="372"/>
      <c r="CM26" s="373"/>
    </row>
    <row r="27" spans="1:118" ht="25.5" customHeight="1">
      <c r="A27" s="386">
        <v>4270</v>
      </c>
      <c r="B27" s="387" t="s">
        <v>11</v>
      </c>
      <c r="C27" s="387" t="s">
        <v>44</v>
      </c>
      <c r="D27" s="387" t="s">
        <v>76</v>
      </c>
      <c r="E27" s="372" t="s">
        <v>53</v>
      </c>
      <c r="F27" s="387"/>
      <c r="G27" s="372" t="s">
        <v>1108</v>
      </c>
      <c r="H27" s="371" t="s">
        <v>54</v>
      </c>
      <c r="I27" s="375"/>
      <c r="J27" s="372"/>
      <c r="K27" s="373"/>
      <c r="L27" s="388" t="s">
        <v>78</v>
      </c>
      <c r="M27" s="387" t="s">
        <v>77</v>
      </c>
      <c r="N27" s="387"/>
      <c r="O27" s="387" t="s">
        <v>77</v>
      </c>
      <c r="P27" s="389" t="s">
        <v>77</v>
      </c>
      <c r="Q27" s="388"/>
      <c r="R27" s="387"/>
      <c r="S27" s="387"/>
      <c r="T27" s="387"/>
      <c r="U27" s="390" t="s">
        <v>80</v>
      </c>
      <c r="V27" s="386"/>
      <c r="W27" s="372"/>
      <c r="X27" s="372"/>
      <c r="Y27" s="372"/>
      <c r="Z27" s="373"/>
      <c r="AA27" s="374"/>
      <c r="AB27" s="372"/>
      <c r="AC27" s="372"/>
      <c r="AD27" s="372"/>
      <c r="AE27" s="371"/>
      <c r="AF27" s="375"/>
      <c r="AG27" s="372"/>
      <c r="AH27" s="372"/>
      <c r="AI27" s="372"/>
      <c r="AJ27" s="373"/>
      <c r="AK27" s="374"/>
      <c r="AL27" s="372"/>
      <c r="AM27" s="372"/>
      <c r="AN27" s="372"/>
      <c r="AO27" s="371"/>
      <c r="AP27" s="375"/>
      <c r="AQ27" s="372"/>
      <c r="AR27" s="372"/>
      <c r="AS27" s="372"/>
      <c r="AT27" s="373"/>
      <c r="AU27" s="374"/>
      <c r="AV27" s="372"/>
      <c r="AW27" s="372"/>
      <c r="AX27" s="372"/>
      <c r="AY27" s="371"/>
      <c r="AZ27" s="375"/>
      <c r="BA27" s="372"/>
      <c r="BB27" s="372"/>
      <c r="BC27" s="372"/>
      <c r="BD27" s="373"/>
      <c r="BE27" s="374"/>
      <c r="BF27" s="372"/>
      <c r="BG27" s="372"/>
      <c r="BH27" s="372"/>
      <c r="BI27" s="371"/>
      <c r="BJ27" s="375"/>
      <c r="BK27" s="372"/>
      <c r="BL27" s="372"/>
      <c r="BM27" s="372"/>
      <c r="BN27" s="373"/>
      <c r="BO27" s="374"/>
      <c r="BP27" s="372"/>
      <c r="BQ27" s="372"/>
      <c r="BR27" s="372"/>
      <c r="BS27" s="371"/>
      <c r="BT27" s="375"/>
      <c r="BU27" s="372"/>
      <c r="BV27" s="372"/>
      <c r="BW27" s="372"/>
      <c r="BX27" s="373"/>
      <c r="BY27" s="374"/>
      <c r="BZ27" s="372"/>
      <c r="CA27" s="372"/>
      <c r="CB27" s="372"/>
      <c r="CC27" s="371"/>
      <c r="CD27" s="375"/>
      <c r="CE27" s="372"/>
      <c r="CF27" s="372"/>
      <c r="CG27" s="372"/>
      <c r="CH27" s="371"/>
      <c r="CI27" s="375"/>
      <c r="CJ27" s="372"/>
      <c r="CK27" s="372"/>
      <c r="CL27" s="372"/>
      <c r="CM27" s="373"/>
    </row>
    <row r="28" spans="1:118" ht="25.5" customHeight="1">
      <c r="A28" s="386">
        <v>4271</v>
      </c>
      <c r="B28" s="387" t="s">
        <v>11</v>
      </c>
      <c r="C28" s="387" t="s">
        <v>44</v>
      </c>
      <c r="D28" s="387" t="s">
        <v>76</v>
      </c>
      <c r="E28" s="372" t="s">
        <v>53</v>
      </c>
      <c r="F28" s="387"/>
      <c r="G28" s="372" t="s">
        <v>1110</v>
      </c>
      <c r="H28" s="371" t="s">
        <v>54</v>
      </c>
      <c r="I28" s="375"/>
      <c r="J28" s="372"/>
      <c r="K28" s="373"/>
      <c r="L28" s="388" t="s">
        <v>78</v>
      </c>
      <c r="M28" s="387" t="s">
        <v>77</v>
      </c>
      <c r="N28" s="387"/>
      <c r="O28" s="387" t="s">
        <v>77</v>
      </c>
      <c r="P28" s="389" t="s">
        <v>77</v>
      </c>
      <c r="Q28" s="388"/>
      <c r="R28" s="387"/>
      <c r="S28" s="387"/>
      <c r="T28" s="387"/>
      <c r="U28" s="390" t="s">
        <v>80</v>
      </c>
      <c r="V28" s="386"/>
      <c r="W28" s="372"/>
      <c r="X28" s="372"/>
      <c r="Y28" s="372"/>
      <c r="Z28" s="373"/>
      <c r="AA28" s="374"/>
      <c r="AB28" s="372"/>
      <c r="AC28" s="372"/>
      <c r="AD28" s="372"/>
      <c r="AE28" s="371"/>
      <c r="AF28" s="375"/>
      <c r="AG28" s="372"/>
      <c r="AH28" s="372"/>
      <c r="AI28" s="372"/>
      <c r="AJ28" s="373"/>
      <c r="AK28" s="374"/>
      <c r="AL28" s="372"/>
      <c r="AM28" s="372"/>
      <c r="AN28" s="372"/>
      <c r="AO28" s="371"/>
      <c r="AP28" s="375"/>
      <c r="AQ28" s="372"/>
      <c r="AR28" s="372"/>
      <c r="AS28" s="372"/>
      <c r="AT28" s="373"/>
      <c r="AU28" s="374"/>
      <c r="AV28" s="372"/>
      <c r="AW28" s="372"/>
      <c r="AX28" s="372"/>
      <c r="AY28" s="371"/>
      <c r="AZ28" s="375"/>
      <c r="BA28" s="372"/>
      <c r="BB28" s="372"/>
      <c r="BC28" s="372"/>
      <c r="BD28" s="373"/>
      <c r="BE28" s="374"/>
      <c r="BF28" s="372"/>
      <c r="BG28" s="372"/>
      <c r="BH28" s="372"/>
      <c r="BI28" s="371"/>
      <c r="BJ28" s="375"/>
      <c r="BK28" s="372"/>
      <c r="BL28" s="372"/>
      <c r="BM28" s="372"/>
      <c r="BN28" s="373"/>
      <c r="BO28" s="374"/>
      <c r="BP28" s="372"/>
      <c r="BQ28" s="372"/>
      <c r="BR28" s="372"/>
      <c r="BS28" s="371"/>
      <c r="BT28" s="375"/>
      <c r="BU28" s="372"/>
      <c r="BV28" s="372"/>
      <c r="BW28" s="372"/>
      <c r="BX28" s="373"/>
      <c r="BY28" s="374"/>
      <c r="BZ28" s="372"/>
      <c r="CA28" s="372"/>
      <c r="CB28" s="372"/>
      <c r="CC28" s="371"/>
      <c r="CD28" s="375"/>
      <c r="CE28" s="372"/>
      <c r="CF28" s="372"/>
      <c r="CG28" s="372"/>
      <c r="CH28" s="371"/>
      <c r="CI28" s="375"/>
      <c r="CJ28" s="372"/>
      <c r="CK28" s="372"/>
      <c r="CL28" s="372"/>
      <c r="CM28" s="373"/>
    </row>
    <row r="29" spans="1:118" ht="25.5" customHeight="1" thickBot="1">
      <c r="A29" s="391">
        <v>4272</v>
      </c>
      <c r="B29" s="392" t="s">
        <v>11</v>
      </c>
      <c r="C29" s="392" t="s">
        <v>44</v>
      </c>
      <c r="D29" s="392" t="s">
        <v>76</v>
      </c>
      <c r="E29" s="393" t="s">
        <v>53</v>
      </c>
      <c r="F29" s="392"/>
      <c r="G29" s="393" t="s">
        <v>1112</v>
      </c>
      <c r="H29" s="394" t="s">
        <v>54</v>
      </c>
      <c r="I29" s="395"/>
      <c r="J29" s="393"/>
      <c r="K29" s="396"/>
      <c r="L29" s="397" t="s">
        <v>78</v>
      </c>
      <c r="M29" s="392" t="s">
        <v>77</v>
      </c>
      <c r="N29" s="392"/>
      <c r="O29" s="392" t="s">
        <v>77</v>
      </c>
      <c r="P29" s="398" t="s">
        <v>77</v>
      </c>
      <c r="Q29" s="397"/>
      <c r="R29" s="392"/>
      <c r="S29" s="392"/>
      <c r="T29" s="392"/>
      <c r="U29" s="399" t="s">
        <v>80</v>
      </c>
      <c r="V29" s="391"/>
      <c r="W29" s="393"/>
      <c r="X29" s="393"/>
      <c r="Y29" s="393"/>
      <c r="Z29" s="396"/>
      <c r="AA29" s="400"/>
      <c r="AB29" s="393"/>
      <c r="AC29" s="393"/>
      <c r="AD29" s="393"/>
      <c r="AE29" s="394"/>
      <c r="AF29" s="395"/>
      <c r="AG29" s="393"/>
      <c r="AH29" s="393"/>
      <c r="AI29" s="393"/>
      <c r="AJ29" s="396"/>
      <c r="AK29" s="400"/>
      <c r="AL29" s="393"/>
      <c r="AM29" s="393"/>
      <c r="AN29" s="393"/>
      <c r="AO29" s="394"/>
      <c r="AP29" s="395"/>
      <c r="AQ29" s="393"/>
      <c r="AR29" s="393"/>
      <c r="AS29" s="393"/>
      <c r="AT29" s="396"/>
      <c r="AU29" s="400"/>
      <c r="AV29" s="393"/>
      <c r="AW29" s="393"/>
      <c r="AX29" s="393"/>
      <c r="AY29" s="394"/>
      <c r="AZ29" s="395"/>
      <c r="BA29" s="393"/>
      <c r="BB29" s="393"/>
      <c r="BC29" s="393"/>
      <c r="BD29" s="396"/>
      <c r="BE29" s="400"/>
      <c r="BF29" s="393"/>
      <c r="BG29" s="393"/>
      <c r="BH29" s="393"/>
      <c r="BI29" s="394"/>
      <c r="BJ29" s="395"/>
      <c r="BK29" s="393"/>
      <c r="BL29" s="393"/>
      <c r="BM29" s="393"/>
      <c r="BN29" s="396"/>
      <c r="BO29" s="400"/>
      <c r="BP29" s="393"/>
      <c r="BQ29" s="393"/>
      <c r="BR29" s="393"/>
      <c r="BS29" s="394"/>
      <c r="BT29" s="395"/>
      <c r="BU29" s="393"/>
      <c r="BV29" s="393"/>
      <c r="BW29" s="393"/>
      <c r="BX29" s="396"/>
      <c r="BY29" s="400"/>
      <c r="BZ29" s="393"/>
      <c r="CA29" s="393"/>
      <c r="CB29" s="393"/>
      <c r="CC29" s="394"/>
      <c r="CD29" s="395"/>
      <c r="CE29" s="393"/>
      <c r="CF29" s="393"/>
      <c r="CG29" s="393"/>
      <c r="CH29" s="394"/>
      <c r="CI29" s="395"/>
      <c r="CJ29" s="393"/>
      <c r="CK29" s="393"/>
      <c r="CL29" s="393"/>
      <c r="CM29" s="396"/>
    </row>
    <row r="30" spans="1:118" ht="25.5" customHeight="1">
      <c r="A30" s="401">
        <v>4273</v>
      </c>
      <c r="B30" s="402" t="s">
        <v>11</v>
      </c>
      <c r="C30" s="402" t="s">
        <v>44</v>
      </c>
      <c r="D30" s="402" t="s">
        <v>76</v>
      </c>
      <c r="E30" s="403" t="s">
        <v>53</v>
      </c>
      <c r="F30" s="402"/>
      <c r="G30" s="403" t="s">
        <v>1114</v>
      </c>
      <c r="H30" s="404" t="s">
        <v>54</v>
      </c>
      <c r="I30" s="405"/>
      <c r="J30" s="403"/>
      <c r="K30" s="406"/>
      <c r="L30" s="407" t="s">
        <v>78</v>
      </c>
      <c r="M30" s="402" t="s">
        <v>77</v>
      </c>
      <c r="N30" s="402"/>
      <c r="O30" s="402" t="s">
        <v>77</v>
      </c>
      <c r="P30" s="408" t="s">
        <v>77</v>
      </c>
      <c r="Q30" s="407"/>
      <c r="R30" s="402"/>
      <c r="S30" s="402"/>
      <c r="T30" s="402"/>
      <c r="U30" s="409" t="s">
        <v>80</v>
      </c>
      <c r="V30" s="401"/>
      <c r="W30" s="403"/>
      <c r="X30" s="403"/>
      <c r="Y30" s="403"/>
      <c r="Z30" s="406"/>
      <c r="AA30" s="410"/>
      <c r="AB30" s="403"/>
      <c r="AC30" s="403"/>
      <c r="AD30" s="403"/>
      <c r="AE30" s="404"/>
      <c r="AF30" s="405"/>
      <c r="AG30" s="403"/>
      <c r="AH30" s="403"/>
      <c r="AI30" s="403"/>
      <c r="AJ30" s="406"/>
      <c r="AK30" s="410"/>
      <c r="AL30" s="403"/>
      <c r="AM30" s="403"/>
      <c r="AN30" s="403"/>
      <c r="AO30" s="404"/>
      <c r="AP30" s="405"/>
      <c r="AQ30" s="403"/>
      <c r="AR30" s="403"/>
      <c r="AS30" s="403"/>
      <c r="AT30" s="406"/>
      <c r="AU30" s="410"/>
      <c r="AV30" s="403"/>
      <c r="AW30" s="403"/>
      <c r="AX30" s="403"/>
      <c r="AY30" s="404"/>
      <c r="AZ30" s="405"/>
      <c r="BA30" s="403"/>
      <c r="BB30" s="403"/>
      <c r="BC30" s="403"/>
      <c r="BD30" s="406"/>
      <c r="BE30" s="410"/>
      <c r="BF30" s="403"/>
      <c r="BG30" s="403"/>
      <c r="BH30" s="403"/>
      <c r="BI30" s="404"/>
      <c r="BJ30" s="405"/>
      <c r="BK30" s="403"/>
      <c r="BL30" s="403"/>
      <c r="BM30" s="403"/>
      <c r="BN30" s="406"/>
      <c r="BO30" s="410"/>
      <c r="BP30" s="403"/>
      <c r="BQ30" s="403"/>
      <c r="BR30" s="403"/>
      <c r="BS30" s="404"/>
      <c r="BT30" s="405"/>
      <c r="BU30" s="403"/>
      <c r="BV30" s="403"/>
      <c r="BW30" s="403"/>
      <c r="BX30" s="406"/>
      <c r="BY30" s="410"/>
      <c r="BZ30" s="403"/>
      <c r="CA30" s="403"/>
      <c r="CB30" s="403"/>
      <c r="CC30" s="404"/>
      <c r="CD30" s="405"/>
      <c r="CE30" s="403"/>
      <c r="CF30" s="403"/>
      <c r="CG30" s="403"/>
      <c r="CH30" s="404"/>
      <c r="CI30" s="405"/>
      <c r="CJ30" s="403"/>
      <c r="CK30" s="403"/>
      <c r="CL30" s="403"/>
      <c r="CM30" s="406"/>
    </row>
    <row r="31" spans="1:118" ht="25.5" customHeight="1">
      <c r="A31" s="386">
        <v>4274</v>
      </c>
      <c r="B31" s="387" t="s">
        <v>11</v>
      </c>
      <c r="C31" s="387" t="s">
        <v>44</v>
      </c>
      <c r="D31" s="387" t="s">
        <v>76</v>
      </c>
      <c r="E31" s="372" t="s">
        <v>53</v>
      </c>
      <c r="F31" s="387"/>
      <c r="G31" s="372" t="s">
        <v>1116</v>
      </c>
      <c r="H31" s="371" t="s">
        <v>54</v>
      </c>
      <c r="I31" s="375"/>
      <c r="J31" s="372"/>
      <c r="K31" s="373"/>
      <c r="L31" s="388" t="s">
        <v>78</v>
      </c>
      <c r="M31" s="387" t="s">
        <v>77</v>
      </c>
      <c r="N31" s="387"/>
      <c r="O31" s="387" t="s">
        <v>77</v>
      </c>
      <c r="P31" s="389" t="s">
        <v>77</v>
      </c>
      <c r="Q31" s="388"/>
      <c r="R31" s="387"/>
      <c r="S31" s="387"/>
      <c r="T31" s="387"/>
      <c r="U31" s="390" t="s">
        <v>80</v>
      </c>
      <c r="V31" s="386"/>
      <c r="W31" s="372"/>
      <c r="X31" s="372"/>
      <c r="Y31" s="372"/>
      <c r="Z31" s="373"/>
      <c r="AA31" s="374"/>
      <c r="AB31" s="372"/>
      <c r="AC31" s="372"/>
      <c r="AD31" s="372"/>
      <c r="AE31" s="371"/>
      <c r="AF31" s="375"/>
      <c r="AG31" s="372"/>
      <c r="AH31" s="372"/>
      <c r="AI31" s="372"/>
      <c r="AJ31" s="373"/>
      <c r="AK31" s="374"/>
      <c r="AL31" s="372"/>
      <c r="AM31" s="372"/>
      <c r="AN31" s="372"/>
      <c r="AO31" s="371"/>
      <c r="AP31" s="375"/>
      <c r="AQ31" s="372"/>
      <c r="AR31" s="372"/>
      <c r="AS31" s="372"/>
      <c r="AT31" s="373"/>
      <c r="AU31" s="374"/>
      <c r="AV31" s="372"/>
      <c r="AW31" s="372"/>
      <c r="AX31" s="372"/>
      <c r="AY31" s="371"/>
      <c r="AZ31" s="375"/>
      <c r="BA31" s="372"/>
      <c r="BB31" s="372"/>
      <c r="BC31" s="372"/>
      <c r="BD31" s="373"/>
      <c r="BE31" s="374"/>
      <c r="BF31" s="372"/>
      <c r="BG31" s="372"/>
      <c r="BH31" s="372"/>
      <c r="BI31" s="371"/>
      <c r="BJ31" s="375"/>
      <c r="BK31" s="372"/>
      <c r="BL31" s="372"/>
      <c r="BM31" s="372"/>
      <c r="BN31" s="373"/>
      <c r="BO31" s="374"/>
      <c r="BP31" s="372"/>
      <c r="BQ31" s="372"/>
      <c r="BR31" s="372"/>
      <c r="BS31" s="371"/>
      <c r="BT31" s="375"/>
      <c r="BU31" s="372"/>
      <c r="BV31" s="372"/>
      <c r="BW31" s="372"/>
      <c r="BX31" s="373"/>
      <c r="BY31" s="374"/>
      <c r="BZ31" s="372"/>
      <c r="CA31" s="372"/>
      <c r="CB31" s="372"/>
      <c r="CC31" s="371"/>
      <c r="CD31" s="375"/>
      <c r="CE31" s="372"/>
      <c r="CF31" s="372"/>
      <c r="CG31" s="372"/>
      <c r="CH31" s="371"/>
      <c r="CI31" s="375"/>
      <c r="CJ31" s="372"/>
      <c r="CK31" s="372"/>
      <c r="CL31" s="372"/>
      <c r="CM31" s="373"/>
    </row>
    <row r="32" spans="1:118" ht="25.5" customHeight="1">
      <c r="A32" s="386">
        <v>4275</v>
      </c>
      <c r="B32" s="387" t="s">
        <v>11</v>
      </c>
      <c r="C32" s="387" t="s">
        <v>44</v>
      </c>
      <c r="D32" s="387" t="s">
        <v>76</v>
      </c>
      <c r="E32" s="372" t="s">
        <v>53</v>
      </c>
      <c r="F32" s="387"/>
      <c r="G32" s="372" t="s">
        <v>1118</v>
      </c>
      <c r="H32" s="371" t="s">
        <v>54</v>
      </c>
      <c r="I32" s="375"/>
      <c r="J32" s="372"/>
      <c r="K32" s="373"/>
      <c r="L32" s="388" t="s">
        <v>78</v>
      </c>
      <c r="M32" s="387" t="s">
        <v>77</v>
      </c>
      <c r="N32" s="387"/>
      <c r="O32" s="387" t="s">
        <v>77</v>
      </c>
      <c r="P32" s="389" t="s">
        <v>77</v>
      </c>
      <c r="Q32" s="388"/>
      <c r="R32" s="387"/>
      <c r="S32" s="387"/>
      <c r="T32" s="387"/>
      <c r="U32" s="390" t="s">
        <v>80</v>
      </c>
      <c r="V32" s="386"/>
      <c r="W32" s="372"/>
      <c r="X32" s="372"/>
      <c r="Y32" s="372"/>
      <c r="Z32" s="373"/>
      <c r="AA32" s="374"/>
      <c r="AB32" s="372"/>
      <c r="AC32" s="372"/>
      <c r="AD32" s="372"/>
      <c r="AE32" s="371"/>
      <c r="AF32" s="375"/>
      <c r="AG32" s="372"/>
      <c r="AH32" s="372"/>
      <c r="AI32" s="372"/>
      <c r="AJ32" s="373"/>
      <c r="AK32" s="374"/>
      <c r="AL32" s="372"/>
      <c r="AM32" s="372"/>
      <c r="AN32" s="372"/>
      <c r="AO32" s="371"/>
      <c r="AP32" s="375"/>
      <c r="AQ32" s="372"/>
      <c r="AR32" s="372"/>
      <c r="AS32" s="372"/>
      <c r="AT32" s="373"/>
      <c r="AU32" s="374"/>
      <c r="AV32" s="372"/>
      <c r="AW32" s="372"/>
      <c r="AX32" s="372"/>
      <c r="AY32" s="371"/>
      <c r="AZ32" s="375"/>
      <c r="BA32" s="372"/>
      <c r="BB32" s="372"/>
      <c r="BC32" s="372"/>
      <c r="BD32" s="373"/>
      <c r="BE32" s="374"/>
      <c r="BF32" s="372"/>
      <c r="BG32" s="372"/>
      <c r="BH32" s="372"/>
      <c r="BI32" s="371"/>
      <c r="BJ32" s="375"/>
      <c r="BK32" s="372"/>
      <c r="BL32" s="372"/>
      <c r="BM32" s="372"/>
      <c r="BN32" s="373"/>
      <c r="BO32" s="374"/>
      <c r="BP32" s="372"/>
      <c r="BQ32" s="372"/>
      <c r="BR32" s="372"/>
      <c r="BS32" s="371"/>
      <c r="BT32" s="375"/>
      <c r="BU32" s="372"/>
      <c r="BV32" s="372"/>
      <c r="BW32" s="372"/>
      <c r="BX32" s="373"/>
      <c r="BY32" s="374"/>
      <c r="BZ32" s="372"/>
      <c r="CA32" s="372"/>
      <c r="CB32" s="372"/>
      <c r="CC32" s="371"/>
      <c r="CD32" s="375"/>
      <c r="CE32" s="372"/>
      <c r="CF32" s="372"/>
      <c r="CG32" s="372"/>
      <c r="CH32" s="371"/>
      <c r="CI32" s="375"/>
      <c r="CJ32" s="372"/>
      <c r="CK32" s="372"/>
      <c r="CL32" s="372"/>
      <c r="CM32" s="373"/>
    </row>
    <row r="33" spans="1:91" ht="25.5" customHeight="1">
      <c r="A33" s="386">
        <v>4276</v>
      </c>
      <c r="B33" s="387" t="s">
        <v>11</v>
      </c>
      <c r="C33" s="387" t="s">
        <v>44</v>
      </c>
      <c r="D33" s="387" t="s">
        <v>76</v>
      </c>
      <c r="E33" s="372" t="s">
        <v>53</v>
      </c>
      <c r="F33" s="387"/>
      <c r="G33" s="372" t="s">
        <v>1120</v>
      </c>
      <c r="H33" s="371" t="s">
        <v>54</v>
      </c>
      <c r="I33" s="375"/>
      <c r="J33" s="372"/>
      <c r="K33" s="373"/>
      <c r="L33" s="388" t="s">
        <v>78</v>
      </c>
      <c r="M33" s="387" t="s">
        <v>77</v>
      </c>
      <c r="N33" s="387"/>
      <c r="O33" s="387" t="s">
        <v>77</v>
      </c>
      <c r="P33" s="389" t="s">
        <v>77</v>
      </c>
      <c r="Q33" s="388"/>
      <c r="R33" s="387"/>
      <c r="S33" s="387"/>
      <c r="T33" s="387"/>
      <c r="U33" s="390" t="s">
        <v>80</v>
      </c>
      <c r="V33" s="386"/>
      <c r="W33" s="372"/>
      <c r="X33" s="372"/>
      <c r="Y33" s="372"/>
      <c r="Z33" s="373"/>
      <c r="AA33" s="374"/>
      <c r="AB33" s="372"/>
      <c r="AC33" s="372"/>
      <c r="AD33" s="372"/>
      <c r="AE33" s="371"/>
      <c r="AF33" s="375"/>
      <c r="AG33" s="372"/>
      <c r="AH33" s="372"/>
      <c r="AI33" s="372"/>
      <c r="AJ33" s="373"/>
      <c r="AK33" s="374"/>
      <c r="AL33" s="372"/>
      <c r="AM33" s="372"/>
      <c r="AN33" s="372"/>
      <c r="AO33" s="371"/>
      <c r="AP33" s="375"/>
      <c r="AQ33" s="372"/>
      <c r="AR33" s="372"/>
      <c r="AS33" s="372"/>
      <c r="AT33" s="373"/>
      <c r="AU33" s="374"/>
      <c r="AV33" s="372"/>
      <c r="AW33" s="372"/>
      <c r="AX33" s="372"/>
      <c r="AY33" s="371"/>
      <c r="AZ33" s="375"/>
      <c r="BA33" s="372"/>
      <c r="BB33" s="372"/>
      <c r="BC33" s="372"/>
      <c r="BD33" s="373"/>
      <c r="BE33" s="374"/>
      <c r="BF33" s="372"/>
      <c r="BG33" s="372"/>
      <c r="BH33" s="372"/>
      <c r="BI33" s="371"/>
      <c r="BJ33" s="375"/>
      <c r="BK33" s="372"/>
      <c r="BL33" s="372"/>
      <c r="BM33" s="372"/>
      <c r="BN33" s="373"/>
      <c r="BO33" s="374"/>
      <c r="BP33" s="372"/>
      <c r="BQ33" s="372"/>
      <c r="BR33" s="372"/>
      <c r="BS33" s="371"/>
      <c r="BT33" s="375"/>
      <c r="BU33" s="372"/>
      <c r="BV33" s="372"/>
      <c r="BW33" s="372"/>
      <c r="BX33" s="373"/>
      <c r="BY33" s="374"/>
      <c r="BZ33" s="372"/>
      <c r="CA33" s="372"/>
      <c r="CB33" s="372"/>
      <c r="CC33" s="371"/>
      <c r="CD33" s="375"/>
      <c r="CE33" s="372"/>
      <c r="CF33" s="372"/>
      <c r="CG33" s="372"/>
      <c r="CH33" s="371"/>
      <c r="CI33" s="375"/>
      <c r="CJ33" s="372"/>
      <c r="CK33" s="372"/>
      <c r="CL33" s="372"/>
      <c r="CM33" s="373"/>
    </row>
    <row r="34" spans="1:91" ht="25.5" customHeight="1" thickBot="1">
      <c r="A34" s="411">
        <v>4277</v>
      </c>
      <c r="B34" s="412" t="s">
        <v>11</v>
      </c>
      <c r="C34" s="412" t="s">
        <v>44</v>
      </c>
      <c r="D34" s="412" t="s">
        <v>76</v>
      </c>
      <c r="E34" s="377" t="s">
        <v>53</v>
      </c>
      <c r="F34" s="412"/>
      <c r="G34" s="377" t="s">
        <v>1122</v>
      </c>
      <c r="H34" s="376" t="s">
        <v>54</v>
      </c>
      <c r="I34" s="380"/>
      <c r="J34" s="377"/>
      <c r="K34" s="378"/>
      <c r="L34" s="413" t="s">
        <v>78</v>
      </c>
      <c r="M34" s="412" t="s">
        <v>77</v>
      </c>
      <c r="N34" s="412"/>
      <c r="O34" s="412" t="s">
        <v>77</v>
      </c>
      <c r="P34" s="414" t="s">
        <v>77</v>
      </c>
      <c r="Q34" s="413"/>
      <c r="R34" s="412"/>
      <c r="S34" s="412"/>
      <c r="T34" s="412"/>
      <c r="U34" s="415" t="s">
        <v>80</v>
      </c>
      <c r="V34" s="411"/>
      <c r="W34" s="377"/>
      <c r="X34" s="377"/>
      <c r="Y34" s="377"/>
      <c r="Z34" s="378"/>
      <c r="AA34" s="379"/>
      <c r="AB34" s="377"/>
      <c r="AC34" s="377"/>
      <c r="AD34" s="377"/>
      <c r="AE34" s="376"/>
      <c r="AF34" s="380"/>
      <c r="AG34" s="377"/>
      <c r="AH34" s="377"/>
      <c r="AI34" s="377"/>
      <c r="AJ34" s="378"/>
      <c r="AK34" s="379"/>
      <c r="AL34" s="377"/>
      <c r="AM34" s="377"/>
      <c r="AN34" s="377"/>
      <c r="AO34" s="376"/>
      <c r="AP34" s="380"/>
      <c r="AQ34" s="377"/>
      <c r="AR34" s="377"/>
      <c r="AS34" s="377"/>
      <c r="AT34" s="378"/>
      <c r="AU34" s="379"/>
      <c r="AV34" s="377"/>
      <c r="AW34" s="377"/>
      <c r="AX34" s="377"/>
      <c r="AY34" s="376"/>
      <c r="AZ34" s="380"/>
      <c r="BA34" s="377"/>
      <c r="BB34" s="377"/>
      <c r="BC34" s="377"/>
      <c r="BD34" s="378"/>
      <c r="BE34" s="379"/>
      <c r="BF34" s="377"/>
      <c r="BG34" s="377"/>
      <c r="BH34" s="377"/>
      <c r="BI34" s="376"/>
      <c r="BJ34" s="380"/>
      <c r="BK34" s="377"/>
      <c r="BL34" s="377"/>
      <c r="BM34" s="377"/>
      <c r="BN34" s="378"/>
      <c r="BO34" s="379"/>
      <c r="BP34" s="377"/>
      <c r="BQ34" s="377"/>
      <c r="BR34" s="377"/>
      <c r="BS34" s="376"/>
      <c r="BT34" s="380"/>
      <c r="BU34" s="377"/>
      <c r="BV34" s="377"/>
      <c r="BW34" s="377"/>
      <c r="BX34" s="378"/>
      <c r="BY34" s="379"/>
      <c r="BZ34" s="377"/>
      <c r="CA34" s="377"/>
      <c r="CB34" s="377"/>
      <c r="CC34" s="376"/>
      <c r="CD34" s="380"/>
      <c r="CE34" s="377"/>
      <c r="CF34" s="377"/>
      <c r="CG34" s="377"/>
      <c r="CH34" s="376"/>
      <c r="CI34" s="380"/>
      <c r="CJ34" s="377"/>
      <c r="CK34" s="377"/>
      <c r="CL34" s="377"/>
      <c r="CM34" s="378"/>
    </row>
    <row r="35" spans="1:91" ht="25.5" customHeight="1">
      <c r="A35" s="416">
        <v>4278</v>
      </c>
      <c r="B35" s="417" t="s">
        <v>11</v>
      </c>
      <c r="C35" s="417" t="s">
        <v>44</v>
      </c>
      <c r="D35" s="417" t="s">
        <v>76</v>
      </c>
      <c r="E35" s="381" t="s">
        <v>53</v>
      </c>
      <c r="F35" s="417"/>
      <c r="G35" s="381" t="s">
        <v>1124</v>
      </c>
      <c r="H35" s="384" t="s">
        <v>54</v>
      </c>
      <c r="I35" s="385"/>
      <c r="J35" s="381"/>
      <c r="K35" s="382"/>
      <c r="L35" s="418" t="s">
        <v>78</v>
      </c>
      <c r="M35" s="417" t="s">
        <v>77</v>
      </c>
      <c r="N35" s="417"/>
      <c r="O35" s="417" t="s">
        <v>77</v>
      </c>
      <c r="P35" s="419" t="s">
        <v>77</v>
      </c>
      <c r="Q35" s="418"/>
      <c r="R35" s="417"/>
      <c r="S35" s="417"/>
      <c r="T35" s="417"/>
      <c r="U35" s="420" t="s">
        <v>80</v>
      </c>
      <c r="V35" s="416"/>
      <c r="W35" s="381"/>
      <c r="X35" s="381"/>
      <c r="Y35" s="381"/>
      <c r="Z35" s="382"/>
      <c r="AA35" s="383"/>
      <c r="AB35" s="381"/>
      <c r="AC35" s="381"/>
      <c r="AD35" s="381"/>
      <c r="AE35" s="384"/>
      <c r="AF35" s="385"/>
      <c r="AG35" s="381"/>
      <c r="AH35" s="381"/>
      <c r="AI35" s="381"/>
      <c r="AJ35" s="382"/>
      <c r="AK35" s="383"/>
      <c r="AL35" s="381"/>
      <c r="AM35" s="381"/>
      <c r="AN35" s="381"/>
      <c r="AO35" s="384"/>
      <c r="AP35" s="385"/>
      <c r="AQ35" s="381"/>
      <c r="AR35" s="381"/>
      <c r="AS35" s="381"/>
      <c r="AT35" s="382"/>
      <c r="AU35" s="383"/>
      <c r="AV35" s="381"/>
      <c r="AW35" s="381"/>
      <c r="AX35" s="381"/>
      <c r="AY35" s="384"/>
      <c r="AZ35" s="385"/>
      <c r="BA35" s="381"/>
      <c r="BB35" s="381"/>
      <c r="BC35" s="381"/>
      <c r="BD35" s="382"/>
      <c r="BE35" s="383"/>
      <c r="BF35" s="381"/>
      <c r="BG35" s="381"/>
      <c r="BH35" s="381"/>
      <c r="BI35" s="384"/>
      <c r="BJ35" s="385"/>
      <c r="BK35" s="381"/>
      <c r="BL35" s="381"/>
      <c r="BM35" s="381"/>
      <c r="BN35" s="382"/>
      <c r="BO35" s="383"/>
      <c r="BP35" s="381"/>
      <c r="BQ35" s="381"/>
      <c r="BR35" s="381"/>
      <c r="BS35" s="384"/>
      <c r="BT35" s="385"/>
      <c r="BU35" s="381"/>
      <c r="BV35" s="381"/>
      <c r="BW35" s="381"/>
      <c r="BX35" s="382"/>
      <c r="BY35" s="383"/>
      <c r="BZ35" s="381"/>
      <c r="CA35" s="381"/>
      <c r="CB35" s="381"/>
      <c r="CC35" s="384"/>
      <c r="CD35" s="385"/>
      <c r="CE35" s="381"/>
      <c r="CF35" s="381"/>
      <c r="CG35" s="381"/>
      <c r="CH35" s="384"/>
      <c r="CI35" s="385"/>
      <c r="CJ35" s="381"/>
      <c r="CK35" s="381"/>
      <c r="CL35" s="381"/>
      <c r="CM35" s="382"/>
    </row>
    <row r="36" spans="1:91" ht="25.5" customHeight="1">
      <c r="A36" s="386">
        <v>4279</v>
      </c>
      <c r="B36" s="387" t="s">
        <v>11</v>
      </c>
      <c r="C36" s="387" t="s">
        <v>44</v>
      </c>
      <c r="D36" s="387" t="s">
        <v>76</v>
      </c>
      <c r="E36" s="372" t="s">
        <v>53</v>
      </c>
      <c r="F36" s="387"/>
      <c r="G36" s="372" t="s">
        <v>1126</v>
      </c>
      <c r="H36" s="371" t="s">
        <v>54</v>
      </c>
      <c r="I36" s="375"/>
      <c r="J36" s="372"/>
      <c r="K36" s="373"/>
      <c r="L36" s="388" t="s">
        <v>78</v>
      </c>
      <c r="M36" s="387" t="s">
        <v>77</v>
      </c>
      <c r="N36" s="387"/>
      <c r="O36" s="387" t="s">
        <v>77</v>
      </c>
      <c r="P36" s="389" t="s">
        <v>77</v>
      </c>
      <c r="Q36" s="388"/>
      <c r="R36" s="387"/>
      <c r="S36" s="387"/>
      <c r="T36" s="387"/>
      <c r="U36" s="390" t="s">
        <v>80</v>
      </c>
      <c r="V36" s="386"/>
      <c r="W36" s="372"/>
      <c r="X36" s="372"/>
      <c r="Y36" s="372"/>
      <c r="Z36" s="373"/>
      <c r="AA36" s="374"/>
      <c r="AB36" s="372"/>
      <c r="AC36" s="372"/>
      <c r="AD36" s="372"/>
      <c r="AE36" s="371"/>
      <c r="AF36" s="375"/>
      <c r="AG36" s="372"/>
      <c r="AH36" s="372"/>
      <c r="AI36" s="372"/>
      <c r="AJ36" s="373"/>
      <c r="AK36" s="374"/>
      <c r="AL36" s="372"/>
      <c r="AM36" s="372"/>
      <c r="AN36" s="372"/>
      <c r="AO36" s="371"/>
      <c r="AP36" s="375"/>
      <c r="AQ36" s="372"/>
      <c r="AR36" s="372"/>
      <c r="AS36" s="372"/>
      <c r="AT36" s="373"/>
      <c r="AU36" s="374"/>
      <c r="AV36" s="372"/>
      <c r="AW36" s="372"/>
      <c r="AX36" s="372"/>
      <c r="AY36" s="371"/>
      <c r="AZ36" s="375"/>
      <c r="BA36" s="372"/>
      <c r="BB36" s="372"/>
      <c r="BC36" s="372"/>
      <c r="BD36" s="373"/>
      <c r="BE36" s="374"/>
      <c r="BF36" s="372"/>
      <c r="BG36" s="372"/>
      <c r="BH36" s="372"/>
      <c r="BI36" s="371"/>
      <c r="BJ36" s="375"/>
      <c r="BK36" s="372"/>
      <c r="BL36" s="372"/>
      <c r="BM36" s="372"/>
      <c r="BN36" s="373"/>
      <c r="BO36" s="374"/>
      <c r="BP36" s="372"/>
      <c r="BQ36" s="372"/>
      <c r="BR36" s="372"/>
      <c r="BS36" s="371"/>
      <c r="BT36" s="375"/>
      <c r="BU36" s="372"/>
      <c r="BV36" s="372"/>
      <c r="BW36" s="372"/>
      <c r="BX36" s="373"/>
      <c r="BY36" s="374"/>
      <c r="BZ36" s="372"/>
      <c r="CA36" s="372"/>
      <c r="CB36" s="372"/>
      <c r="CC36" s="371"/>
      <c r="CD36" s="375"/>
      <c r="CE36" s="372"/>
      <c r="CF36" s="372"/>
      <c r="CG36" s="372"/>
      <c r="CH36" s="371"/>
      <c r="CI36" s="375"/>
      <c r="CJ36" s="372"/>
      <c r="CK36" s="372"/>
      <c r="CL36" s="372"/>
      <c r="CM36" s="373"/>
    </row>
    <row r="37" spans="1:91" ht="25.5" customHeight="1">
      <c r="A37" s="386">
        <v>4280</v>
      </c>
      <c r="B37" s="387" t="s">
        <v>11</v>
      </c>
      <c r="C37" s="387" t="s">
        <v>44</v>
      </c>
      <c r="D37" s="387" t="s">
        <v>76</v>
      </c>
      <c r="E37" s="372" t="s">
        <v>53</v>
      </c>
      <c r="F37" s="387"/>
      <c r="G37" s="372" t="s">
        <v>1128</v>
      </c>
      <c r="H37" s="371" t="s">
        <v>54</v>
      </c>
      <c r="I37" s="375"/>
      <c r="J37" s="372"/>
      <c r="K37" s="373"/>
      <c r="L37" s="388" t="s">
        <v>78</v>
      </c>
      <c r="M37" s="387" t="s">
        <v>77</v>
      </c>
      <c r="N37" s="387"/>
      <c r="O37" s="387" t="s">
        <v>77</v>
      </c>
      <c r="P37" s="389" t="s">
        <v>77</v>
      </c>
      <c r="Q37" s="388"/>
      <c r="R37" s="387"/>
      <c r="S37" s="387"/>
      <c r="T37" s="387"/>
      <c r="U37" s="390" t="s">
        <v>80</v>
      </c>
      <c r="V37" s="386"/>
      <c r="W37" s="372"/>
      <c r="X37" s="372"/>
      <c r="Y37" s="372"/>
      <c r="Z37" s="373"/>
      <c r="AA37" s="374"/>
      <c r="AB37" s="372"/>
      <c r="AC37" s="372"/>
      <c r="AD37" s="372"/>
      <c r="AE37" s="371"/>
      <c r="AF37" s="375"/>
      <c r="AG37" s="372"/>
      <c r="AH37" s="372"/>
      <c r="AI37" s="372"/>
      <c r="AJ37" s="373"/>
      <c r="AK37" s="374"/>
      <c r="AL37" s="372"/>
      <c r="AM37" s="372"/>
      <c r="AN37" s="372"/>
      <c r="AO37" s="371"/>
      <c r="AP37" s="375"/>
      <c r="AQ37" s="372"/>
      <c r="AR37" s="372"/>
      <c r="AS37" s="372"/>
      <c r="AT37" s="373"/>
      <c r="AU37" s="374"/>
      <c r="AV37" s="372"/>
      <c r="AW37" s="372"/>
      <c r="AX37" s="372"/>
      <c r="AY37" s="371"/>
      <c r="AZ37" s="375"/>
      <c r="BA37" s="372"/>
      <c r="BB37" s="372"/>
      <c r="BC37" s="372"/>
      <c r="BD37" s="373"/>
      <c r="BE37" s="374"/>
      <c r="BF37" s="372"/>
      <c r="BG37" s="372"/>
      <c r="BH37" s="372"/>
      <c r="BI37" s="371"/>
      <c r="BJ37" s="375"/>
      <c r="BK37" s="372"/>
      <c r="BL37" s="372"/>
      <c r="BM37" s="372"/>
      <c r="BN37" s="373"/>
      <c r="BO37" s="374"/>
      <c r="BP37" s="372"/>
      <c r="BQ37" s="372"/>
      <c r="BR37" s="372"/>
      <c r="BS37" s="371"/>
      <c r="BT37" s="375"/>
      <c r="BU37" s="372"/>
      <c r="BV37" s="372"/>
      <c r="BW37" s="372"/>
      <c r="BX37" s="373"/>
      <c r="BY37" s="374"/>
      <c r="BZ37" s="372"/>
      <c r="CA37" s="372"/>
      <c r="CB37" s="372"/>
      <c r="CC37" s="371"/>
      <c r="CD37" s="375"/>
      <c r="CE37" s="372"/>
      <c r="CF37" s="372"/>
      <c r="CG37" s="372"/>
      <c r="CH37" s="371"/>
      <c r="CI37" s="375"/>
      <c r="CJ37" s="372"/>
      <c r="CK37" s="372"/>
      <c r="CL37" s="372"/>
      <c r="CM37" s="373"/>
    </row>
    <row r="38" spans="1:91" ht="25.5" customHeight="1">
      <c r="A38" s="386">
        <v>4281</v>
      </c>
      <c r="B38" s="387" t="s">
        <v>11</v>
      </c>
      <c r="C38" s="387" t="s">
        <v>44</v>
      </c>
      <c r="D38" s="387" t="s">
        <v>76</v>
      </c>
      <c r="E38" s="372" t="s">
        <v>53</v>
      </c>
      <c r="F38" s="387"/>
      <c r="G38" s="372" t="s">
        <v>1130</v>
      </c>
      <c r="H38" s="371" t="s">
        <v>54</v>
      </c>
      <c r="I38" s="375"/>
      <c r="J38" s="372"/>
      <c r="K38" s="373"/>
      <c r="L38" s="388" t="s">
        <v>78</v>
      </c>
      <c r="M38" s="387" t="s">
        <v>77</v>
      </c>
      <c r="N38" s="387"/>
      <c r="O38" s="387" t="s">
        <v>77</v>
      </c>
      <c r="P38" s="389" t="s">
        <v>77</v>
      </c>
      <c r="Q38" s="388"/>
      <c r="R38" s="387"/>
      <c r="S38" s="387"/>
      <c r="T38" s="387"/>
      <c r="U38" s="390" t="s">
        <v>80</v>
      </c>
      <c r="V38" s="386"/>
      <c r="W38" s="372"/>
      <c r="X38" s="372"/>
      <c r="Y38" s="372"/>
      <c r="Z38" s="373"/>
      <c r="AA38" s="374"/>
      <c r="AB38" s="372"/>
      <c r="AC38" s="372"/>
      <c r="AD38" s="372"/>
      <c r="AE38" s="371"/>
      <c r="AF38" s="375"/>
      <c r="AG38" s="372"/>
      <c r="AH38" s="372"/>
      <c r="AI38" s="372"/>
      <c r="AJ38" s="373"/>
      <c r="AK38" s="374"/>
      <c r="AL38" s="372"/>
      <c r="AM38" s="372"/>
      <c r="AN38" s="372"/>
      <c r="AO38" s="371"/>
      <c r="AP38" s="375"/>
      <c r="AQ38" s="372"/>
      <c r="AR38" s="372"/>
      <c r="AS38" s="372"/>
      <c r="AT38" s="373"/>
      <c r="AU38" s="374"/>
      <c r="AV38" s="372"/>
      <c r="AW38" s="372"/>
      <c r="AX38" s="372"/>
      <c r="AY38" s="371"/>
      <c r="AZ38" s="375"/>
      <c r="BA38" s="372"/>
      <c r="BB38" s="372"/>
      <c r="BC38" s="372"/>
      <c r="BD38" s="373"/>
      <c r="BE38" s="374"/>
      <c r="BF38" s="372"/>
      <c r="BG38" s="372"/>
      <c r="BH38" s="372"/>
      <c r="BI38" s="371"/>
      <c r="BJ38" s="375"/>
      <c r="BK38" s="372"/>
      <c r="BL38" s="372"/>
      <c r="BM38" s="372"/>
      <c r="BN38" s="373"/>
      <c r="BO38" s="374"/>
      <c r="BP38" s="372"/>
      <c r="BQ38" s="372"/>
      <c r="BR38" s="372"/>
      <c r="BS38" s="371"/>
      <c r="BT38" s="375"/>
      <c r="BU38" s="372"/>
      <c r="BV38" s="372"/>
      <c r="BW38" s="372"/>
      <c r="BX38" s="373"/>
      <c r="BY38" s="374"/>
      <c r="BZ38" s="372"/>
      <c r="CA38" s="372"/>
      <c r="CB38" s="372"/>
      <c r="CC38" s="371"/>
      <c r="CD38" s="375"/>
      <c r="CE38" s="372"/>
      <c r="CF38" s="372"/>
      <c r="CG38" s="372"/>
      <c r="CH38" s="371"/>
      <c r="CI38" s="375"/>
      <c r="CJ38" s="372"/>
      <c r="CK38" s="372"/>
      <c r="CL38" s="372"/>
      <c r="CM38" s="373"/>
    </row>
    <row r="39" spans="1:91" ht="25.5" customHeight="1" thickBot="1">
      <c r="A39" s="391">
        <v>4282</v>
      </c>
      <c r="B39" s="392" t="s">
        <v>11</v>
      </c>
      <c r="C39" s="392" t="s">
        <v>44</v>
      </c>
      <c r="D39" s="392" t="s">
        <v>76</v>
      </c>
      <c r="E39" s="393" t="s">
        <v>53</v>
      </c>
      <c r="F39" s="392"/>
      <c r="G39" s="393" t="s">
        <v>1132</v>
      </c>
      <c r="H39" s="394" t="s">
        <v>54</v>
      </c>
      <c r="I39" s="395"/>
      <c r="J39" s="393"/>
      <c r="K39" s="396"/>
      <c r="L39" s="397" t="s">
        <v>78</v>
      </c>
      <c r="M39" s="392" t="s">
        <v>77</v>
      </c>
      <c r="N39" s="392"/>
      <c r="O39" s="392" t="s">
        <v>77</v>
      </c>
      <c r="P39" s="398" t="s">
        <v>77</v>
      </c>
      <c r="Q39" s="397"/>
      <c r="R39" s="392"/>
      <c r="S39" s="392"/>
      <c r="T39" s="392"/>
      <c r="U39" s="399" t="s">
        <v>80</v>
      </c>
      <c r="V39" s="391"/>
      <c r="W39" s="393"/>
      <c r="X39" s="393"/>
      <c r="Y39" s="393"/>
      <c r="Z39" s="396"/>
      <c r="AA39" s="400"/>
      <c r="AB39" s="393"/>
      <c r="AC39" s="393"/>
      <c r="AD39" s="393"/>
      <c r="AE39" s="394"/>
      <c r="AF39" s="395"/>
      <c r="AG39" s="393"/>
      <c r="AH39" s="393"/>
      <c r="AI39" s="393"/>
      <c r="AJ39" s="396"/>
      <c r="AK39" s="400"/>
      <c r="AL39" s="393"/>
      <c r="AM39" s="393"/>
      <c r="AN39" s="393"/>
      <c r="AO39" s="394"/>
      <c r="AP39" s="395"/>
      <c r="AQ39" s="393"/>
      <c r="AR39" s="393"/>
      <c r="AS39" s="393"/>
      <c r="AT39" s="396"/>
      <c r="AU39" s="400"/>
      <c r="AV39" s="393"/>
      <c r="AW39" s="393"/>
      <c r="AX39" s="393"/>
      <c r="AY39" s="394"/>
      <c r="AZ39" s="395"/>
      <c r="BA39" s="393"/>
      <c r="BB39" s="393"/>
      <c r="BC39" s="393"/>
      <c r="BD39" s="396"/>
      <c r="BE39" s="400"/>
      <c r="BF39" s="393"/>
      <c r="BG39" s="393"/>
      <c r="BH39" s="393"/>
      <c r="BI39" s="394"/>
      <c r="BJ39" s="395"/>
      <c r="BK39" s="393"/>
      <c r="BL39" s="393"/>
      <c r="BM39" s="393"/>
      <c r="BN39" s="396"/>
      <c r="BO39" s="400"/>
      <c r="BP39" s="393"/>
      <c r="BQ39" s="393"/>
      <c r="BR39" s="393"/>
      <c r="BS39" s="394"/>
      <c r="BT39" s="395"/>
      <c r="BU39" s="393"/>
      <c r="BV39" s="393"/>
      <c r="BW39" s="393"/>
      <c r="BX39" s="396"/>
      <c r="BY39" s="400"/>
      <c r="BZ39" s="393"/>
      <c r="CA39" s="393"/>
      <c r="CB39" s="393"/>
      <c r="CC39" s="394"/>
      <c r="CD39" s="395"/>
      <c r="CE39" s="393"/>
      <c r="CF39" s="393"/>
      <c r="CG39" s="393"/>
      <c r="CH39" s="394"/>
      <c r="CI39" s="395"/>
      <c r="CJ39" s="393"/>
      <c r="CK39" s="393"/>
      <c r="CL39" s="393"/>
      <c r="CM39" s="396"/>
    </row>
    <row r="40" spans="1:91" ht="25.5" customHeight="1">
      <c r="A40" s="401">
        <v>4283</v>
      </c>
      <c r="B40" s="402" t="s">
        <v>11</v>
      </c>
      <c r="C40" s="402" t="s">
        <v>44</v>
      </c>
      <c r="D40" s="402" t="s">
        <v>76</v>
      </c>
      <c r="E40" s="403" t="s">
        <v>53</v>
      </c>
      <c r="F40" s="402"/>
      <c r="G40" s="403" t="s">
        <v>1134</v>
      </c>
      <c r="H40" s="404" t="s">
        <v>54</v>
      </c>
      <c r="I40" s="405"/>
      <c r="J40" s="403"/>
      <c r="K40" s="406"/>
      <c r="L40" s="407" t="s">
        <v>78</v>
      </c>
      <c r="M40" s="402" t="s">
        <v>77</v>
      </c>
      <c r="N40" s="402"/>
      <c r="O40" s="402" t="s">
        <v>77</v>
      </c>
      <c r="P40" s="408" t="s">
        <v>77</v>
      </c>
      <c r="Q40" s="407"/>
      <c r="R40" s="402"/>
      <c r="S40" s="402"/>
      <c r="T40" s="402"/>
      <c r="U40" s="409" t="s">
        <v>80</v>
      </c>
      <c r="V40" s="401"/>
      <c r="W40" s="403"/>
      <c r="X40" s="403"/>
      <c r="Y40" s="403"/>
      <c r="Z40" s="406"/>
      <c r="AA40" s="410"/>
      <c r="AB40" s="403"/>
      <c r="AC40" s="403"/>
      <c r="AD40" s="403"/>
      <c r="AE40" s="404"/>
      <c r="AF40" s="405"/>
      <c r="AG40" s="403"/>
      <c r="AH40" s="403"/>
      <c r="AI40" s="403"/>
      <c r="AJ40" s="406"/>
      <c r="AK40" s="410"/>
      <c r="AL40" s="403"/>
      <c r="AM40" s="403"/>
      <c r="AN40" s="403"/>
      <c r="AO40" s="404"/>
      <c r="AP40" s="405"/>
      <c r="AQ40" s="403"/>
      <c r="AR40" s="403"/>
      <c r="AS40" s="403"/>
      <c r="AT40" s="406"/>
      <c r="AU40" s="410"/>
      <c r="AV40" s="403"/>
      <c r="AW40" s="403"/>
      <c r="AX40" s="403"/>
      <c r="AY40" s="404"/>
      <c r="AZ40" s="405"/>
      <c r="BA40" s="403"/>
      <c r="BB40" s="403"/>
      <c r="BC40" s="403"/>
      <c r="BD40" s="406"/>
      <c r="BE40" s="410"/>
      <c r="BF40" s="403"/>
      <c r="BG40" s="403"/>
      <c r="BH40" s="403"/>
      <c r="BI40" s="404"/>
      <c r="BJ40" s="405"/>
      <c r="BK40" s="403"/>
      <c r="BL40" s="403"/>
      <c r="BM40" s="403"/>
      <c r="BN40" s="406"/>
      <c r="BO40" s="410"/>
      <c r="BP40" s="403"/>
      <c r="BQ40" s="403"/>
      <c r="BR40" s="403"/>
      <c r="BS40" s="404"/>
      <c r="BT40" s="405"/>
      <c r="BU40" s="403"/>
      <c r="BV40" s="403"/>
      <c r="BW40" s="403"/>
      <c r="BX40" s="406"/>
      <c r="BY40" s="410"/>
      <c r="BZ40" s="403"/>
      <c r="CA40" s="403"/>
      <c r="CB40" s="403"/>
      <c r="CC40" s="404"/>
      <c r="CD40" s="405"/>
      <c r="CE40" s="403"/>
      <c r="CF40" s="403"/>
      <c r="CG40" s="403"/>
      <c r="CH40" s="404"/>
      <c r="CI40" s="405"/>
      <c r="CJ40" s="403"/>
      <c r="CK40" s="403"/>
      <c r="CL40" s="403"/>
      <c r="CM40" s="406"/>
    </row>
    <row r="41" spans="1:91" ht="25.5" customHeight="1">
      <c r="A41" s="386">
        <v>4284</v>
      </c>
      <c r="B41" s="387" t="s">
        <v>11</v>
      </c>
      <c r="C41" s="387" t="s">
        <v>44</v>
      </c>
      <c r="D41" s="387" t="s">
        <v>76</v>
      </c>
      <c r="E41" s="372" t="s">
        <v>53</v>
      </c>
      <c r="F41" s="387"/>
      <c r="G41" s="372" t="s">
        <v>1136</v>
      </c>
      <c r="H41" s="371" t="s">
        <v>54</v>
      </c>
      <c r="I41" s="375"/>
      <c r="J41" s="372"/>
      <c r="K41" s="373"/>
      <c r="L41" s="388" t="s">
        <v>78</v>
      </c>
      <c r="M41" s="387" t="s">
        <v>77</v>
      </c>
      <c r="N41" s="387"/>
      <c r="O41" s="387" t="s">
        <v>77</v>
      </c>
      <c r="P41" s="389" t="s">
        <v>77</v>
      </c>
      <c r="Q41" s="388"/>
      <c r="R41" s="387"/>
      <c r="S41" s="387"/>
      <c r="T41" s="387"/>
      <c r="U41" s="390" t="s">
        <v>80</v>
      </c>
      <c r="V41" s="386"/>
      <c r="W41" s="372"/>
      <c r="X41" s="372"/>
      <c r="Y41" s="372"/>
      <c r="Z41" s="373"/>
      <c r="AA41" s="374"/>
      <c r="AB41" s="372"/>
      <c r="AC41" s="372"/>
      <c r="AD41" s="372"/>
      <c r="AE41" s="371"/>
      <c r="AF41" s="375"/>
      <c r="AG41" s="372"/>
      <c r="AH41" s="372"/>
      <c r="AI41" s="372"/>
      <c r="AJ41" s="373"/>
      <c r="AK41" s="374"/>
      <c r="AL41" s="372"/>
      <c r="AM41" s="372"/>
      <c r="AN41" s="372"/>
      <c r="AO41" s="371"/>
      <c r="AP41" s="375"/>
      <c r="AQ41" s="372"/>
      <c r="AR41" s="372"/>
      <c r="AS41" s="372"/>
      <c r="AT41" s="373"/>
      <c r="AU41" s="374"/>
      <c r="AV41" s="372"/>
      <c r="AW41" s="372"/>
      <c r="AX41" s="372"/>
      <c r="AY41" s="371"/>
      <c r="AZ41" s="375"/>
      <c r="BA41" s="372"/>
      <c r="BB41" s="372"/>
      <c r="BC41" s="372"/>
      <c r="BD41" s="373"/>
      <c r="BE41" s="374"/>
      <c r="BF41" s="372"/>
      <c r="BG41" s="372"/>
      <c r="BH41" s="372"/>
      <c r="BI41" s="371"/>
      <c r="BJ41" s="375"/>
      <c r="BK41" s="372"/>
      <c r="BL41" s="372"/>
      <c r="BM41" s="372"/>
      <c r="BN41" s="373"/>
      <c r="BO41" s="374"/>
      <c r="BP41" s="372"/>
      <c r="BQ41" s="372"/>
      <c r="BR41" s="372"/>
      <c r="BS41" s="371"/>
      <c r="BT41" s="375"/>
      <c r="BU41" s="372"/>
      <c r="BV41" s="372"/>
      <c r="BW41" s="372"/>
      <c r="BX41" s="373"/>
      <c r="BY41" s="374"/>
      <c r="BZ41" s="372"/>
      <c r="CA41" s="372"/>
      <c r="CB41" s="372"/>
      <c r="CC41" s="371"/>
      <c r="CD41" s="375"/>
      <c r="CE41" s="372"/>
      <c r="CF41" s="372"/>
      <c r="CG41" s="372"/>
      <c r="CH41" s="371"/>
      <c r="CI41" s="375"/>
      <c r="CJ41" s="372"/>
      <c r="CK41" s="372"/>
      <c r="CL41" s="372"/>
      <c r="CM41" s="373"/>
    </row>
    <row r="42" spans="1:91" ht="25.5" customHeight="1">
      <c r="A42" s="386">
        <v>4285</v>
      </c>
      <c r="B42" s="387" t="s">
        <v>11</v>
      </c>
      <c r="C42" s="387" t="s">
        <v>44</v>
      </c>
      <c r="D42" s="387" t="s">
        <v>76</v>
      </c>
      <c r="E42" s="372" t="s">
        <v>53</v>
      </c>
      <c r="F42" s="387"/>
      <c r="G42" s="372" t="s">
        <v>1138</v>
      </c>
      <c r="H42" s="371" t="s">
        <v>54</v>
      </c>
      <c r="I42" s="375"/>
      <c r="J42" s="372"/>
      <c r="K42" s="373"/>
      <c r="L42" s="388" t="s">
        <v>78</v>
      </c>
      <c r="M42" s="387" t="s">
        <v>77</v>
      </c>
      <c r="N42" s="387"/>
      <c r="O42" s="387" t="s">
        <v>77</v>
      </c>
      <c r="P42" s="389" t="s">
        <v>77</v>
      </c>
      <c r="Q42" s="388"/>
      <c r="R42" s="387"/>
      <c r="S42" s="387"/>
      <c r="T42" s="387"/>
      <c r="U42" s="390" t="s">
        <v>80</v>
      </c>
      <c r="V42" s="386"/>
      <c r="W42" s="372"/>
      <c r="X42" s="372"/>
      <c r="Y42" s="372"/>
      <c r="Z42" s="373"/>
      <c r="AA42" s="374"/>
      <c r="AB42" s="372"/>
      <c r="AC42" s="372"/>
      <c r="AD42" s="372"/>
      <c r="AE42" s="371"/>
      <c r="AF42" s="375"/>
      <c r="AG42" s="372"/>
      <c r="AH42" s="372"/>
      <c r="AI42" s="372"/>
      <c r="AJ42" s="373"/>
      <c r="AK42" s="374"/>
      <c r="AL42" s="372"/>
      <c r="AM42" s="372"/>
      <c r="AN42" s="372"/>
      <c r="AO42" s="371"/>
      <c r="AP42" s="375"/>
      <c r="AQ42" s="372"/>
      <c r="AR42" s="372"/>
      <c r="AS42" s="372"/>
      <c r="AT42" s="373"/>
      <c r="AU42" s="374"/>
      <c r="AV42" s="372"/>
      <c r="AW42" s="372"/>
      <c r="AX42" s="372"/>
      <c r="AY42" s="371"/>
      <c r="AZ42" s="375"/>
      <c r="BA42" s="372"/>
      <c r="BB42" s="372"/>
      <c r="BC42" s="372"/>
      <c r="BD42" s="373"/>
      <c r="BE42" s="374"/>
      <c r="BF42" s="372"/>
      <c r="BG42" s="372"/>
      <c r="BH42" s="372"/>
      <c r="BI42" s="371"/>
      <c r="BJ42" s="375"/>
      <c r="BK42" s="372"/>
      <c r="BL42" s="372"/>
      <c r="BM42" s="372"/>
      <c r="BN42" s="373"/>
      <c r="BO42" s="374"/>
      <c r="BP42" s="372"/>
      <c r="BQ42" s="372"/>
      <c r="BR42" s="372"/>
      <c r="BS42" s="371"/>
      <c r="BT42" s="375"/>
      <c r="BU42" s="372"/>
      <c r="BV42" s="372"/>
      <c r="BW42" s="372"/>
      <c r="BX42" s="373"/>
      <c r="BY42" s="374"/>
      <c r="BZ42" s="372"/>
      <c r="CA42" s="372"/>
      <c r="CB42" s="372"/>
      <c r="CC42" s="371"/>
      <c r="CD42" s="375"/>
      <c r="CE42" s="372"/>
      <c r="CF42" s="372"/>
      <c r="CG42" s="372"/>
      <c r="CH42" s="371"/>
      <c r="CI42" s="375"/>
      <c r="CJ42" s="372"/>
      <c r="CK42" s="372"/>
      <c r="CL42" s="372"/>
      <c r="CM42" s="373"/>
    </row>
    <row r="43" spans="1:91" ht="25.5" customHeight="1">
      <c r="A43" s="386">
        <v>4286</v>
      </c>
      <c r="B43" s="387" t="s">
        <v>11</v>
      </c>
      <c r="C43" s="387" t="s">
        <v>44</v>
      </c>
      <c r="D43" s="387" t="s">
        <v>76</v>
      </c>
      <c r="E43" s="372" t="s">
        <v>53</v>
      </c>
      <c r="F43" s="387"/>
      <c r="G43" s="372" t="s">
        <v>1140</v>
      </c>
      <c r="H43" s="371" t="s">
        <v>54</v>
      </c>
      <c r="I43" s="375"/>
      <c r="J43" s="372"/>
      <c r="K43" s="373"/>
      <c r="L43" s="388" t="s">
        <v>78</v>
      </c>
      <c r="M43" s="387" t="s">
        <v>77</v>
      </c>
      <c r="N43" s="387"/>
      <c r="O43" s="387" t="s">
        <v>77</v>
      </c>
      <c r="P43" s="389" t="s">
        <v>77</v>
      </c>
      <c r="Q43" s="388"/>
      <c r="R43" s="387"/>
      <c r="S43" s="387"/>
      <c r="T43" s="387"/>
      <c r="U43" s="390" t="s">
        <v>80</v>
      </c>
      <c r="V43" s="386"/>
      <c r="W43" s="372"/>
      <c r="X43" s="372"/>
      <c r="Y43" s="372"/>
      <c r="Z43" s="373"/>
      <c r="AA43" s="374"/>
      <c r="AB43" s="372"/>
      <c r="AC43" s="372"/>
      <c r="AD43" s="372"/>
      <c r="AE43" s="371"/>
      <c r="AF43" s="375"/>
      <c r="AG43" s="372"/>
      <c r="AH43" s="372"/>
      <c r="AI43" s="372"/>
      <c r="AJ43" s="373"/>
      <c r="AK43" s="374"/>
      <c r="AL43" s="372"/>
      <c r="AM43" s="372"/>
      <c r="AN43" s="372"/>
      <c r="AO43" s="371"/>
      <c r="AP43" s="375"/>
      <c r="AQ43" s="372"/>
      <c r="AR43" s="372"/>
      <c r="AS43" s="372"/>
      <c r="AT43" s="373"/>
      <c r="AU43" s="374"/>
      <c r="AV43" s="372"/>
      <c r="AW43" s="372"/>
      <c r="AX43" s="372"/>
      <c r="AY43" s="371"/>
      <c r="AZ43" s="375"/>
      <c r="BA43" s="372"/>
      <c r="BB43" s="372"/>
      <c r="BC43" s="372"/>
      <c r="BD43" s="373"/>
      <c r="BE43" s="374"/>
      <c r="BF43" s="372"/>
      <c r="BG43" s="372"/>
      <c r="BH43" s="372"/>
      <c r="BI43" s="371"/>
      <c r="BJ43" s="375"/>
      <c r="BK43" s="372"/>
      <c r="BL43" s="372"/>
      <c r="BM43" s="372"/>
      <c r="BN43" s="373"/>
      <c r="BO43" s="374"/>
      <c r="BP43" s="372"/>
      <c r="BQ43" s="372"/>
      <c r="BR43" s="372"/>
      <c r="BS43" s="371"/>
      <c r="BT43" s="375"/>
      <c r="BU43" s="372"/>
      <c r="BV43" s="372"/>
      <c r="BW43" s="372"/>
      <c r="BX43" s="373"/>
      <c r="BY43" s="374"/>
      <c r="BZ43" s="372"/>
      <c r="CA43" s="372"/>
      <c r="CB43" s="372"/>
      <c r="CC43" s="371"/>
      <c r="CD43" s="375"/>
      <c r="CE43" s="372"/>
      <c r="CF43" s="372"/>
      <c r="CG43" s="372"/>
      <c r="CH43" s="371"/>
      <c r="CI43" s="375"/>
      <c r="CJ43" s="372"/>
      <c r="CK43" s="372"/>
      <c r="CL43" s="372"/>
      <c r="CM43" s="373"/>
    </row>
    <row r="44" spans="1:91" ht="25.5" customHeight="1" thickBot="1">
      <c r="A44" s="411">
        <v>4287</v>
      </c>
      <c r="B44" s="412" t="s">
        <v>11</v>
      </c>
      <c r="C44" s="412" t="s">
        <v>44</v>
      </c>
      <c r="D44" s="412" t="s">
        <v>76</v>
      </c>
      <c r="E44" s="377" t="s">
        <v>53</v>
      </c>
      <c r="F44" s="412"/>
      <c r="G44" s="377" t="s">
        <v>1142</v>
      </c>
      <c r="H44" s="376" t="s">
        <v>54</v>
      </c>
      <c r="I44" s="380"/>
      <c r="J44" s="377"/>
      <c r="K44" s="378"/>
      <c r="L44" s="413" t="s">
        <v>78</v>
      </c>
      <c r="M44" s="412" t="s">
        <v>77</v>
      </c>
      <c r="N44" s="412"/>
      <c r="O44" s="412" t="s">
        <v>77</v>
      </c>
      <c r="P44" s="414" t="s">
        <v>77</v>
      </c>
      <c r="Q44" s="413"/>
      <c r="R44" s="412"/>
      <c r="S44" s="412"/>
      <c r="T44" s="412"/>
      <c r="U44" s="415" t="s">
        <v>80</v>
      </c>
      <c r="V44" s="411"/>
      <c r="W44" s="377"/>
      <c r="X44" s="377"/>
      <c r="Y44" s="377"/>
      <c r="Z44" s="378"/>
      <c r="AA44" s="379"/>
      <c r="AB44" s="377"/>
      <c r="AC44" s="377"/>
      <c r="AD44" s="377"/>
      <c r="AE44" s="376"/>
      <c r="AF44" s="380"/>
      <c r="AG44" s="377"/>
      <c r="AH44" s="377"/>
      <c r="AI44" s="377"/>
      <c r="AJ44" s="378"/>
      <c r="AK44" s="379"/>
      <c r="AL44" s="377"/>
      <c r="AM44" s="377"/>
      <c r="AN44" s="377"/>
      <c r="AO44" s="376"/>
      <c r="AP44" s="380"/>
      <c r="AQ44" s="377"/>
      <c r="AR44" s="377"/>
      <c r="AS44" s="377"/>
      <c r="AT44" s="378"/>
      <c r="AU44" s="379"/>
      <c r="AV44" s="377"/>
      <c r="AW44" s="377"/>
      <c r="AX44" s="377"/>
      <c r="AY44" s="376"/>
      <c r="AZ44" s="380"/>
      <c r="BA44" s="377"/>
      <c r="BB44" s="377"/>
      <c r="BC44" s="377"/>
      <c r="BD44" s="378"/>
      <c r="BE44" s="379"/>
      <c r="BF44" s="377"/>
      <c r="BG44" s="377"/>
      <c r="BH44" s="377"/>
      <c r="BI44" s="376"/>
      <c r="BJ44" s="380"/>
      <c r="BK44" s="377"/>
      <c r="BL44" s="377"/>
      <c r="BM44" s="377"/>
      <c r="BN44" s="378"/>
      <c r="BO44" s="379"/>
      <c r="BP44" s="377"/>
      <c r="BQ44" s="377"/>
      <c r="BR44" s="377"/>
      <c r="BS44" s="376"/>
      <c r="BT44" s="380"/>
      <c r="BU44" s="377"/>
      <c r="BV44" s="377"/>
      <c r="BW44" s="377"/>
      <c r="BX44" s="378"/>
      <c r="BY44" s="379"/>
      <c r="BZ44" s="377"/>
      <c r="CA44" s="377"/>
      <c r="CB44" s="377"/>
      <c r="CC44" s="376"/>
      <c r="CD44" s="380"/>
      <c r="CE44" s="377"/>
      <c r="CF44" s="377"/>
      <c r="CG44" s="377"/>
      <c r="CH44" s="376"/>
      <c r="CI44" s="380"/>
      <c r="CJ44" s="377"/>
      <c r="CK44" s="377"/>
      <c r="CL44" s="377"/>
      <c r="CM44" s="378"/>
    </row>
    <row r="45" spans="1:91" ht="25.5" customHeight="1">
      <c r="A45" s="416">
        <v>4288</v>
      </c>
      <c r="B45" s="417" t="s">
        <v>11</v>
      </c>
      <c r="C45" s="417" t="s">
        <v>44</v>
      </c>
      <c r="D45" s="417" t="s">
        <v>76</v>
      </c>
      <c r="E45" s="381" t="s">
        <v>53</v>
      </c>
      <c r="F45" s="417"/>
      <c r="G45" s="381" t="s">
        <v>1144</v>
      </c>
      <c r="H45" s="384" t="s">
        <v>54</v>
      </c>
      <c r="I45" s="385"/>
      <c r="J45" s="381"/>
      <c r="K45" s="382"/>
      <c r="L45" s="418" t="s">
        <v>78</v>
      </c>
      <c r="M45" s="417" t="s">
        <v>77</v>
      </c>
      <c r="N45" s="417"/>
      <c r="O45" s="417" t="s">
        <v>77</v>
      </c>
      <c r="P45" s="419" t="s">
        <v>77</v>
      </c>
      <c r="Q45" s="418"/>
      <c r="R45" s="417"/>
      <c r="S45" s="417"/>
      <c r="T45" s="417"/>
      <c r="U45" s="420" t="s">
        <v>80</v>
      </c>
      <c r="V45" s="416"/>
      <c r="W45" s="381"/>
      <c r="X45" s="381"/>
      <c r="Y45" s="381"/>
      <c r="Z45" s="382"/>
      <c r="AA45" s="383"/>
      <c r="AB45" s="381"/>
      <c r="AC45" s="381"/>
      <c r="AD45" s="381"/>
      <c r="AE45" s="384"/>
      <c r="AF45" s="385"/>
      <c r="AG45" s="381"/>
      <c r="AH45" s="381"/>
      <c r="AI45" s="381"/>
      <c r="AJ45" s="382"/>
      <c r="AK45" s="383"/>
      <c r="AL45" s="381"/>
      <c r="AM45" s="381"/>
      <c r="AN45" s="381"/>
      <c r="AO45" s="384"/>
      <c r="AP45" s="385"/>
      <c r="AQ45" s="381"/>
      <c r="AR45" s="381"/>
      <c r="AS45" s="381"/>
      <c r="AT45" s="382"/>
      <c r="AU45" s="383"/>
      <c r="AV45" s="381"/>
      <c r="AW45" s="381"/>
      <c r="AX45" s="381"/>
      <c r="AY45" s="384"/>
      <c r="AZ45" s="385"/>
      <c r="BA45" s="381"/>
      <c r="BB45" s="381"/>
      <c r="BC45" s="381"/>
      <c r="BD45" s="382"/>
      <c r="BE45" s="383"/>
      <c r="BF45" s="381"/>
      <c r="BG45" s="381"/>
      <c r="BH45" s="381"/>
      <c r="BI45" s="384"/>
      <c r="BJ45" s="385"/>
      <c r="BK45" s="381"/>
      <c r="BL45" s="381"/>
      <c r="BM45" s="381"/>
      <c r="BN45" s="382"/>
      <c r="BO45" s="383"/>
      <c r="BP45" s="381"/>
      <c r="BQ45" s="381"/>
      <c r="BR45" s="381"/>
      <c r="BS45" s="384"/>
      <c r="BT45" s="385"/>
      <c r="BU45" s="381"/>
      <c r="BV45" s="381"/>
      <c r="BW45" s="381"/>
      <c r="BX45" s="382"/>
      <c r="BY45" s="383"/>
      <c r="BZ45" s="381"/>
      <c r="CA45" s="381"/>
      <c r="CB45" s="381"/>
      <c r="CC45" s="384"/>
      <c r="CD45" s="385"/>
      <c r="CE45" s="381"/>
      <c r="CF45" s="381"/>
      <c r="CG45" s="381"/>
      <c r="CH45" s="384"/>
      <c r="CI45" s="385"/>
      <c r="CJ45" s="381"/>
      <c r="CK45" s="381"/>
      <c r="CL45" s="381"/>
      <c r="CM45" s="382"/>
    </row>
    <row r="46" spans="1:91" ht="25.5" customHeight="1">
      <c r="A46" s="386">
        <v>4289</v>
      </c>
      <c r="B46" s="387" t="s">
        <v>11</v>
      </c>
      <c r="C46" s="387" t="s">
        <v>44</v>
      </c>
      <c r="D46" s="387" t="s">
        <v>76</v>
      </c>
      <c r="E46" s="372" t="s">
        <v>53</v>
      </c>
      <c r="F46" s="387"/>
      <c r="G46" s="372" t="s">
        <v>1146</v>
      </c>
      <c r="H46" s="371" t="s">
        <v>54</v>
      </c>
      <c r="I46" s="375"/>
      <c r="J46" s="372"/>
      <c r="K46" s="373"/>
      <c r="L46" s="388" t="s">
        <v>78</v>
      </c>
      <c r="M46" s="387" t="s">
        <v>77</v>
      </c>
      <c r="N46" s="387"/>
      <c r="O46" s="387" t="s">
        <v>77</v>
      </c>
      <c r="P46" s="389" t="s">
        <v>77</v>
      </c>
      <c r="Q46" s="388"/>
      <c r="R46" s="387"/>
      <c r="S46" s="387"/>
      <c r="T46" s="387"/>
      <c r="U46" s="390" t="s">
        <v>80</v>
      </c>
      <c r="V46" s="386"/>
      <c r="W46" s="372"/>
      <c r="X46" s="372"/>
      <c r="Y46" s="372"/>
      <c r="Z46" s="373"/>
      <c r="AA46" s="374"/>
      <c r="AB46" s="372"/>
      <c r="AC46" s="372"/>
      <c r="AD46" s="372"/>
      <c r="AE46" s="371"/>
      <c r="AF46" s="375"/>
      <c r="AG46" s="372"/>
      <c r="AH46" s="372"/>
      <c r="AI46" s="372"/>
      <c r="AJ46" s="373"/>
      <c r="AK46" s="374"/>
      <c r="AL46" s="372"/>
      <c r="AM46" s="372"/>
      <c r="AN46" s="372"/>
      <c r="AO46" s="371"/>
      <c r="AP46" s="375"/>
      <c r="AQ46" s="372"/>
      <c r="AR46" s="372"/>
      <c r="AS46" s="372"/>
      <c r="AT46" s="373"/>
      <c r="AU46" s="374"/>
      <c r="AV46" s="372"/>
      <c r="AW46" s="372"/>
      <c r="AX46" s="372"/>
      <c r="AY46" s="371"/>
      <c r="AZ46" s="375"/>
      <c r="BA46" s="372"/>
      <c r="BB46" s="372"/>
      <c r="BC46" s="372"/>
      <c r="BD46" s="373"/>
      <c r="BE46" s="374"/>
      <c r="BF46" s="372"/>
      <c r="BG46" s="372"/>
      <c r="BH46" s="372"/>
      <c r="BI46" s="371"/>
      <c r="BJ46" s="375"/>
      <c r="BK46" s="372"/>
      <c r="BL46" s="372"/>
      <c r="BM46" s="372"/>
      <c r="BN46" s="373"/>
      <c r="BO46" s="374"/>
      <c r="BP46" s="372"/>
      <c r="BQ46" s="372"/>
      <c r="BR46" s="372"/>
      <c r="BS46" s="371"/>
      <c r="BT46" s="375"/>
      <c r="BU46" s="372"/>
      <c r="BV46" s="372"/>
      <c r="BW46" s="372"/>
      <c r="BX46" s="373"/>
      <c r="BY46" s="374"/>
      <c r="BZ46" s="372"/>
      <c r="CA46" s="372"/>
      <c r="CB46" s="372"/>
      <c r="CC46" s="371"/>
      <c r="CD46" s="375"/>
      <c r="CE46" s="372"/>
      <c r="CF46" s="372"/>
      <c r="CG46" s="372"/>
      <c r="CH46" s="371"/>
      <c r="CI46" s="375"/>
      <c r="CJ46" s="372"/>
      <c r="CK46" s="372"/>
      <c r="CL46" s="372"/>
      <c r="CM46" s="373"/>
    </row>
    <row r="47" spans="1:91" ht="25.5" customHeight="1">
      <c r="A47" s="386">
        <v>4290</v>
      </c>
      <c r="B47" s="387" t="s">
        <v>11</v>
      </c>
      <c r="C47" s="387" t="s">
        <v>44</v>
      </c>
      <c r="D47" s="387" t="s">
        <v>76</v>
      </c>
      <c r="E47" s="372" t="s">
        <v>53</v>
      </c>
      <c r="F47" s="387"/>
      <c r="G47" s="372" t="s">
        <v>1148</v>
      </c>
      <c r="H47" s="371" t="s">
        <v>54</v>
      </c>
      <c r="I47" s="375"/>
      <c r="J47" s="372"/>
      <c r="K47" s="373"/>
      <c r="L47" s="388" t="s">
        <v>78</v>
      </c>
      <c r="M47" s="387" t="s">
        <v>77</v>
      </c>
      <c r="N47" s="387"/>
      <c r="O47" s="387" t="s">
        <v>77</v>
      </c>
      <c r="P47" s="389" t="s">
        <v>77</v>
      </c>
      <c r="Q47" s="388"/>
      <c r="R47" s="387"/>
      <c r="S47" s="387"/>
      <c r="T47" s="387"/>
      <c r="U47" s="390" t="s">
        <v>80</v>
      </c>
      <c r="V47" s="386"/>
      <c r="W47" s="372"/>
      <c r="X47" s="372"/>
      <c r="Y47" s="372"/>
      <c r="Z47" s="373"/>
      <c r="AA47" s="374"/>
      <c r="AB47" s="372"/>
      <c r="AC47" s="372"/>
      <c r="AD47" s="372"/>
      <c r="AE47" s="371"/>
      <c r="AF47" s="375"/>
      <c r="AG47" s="372"/>
      <c r="AH47" s="372"/>
      <c r="AI47" s="372"/>
      <c r="AJ47" s="373"/>
      <c r="AK47" s="374"/>
      <c r="AL47" s="372"/>
      <c r="AM47" s="372"/>
      <c r="AN47" s="372"/>
      <c r="AO47" s="371"/>
      <c r="AP47" s="375"/>
      <c r="AQ47" s="372"/>
      <c r="AR47" s="372"/>
      <c r="AS47" s="372"/>
      <c r="AT47" s="373"/>
      <c r="AU47" s="374"/>
      <c r="AV47" s="372"/>
      <c r="AW47" s="372"/>
      <c r="AX47" s="372"/>
      <c r="AY47" s="371"/>
      <c r="AZ47" s="375"/>
      <c r="BA47" s="372"/>
      <c r="BB47" s="372"/>
      <c r="BC47" s="372"/>
      <c r="BD47" s="373"/>
      <c r="BE47" s="374"/>
      <c r="BF47" s="372"/>
      <c r="BG47" s="372"/>
      <c r="BH47" s="372"/>
      <c r="BI47" s="371"/>
      <c r="BJ47" s="375"/>
      <c r="BK47" s="372"/>
      <c r="BL47" s="372"/>
      <c r="BM47" s="372"/>
      <c r="BN47" s="373"/>
      <c r="BO47" s="374"/>
      <c r="BP47" s="372"/>
      <c r="BQ47" s="372"/>
      <c r="BR47" s="372"/>
      <c r="BS47" s="371"/>
      <c r="BT47" s="375"/>
      <c r="BU47" s="372"/>
      <c r="BV47" s="372"/>
      <c r="BW47" s="372"/>
      <c r="BX47" s="373"/>
      <c r="BY47" s="374"/>
      <c r="BZ47" s="372"/>
      <c r="CA47" s="372"/>
      <c r="CB47" s="372"/>
      <c r="CC47" s="371"/>
      <c r="CD47" s="375"/>
      <c r="CE47" s="372"/>
      <c r="CF47" s="372"/>
      <c r="CG47" s="372"/>
      <c r="CH47" s="371"/>
      <c r="CI47" s="375"/>
      <c r="CJ47" s="372"/>
      <c r="CK47" s="372"/>
      <c r="CL47" s="372"/>
      <c r="CM47" s="373"/>
    </row>
    <row r="48" spans="1:91" ht="25.5" customHeight="1">
      <c r="A48" s="386">
        <v>4291</v>
      </c>
      <c r="B48" s="387" t="s">
        <v>11</v>
      </c>
      <c r="C48" s="387" t="s">
        <v>44</v>
      </c>
      <c r="D48" s="387" t="s">
        <v>76</v>
      </c>
      <c r="E48" s="372" t="s">
        <v>53</v>
      </c>
      <c r="F48" s="387"/>
      <c r="G48" s="372" t="s">
        <v>1150</v>
      </c>
      <c r="H48" s="371" t="s">
        <v>54</v>
      </c>
      <c r="I48" s="375"/>
      <c r="J48" s="372"/>
      <c r="K48" s="373"/>
      <c r="L48" s="388" t="s">
        <v>78</v>
      </c>
      <c r="M48" s="387" t="s">
        <v>77</v>
      </c>
      <c r="N48" s="387"/>
      <c r="O48" s="387" t="s">
        <v>77</v>
      </c>
      <c r="P48" s="389" t="s">
        <v>77</v>
      </c>
      <c r="Q48" s="388"/>
      <c r="R48" s="387"/>
      <c r="S48" s="387"/>
      <c r="T48" s="387"/>
      <c r="U48" s="390" t="s">
        <v>80</v>
      </c>
      <c r="V48" s="386"/>
      <c r="W48" s="372"/>
      <c r="X48" s="372"/>
      <c r="Y48" s="372"/>
      <c r="Z48" s="373"/>
      <c r="AA48" s="374"/>
      <c r="AB48" s="372"/>
      <c r="AC48" s="372"/>
      <c r="AD48" s="372"/>
      <c r="AE48" s="371"/>
      <c r="AF48" s="375"/>
      <c r="AG48" s="372"/>
      <c r="AH48" s="372"/>
      <c r="AI48" s="372"/>
      <c r="AJ48" s="373"/>
      <c r="AK48" s="374"/>
      <c r="AL48" s="372"/>
      <c r="AM48" s="372"/>
      <c r="AN48" s="372"/>
      <c r="AO48" s="371"/>
      <c r="AP48" s="375"/>
      <c r="AQ48" s="372"/>
      <c r="AR48" s="372"/>
      <c r="AS48" s="372"/>
      <c r="AT48" s="373"/>
      <c r="AU48" s="374"/>
      <c r="AV48" s="372"/>
      <c r="AW48" s="372"/>
      <c r="AX48" s="372"/>
      <c r="AY48" s="371"/>
      <c r="AZ48" s="375"/>
      <c r="BA48" s="372"/>
      <c r="BB48" s="372"/>
      <c r="BC48" s="372"/>
      <c r="BD48" s="373"/>
      <c r="BE48" s="374"/>
      <c r="BF48" s="372"/>
      <c r="BG48" s="372"/>
      <c r="BH48" s="372"/>
      <c r="BI48" s="371"/>
      <c r="BJ48" s="375"/>
      <c r="BK48" s="372"/>
      <c r="BL48" s="372"/>
      <c r="BM48" s="372"/>
      <c r="BN48" s="373"/>
      <c r="BO48" s="374"/>
      <c r="BP48" s="372"/>
      <c r="BQ48" s="372"/>
      <c r="BR48" s="372"/>
      <c r="BS48" s="371"/>
      <c r="BT48" s="375"/>
      <c r="BU48" s="372"/>
      <c r="BV48" s="372"/>
      <c r="BW48" s="372"/>
      <c r="BX48" s="373"/>
      <c r="BY48" s="374"/>
      <c r="BZ48" s="372"/>
      <c r="CA48" s="372"/>
      <c r="CB48" s="372"/>
      <c r="CC48" s="371"/>
      <c r="CD48" s="375"/>
      <c r="CE48" s="372"/>
      <c r="CF48" s="372"/>
      <c r="CG48" s="372"/>
      <c r="CH48" s="371"/>
      <c r="CI48" s="375"/>
      <c r="CJ48" s="372"/>
      <c r="CK48" s="372"/>
      <c r="CL48" s="372"/>
      <c r="CM48" s="373"/>
    </row>
    <row r="49" spans="1:91" ht="25.5" customHeight="1" thickBot="1">
      <c r="A49" s="391">
        <v>4292</v>
      </c>
      <c r="B49" s="392" t="s">
        <v>11</v>
      </c>
      <c r="C49" s="392" t="s">
        <v>44</v>
      </c>
      <c r="D49" s="392" t="s">
        <v>76</v>
      </c>
      <c r="E49" s="393" t="s">
        <v>53</v>
      </c>
      <c r="F49" s="392"/>
      <c r="G49" s="393" t="s">
        <v>1152</v>
      </c>
      <c r="H49" s="394" t="s">
        <v>54</v>
      </c>
      <c r="I49" s="395"/>
      <c r="J49" s="393"/>
      <c r="K49" s="396"/>
      <c r="L49" s="397" t="s">
        <v>78</v>
      </c>
      <c r="M49" s="392" t="s">
        <v>77</v>
      </c>
      <c r="N49" s="392"/>
      <c r="O49" s="392" t="s">
        <v>77</v>
      </c>
      <c r="P49" s="398" t="s">
        <v>77</v>
      </c>
      <c r="Q49" s="397"/>
      <c r="R49" s="392"/>
      <c r="S49" s="392"/>
      <c r="T49" s="392"/>
      <c r="U49" s="399" t="s">
        <v>80</v>
      </c>
      <c r="V49" s="391"/>
      <c r="W49" s="393"/>
      <c r="X49" s="393"/>
      <c r="Y49" s="393"/>
      <c r="Z49" s="396"/>
      <c r="AA49" s="400"/>
      <c r="AB49" s="393"/>
      <c r="AC49" s="393"/>
      <c r="AD49" s="393"/>
      <c r="AE49" s="394"/>
      <c r="AF49" s="395"/>
      <c r="AG49" s="393"/>
      <c r="AH49" s="393"/>
      <c r="AI49" s="393"/>
      <c r="AJ49" s="396"/>
      <c r="AK49" s="400"/>
      <c r="AL49" s="393"/>
      <c r="AM49" s="393"/>
      <c r="AN49" s="393"/>
      <c r="AO49" s="394"/>
      <c r="AP49" s="395"/>
      <c r="AQ49" s="393"/>
      <c r="AR49" s="393"/>
      <c r="AS49" s="393"/>
      <c r="AT49" s="396"/>
      <c r="AU49" s="400"/>
      <c r="AV49" s="393"/>
      <c r="AW49" s="393"/>
      <c r="AX49" s="393"/>
      <c r="AY49" s="394"/>
      <c r="AZ49" s="395"/>
      <c r="BA49" s="393"/>
      <c r="BB49" s="393"/>
      <c r="BC49" s="393"/>
      <c r="BD49" s="396"/>
      <c r="BE49" s="400"/>
      <c r="BF49" s="393"/>
      <c r="BG49" s="393"/>
      <c r="BH49" s="393"/>
      <c r="BI49" s="394"/>
      <c r="BJ49" s="395"/>
      <c r="BK49" s="393"/>
      <c r="BL49" s="393"/>
      <c r="BM49" s="393"/>
      <c r="BN49" s="396"/>
      <c r="BO49" s="400"/>
      <c r="BP49" s="393"/>
      <c r="BQ49" s="393"/>
      <c r="BR49" s="393"/>
      <c r="BS49" s="394"/>
      <c r="BT49" s="395"/>
      <c r="BU49" s="393"/>
      <c r="BV49" s="393"/>
      <c r="BW49" s="393"/>
      <c r="BX49" s="396"/>
      <c r="BY49" s="400"/>
      <c r="BZ49" s="393"/>
      <c r="CA49" s="393"/>
      <c r="CB49" s="393"/>
      <c r="CC49" s="394"/>
      <c r="CD49" s="395"/>
      <c r="CE49" s="393"/>
      <c r="CF49" s="393"/>
      <c r="CG49" s="393"/>
      <c r="CH49" s="394"/>
      <c r="CI49" s="395"/>
      <c r="CJ49" s="393"/>
      <c r="CK49" s="393"/>
      <c r="CL49" s="393"/>
      <c r="CM49" s="396"/>
    </row>
    <row r="50" spans="1:91" ht="25.5" customHeight="1">
      <c r="A50" s="401">
        <v>4293</v>
      </c>
      <c r="B50" s="402" t="s">
        <v>11</v>
      </c>
      <c r="C50" s="402" t="s">
        <v>44</v>
      </c>
      <c r="D50" s="402" t="s">
        <v>76</v>
      </c>
      <c r="E50" s="403" t="s">
        <v>53</v>
      </c>
      <c r="F50" s="402"/>
      <c r="G50" s="403" t="s">
        <v>1154</v>
      </c>
      <c r="H50" s="404" t="s">
        <v>54</v>
      </c>
      <c r="I50" s="405"/>
      <c r="J50" s="403"/>
      <c r="K50" s="406"/>
      <c r="L50" s="407" t="s">
        <v>78</v>
      </c>
      <c r="M50" s="402" t="s">
        <v>77</v>
      </c>
      <c r="N50" s="402"/>
      <c r="O50" s="402" t="s">
        <v>77</v>
      </c>
      <c r="P50" s="408" t="s">
        <v>77</v>
      </c>
      <c r="Q50" s="407"/>
      <c r="R50" s="402"/>
      <c r="S50" s="402"/>
      <c r="T50" s="402"/>
      <c r="U50" s="409" t="s">
        <v>80</v>
      </c>
      <c r="V50" s="401"/>
      <c r="W50" s="403"/>
      <c r="X50" s="403"/>
      <c r="Y50" s="403"/>
      <c r="Z50" s="406"/>
      <c r="AA50" s="410"/>
      <c r="AB50" s="403"/>
      <c r="AC50" s="403"/>
      <c r="AD50" s="403"/>
      <c r="AE50" s="404"/>
      <c r="AF50" s="405"/>
      <c r="AG50" s="403"/>
      <c r="AH50" s="403"/>
      <c r="AI50" s="403"/>
      <c r="AJ50" s="406"/>
      <c r="AK50" s="410"/>
      <c r="AL50" s="403"/>
      <c r="AM50" s="403"/>
      <c r="AN50" s="403"/>
      <c r="AO50" s="404"/>
      <c r="AP50" s="405"/>
      <c r="AQ50" s="403"/>
      <c r="AR50" s="403"/>
      <c r="AS50" s="403"/>
      <c r="AT50" s="406"/>
      <c r="AU50" s="410"/>
      <c r="AV50" s="403"/>
      <c r="AW50" s="403"/>
      <c r="AX50" s="403"/>
      <c r="AY50" s="404"/>
      <c r="AZ50" s="405"/>
      <c r="BA50" s="403"/>
      <c r="BB50" s="403"/>
      <c r="BC50" s="403"/>
      <c r="BD50" s="406"/>
      <c r="BE50" s="410"/>
      <c r="BF50" s="403"/>
      <c r="BG50" s="403"/>
      <c r="BH50" s="403"/>
      <c r="BI50" s="404"/>
      <c r="BJ50" s="405"/>
      <c r="BK50" s="403"/>
      <c r="BL50" s="403"/>
      <c r="BM50" s="403"/>
      <c r="BN50" s="406"/>
      <c r="BO50" s="410"/>
      <c r="BP50" s="403"/>
      <c r="BQ50" s="403"/>
      <c r="BR50" s="403"/>
      <c r="BS50" s="404"/>
      <c r="BT50" s="405"/>
      <c r="BU50" s="403"/>
      <c r="BV50" s="403"/>
      <c r="BW50" s="403"/>
      <c r="BX50" s="406"/>
      <c r="BY50" s="410"/>
      <c r="BZ50" s="403"/>
      <c r="CA50" s="403"/>
      <c r="CB50" s="403"/>
      <c r="CC50" s="404"/>
      <c r="CD50" s="405"/>
      <c r="CE50" s="403"/>
      <c r="CF50" s="403"/>
      <c r="CG50" s="403"/>
      <c r="CH50" s="404"/>
      <c r="CI50" s="405"/>
      <c r="CJ50" s="403"/>
      <c r="CK50" s="403"/>
      <c r="CL50" s="403"/>
      <c r="CM50" s="406"/>
    </row>
    <row r="51" spans="1:91" ht="25.5" customHeight="1">
      <c r="A51" s="386">
        <v>4294</v>
      </c>
      <c r="B51" s="387" t="s">
        <v>11</v>
      </c>
      <c r="C51" s="387" t="s">
        <v>44</v>
      </c>
      <c r="D51" s="387" t="s">
        <v>76</v>
      </c>
      <c r="E51" s="372" t="s">
        <v>53</v>
      </c>
      <c r="F51" s="387"/>
      <c r="G51" s="372" t="s">
        <v>1156</v>
      </c>
      <c r="H51" s="371" t="s">
        <v>54</v>
      </c>
      <c r="I51" s="375"/>
      <c r="J51" s="372"/>
      <c r="K51" s="373"/>
      <c r="L51" s="388" t="s">
        <v>78</v>
      </c>
      <c r="M51" s="387" t="s">
        <v>77</v>
      </c>
      <c r="N51" s="387"/>
      <c r="O51" s="387" t="s">
        <v>77</v>
      </c>
      <c r="P51" s="389" t="s">
        <v>77</v>
      </c>
      <c r="Q51" s="388"/>
      <c r="R51" s="387"/>
      <c r="S51" s="387"/>
      <c r="T51" s="387"/>
      <c r="U51" s="390" t="s">
        <v>80</v>
      </c>
      <c r="V51" s="386"/>
      <c r="W51" s="372"/>
      <c r="X51" s="372"/>
      <c r="Y51" s="372"/>
      <c r="Z51" s="373"/>
      <c r="AA51" s="374"/>
      <c r="AB51" s="372"/>
      <c r="AC51" s="372"/>
      <c r="AD51" s="372"/>
      <c r="AE51" s="371"/>
      <c r="AF51" s="375"/>
      <c r="AG51" s="372"/>
      <c r="AH51" s="372"/>
      <c r="AI51" s="372"/>
      <c r="AJ51" s="373"/>
      <c r="AK51" s="374"/>
      <c r="AL51" s="372"/>
      <c r="AM51" s="372"/>
      <c r="AN51" s="372"/>
      <c r="AO51" s="371"/>
      <c r="AP51" s="375"/>
      <c r="AQ51" s="372"/>
      <c r="AR51" s="372"/>
      <c r="AS51" s="372"/>
      <c r="AT51" s="373"/>
      <c r="AU51" s="374"/>
      <c r="AV51" s="372"/>
      <c r="AW51" s="372"/>
      <c r="AX51" s="372"/>
      <c r="AY51" s="371"/>
      <c r="AZ51" s="375"/>
      <c r="BA51" s="372"/>
      <c r="BB51" s="372"/>
      <c r="BC51" s="372"/>
      <c r="BD51" s="373"/>
      <c r="BE51" s="374"/>
      <c r="BF51" s="372"/>
      <c r="BG51" s="372"/>
      <c r="BH51" s="372"/>
      <c r="BI51" s="371"/>
      <c r="BJ51" s="375"/>
      <c r="BK51" s="372"/>
      <c r="BL51" s="372"/>
      <c r="BM51" s="372"/>
      <c r="BN51" s="373"/>
      <c r="BO51" s="374"/>
      <c r="BP51" s="372"/>
      <c r="BQ51" s="372"/>
      <c r="BR51" s="372"/>
      <c r="BS51" s="371"/>
      <c r="BT51" s="375"/>
      <c r="BU51" s="372"/>
      <c r="BV51" s="372"/>
      <c r="BW51" s="372"/>
      <c r="BX51" s="373"/>
      <c r="BY51" s="374"/>
      <c r="BZ51" s="372"/>
      <c r="CA51" s="372"/>
      <c r="CB51" s="372"/>
      <c r="CC51" s="371"/>
      <c r="CD51" s="375"/>
      <c r="CE51" s="372"/>
      <c r="CF51" s="372"/>
      <c r="CG51" s="372"/>
      <c r="CH51" s="371"/>
      <c r="CI51" s="375"/>
      <c r="CJ51" s="372"/>
      <c r="CK51" s="372"/>
      <c r="CL51" s="372"/>
      <c r="CM51" s="373"/>
    </row>
    <row r="52" spans="1:91" ht="25.5" customHeight="1">
      <c r="A52" s="386">
        <v>4295</v>
      </c>
      <c r="B52" s="387" t="s">
        <v>11</v>
      </c>
      <c r="C52" s="387" t="s">
        <v>44</v>
      </c>
      <c r="D52" s="387" t="s">
        <v>76</v>
      </c>
      <c r="E52" s="372" t="s">
        <v>53</v>
      </c>
      <c r="F52" s="387"/>
      <c r="G52" s="372" t="s">
        <v>1158</v>
      </c>
      <c r="H52" s="371" t="s">
        <v>54</v>
      </c>
      <c r="I52" s="375"/>
      <c r="J52" s="372"/>
      <c r="K52" s="373"/>
      <c r="L52" s="388" t="s">
        <v>78</v>
      </c>
      <c r="M52" s="387" t="s">
        <v>77</v>
      </c>
      <c r="N52" s="387"/>
      <c r="O52" s="387" t="s">
        <v>77</v>
      </c>
      <c r="P52" s="389" t="s">
        <v>77</v>
      </c>
      <c r="Q52" s="388"/>
      <c r="R52" s="387"/>
      <c r="S52" s="387"/>
      <c r="T52" s="387"/>
      <c r="U52" s="390" t="s">
        <v>80</v>
      </c>
      <c r="V52" s="386"/>
      <c r="W52" s="372"/>
      <c r="X52" s="372"/>
      <c r="Y52" s="372"/>
      <c r="Z52" s="373"/>
      <c r="AA52" s="374"/>
      <c r="AB52" s="372"/>
      <c r="AC52" s="372"/>
      <c r="AD52" s="372"/>
      <c r="AE52" s="371"/>
      <c r="AF52" s="375"/>
      <c r="AG52" s="372"/>
      <c r="AH52" s="372"/>
      <c r="AI52" s="372"/>
      <c r="AJ52" s="373"/>
      <c r="AK52" s="374"/>
      <c r="AL52" s="372"/>
      <c r="AM52" s="372"/>
      <c r="AN52" s="372"/>
      <c r="AO52" s="371"/>
      <c r="AP52" s="375"/>
      <c r="AQ52" s="372"/>
      <c r="AR52" s="372"/>
      <c r="AS52" s="372"/>
      <c r="AT52" s="373"/>
      <c r="AU52" s="374"/>
      <c r="AV52" s="372"/>
      <c r="AW52" s="372"/>
      <c r="AX52" s="372"/>
      <c r="AY52" s="371"/>
      <c r="AZ52" s="375"/>
      <c r="BA52" s="372"/>
      <c r="BB52" s="372"/>
      <c r="BC52" s="372"/>
      <c r="BD52" s="373"/>
      <c r="BE52" s="374"/>
      <c r="BF52" s="372"/>
      <c r="BG52" s="372"/>
      <c r="BH52" s="372"/>
      <c r="BI52" s="371"/>
      <c r="BJ52" s="375"/>
      <c r="BK52" s="372"/>
      <c r="BL52" s="372"/>
      <c r="BM52" s="372"/>
      <c r="BN52" s="373"/>
      <c r="BO52" s="374"/>
      <c r="BP52" s="372"/>
      <c r="BQ52" s="372"/>
      <c r="BR52" s="372"/>
      <c r="BS52" s="371"/>
      <c r="BT52" s="375"/>
      <c r="BU52" s="372"/>
      <c r="BV52" s="372"/>
      <c r="BW52" s="372"/>
      <c r="BX52" s="373"/>
      <c r="BY52" s="374"/>
      <c r="BZ52" s="372"/>
      <c r="CA52" s="372"/>
      <c r="CB52" s="372"/>
      <c r="CC52" s="371"/>
      <c r="CD52" s="375"/>
      <c r="CE52" s="372"/>
      <c r="CF52" s="372"/>
      <c r="CG52" s="372"/>
      <c r="CH52" s="371"/>
      <c r="CI52" s="375"/>
      <c r="CJ52" s="372"/>
      <c r="CK52" s="372"/>
      <c r="CL52" s="372"/>
      <c r="CM52" s="373"/>
    </row>
    <row r="53" spans="1:91" ht="25.5" customHeight="1">
      <c r="A53" s="386">
        <v>4296</v>
      </c>
      <c r="B53" s="387" t="s">
        <v>11</v>
      </c>
      <c r="C53" s="387" t="s">
        <v>44</v>
      </c>
      <c r="D53" s="387" t="s">
        <v>76</v>
      </c>
      <c r="E53" s="372" t="s">
        <v>53</v>
      </c>
      <c r="F53" s="387"/>
      <c r="G53" s="372" t="s">
        <v>1160</v>
      </c>
      <c r="H53" s="371" t="s">
        <v>54</v>
      </c>
      <c r="I53" s="375"/>
      <c r="J53" s="372"/>
      <c r="K53" s="373"/>
      <c r="L53" s="388" t="s">
        <v>78</v>
      </c>
      <c r="M53" s="387" t="s">
        <v>77</v>
      </c>
      <c r="N53" s="387"/>
      <c r="O53" s="387" t="s">
        <v>77</v>
      </c>
      <c r="P53" s="389" t="s">
        <v>77</v>
      </c>
      <c r="Q53" s="388"/>
      <c r="R53" s="387"/>
      <c r="S53" s="387"/>
      <c r="T53" s="387"/>
      <c r="U53" s="390" t="s">
        <v>80</v>
      </c>
      <c r="V53" s="386"/>
      <c r="W53" s="372"/>
      <c r="X53" s="372"/>
      <c r="Y53" s="372"/>
      <c r="Z53" s="373"/>
      <c r="AA53" s="374"/>
      <c r="AB53" s="372"/>
      <c r="AC53" s="372"/>
      <c r="AD53" s="372"/>
      <c r="AE53" s="371"/>
      <c r="AF53" s="375"/>
      <c r="AG53" s="372"/>
      <c r="AH53" s="372"/>
      <c r="AI53" s="372"/>
      <c r="AJ53" s="373"/>
      <c r="AK53" s="374"/>
      <c r="AL53" s="372"/>
      <c r="AM53" s="372"/>
      <c r="AN53" s="372"/>
      <c r="AO53" s="371"/>
      <c r="AP53" s="375"/>
      <c r="AQ53" s="372"/>
      <c r="AR53" s="372"/>
      <c r="AS53" s="372"/>
      <c r="AT53" s="373"/>
      <c r="AU53" s="374"/>
      <c r="AV53" s="372"/>
      <c r="AW53" s="372"/>
      <c r="AX53" s="372"/>
      <c r="AY53" s="371"/>
      <c r="AZ53" s="375"/>
      <c r="BA53" s="372"/>
      <c r="BB53" s="372"/>
      <c r="BC53" s="372"/>
      <c r="BD53" s="373"/>
      <c r="BE53" s="374"/>
      <c r="BF53" s="372"/>
      <c r="BG53" s="372"/>
      <c r="BH53" s="372"/>
      <c r="BI53" s="371"/>
      <c r="BJ53" s="375"/>
      <c r="BK53" s="372"/>
      <c r="BL53" s="372"/>
      <c r="BM53" s="372"/>
      <c r="BN53" s="373"/>
      <c r="BO53" s="374"/>
      <c r="BP53" s="372"/>
      <c r="BQ53" s="372"/>
      <c r="BR53" s="372"/>
      <c r="BS53" s="371"/>
      <c r="BT53" s="375"/>
      <c r="BU53" s="372"/>
      <c r="BV53" s="372"/>
      <c r="BW53" s="372"/>
      <c r="BX53" s="373"/>
      <c r="BY53" s="374"/>
      <c r="BZ53" s="372"/>
      <c r="CA53" s="372"/>
      <c r="CB53" s="372"/>
      <c r="CC53" s="371"/>
      <c r="CD53" s="375"/>
      <c r="CE53" s="372"/>
      <c r="CF53" s="372"/>
      <c r="CG53" s="372"/>
      <c r="CH53" s="371"/>
      <c r="CI53" s="375"/>
      <c r="CJ53" s="372"/>
      <c r="CK53" s="372"/>
      <c r="CL53" s="372"/>
      <c r="CM53" s="373"/>
    </row>
    <row r="54" spans="1:91" ht="25.5" customHeight="1" thickBot="1">
      <c r="A54" s="411">
        <v>4297</v>
      </c>
      <c r="B54" s="412" t="s">
        <v>11</v>
      </c>
      <c r="C54" s="412" t="s">
        <v>44</v>
      </c>
      <c r="D54" s="412" t="s">
        <v>76</v>
      </c>
      <c r="E54" s="377" t="s">
        <v>53</v>
      </c>
      <c r="F54" s="412"/>
      <c r="G54" s="377" t="s">
        <v>1162</v>
      </c>
      <c r="H54" s="376" t="s">
        <v>54</v>
      </c>
      <c r="I54" s="380"/>
      <c r="J54" s="377"/>
      <c r="K54" s="378"/>
      <c r="L54" s="413" t="s">
        <v>78</v>
      </c>
      <c r="M54" s="412" t="s">
        <v>77</v>
      </c>
      <c r="N54" s="412"/>
      <c r="O54" s="412" t="s">
        <v>77</v>
      </c>
      <c r="P54" s="414" t="s">
        <v>77</v>
      </c>
      <c r="Q54" s="413"/>
      <c r="R54" s="412"/>
      <c r="S54" s="412"/>
      <c r="T54" s="412"/>
      <c r="U54" s="415" t="s">
        <v>80</v>
      </c>
      <c r="V54" s="411"/>
      <c r="W54" s="377"/>
      <c r="X54" s="377"/>
      <c r="Y54" s="377"/>
      <c r="Z54" s="378"/>
      <c r="AA54" s="379"/>
      <c r="AB54" s="377"/>
      <c r="AC54" s="377"/>
      <c r="AD54" s="377"/>
      <c r="AE54" s="376"/>
      <c r="AF54" s="380"/>
      <c r="AG54" s="377"/>
      <c r="AH54" s="377"/>
      <c r="AI54" s="377"/>
      <c r="AJ54" s="378"/>
      <c r="AK54" s="379"/>
      <c r="AL54" s="377"/>
      <c r="AM54" s="377"/>
      <c r="AN54" s="377"/>
      <c r="AO54" s="376"/>
      <c r="AP54" s="380"/>
      <c r="AQ54" s="377"/>
      <c r="AR54" s="377"/>
      <c r="AS54" s="377"/>
      <c r="AT54" s="378"/>
      <c r="AU54" s="379"/>
      <c r="AV54" s="377"/>
      <c r="AW54" s="377"/>
      <c r="AX54" s="377"/>
      <c r="AY54" s="376"/>
      <c r="AZ54" s="380"/>
      <c r="BA54" s="377"/>
      <c r="BB54" s="377"/>
      <c r="BC54" s="377"/>
      <c r="BD54" s="378"/>
      <c r="BE54" s="379"/>
      <c r="BF54" s="377"/>
      <c r="BG54" s="377"/>
      <c r="BH54" s="377"/>
      <c r="BI54" s="376"/>
      <c r="BJ54" s="380"/>
      <c r="BK54" s="377"/>
      <c r="BL54" s="377"/>
      <c r="BM54" s="377"/>
      <c r="BN54" s="378"/>
      <c r="BO54" s="379"/>
      <c r="BP54" s="377"/>
      <c r="BQ54" s="377"/>
      <c r="BR54" s="377"/>
      <c r="BS54" s="376"/>
      <c r="BT54" s="380"/>
      <c r="BU54" s="377"/>
      <c r="BV54" s="377"/>
      <c r="BW54" s="377"/>
      <c r="BX54" s="378"/>
      <c r="BY54" s="379"/>
      <c r="BZ54" s="377"/>
      <c r="CA54" s="377"/>
      <c r="CB54" s="377"/>
      <c r="CC54" s="376"/>
      <c r="CD54" s="380"/>
      <c r="CE54" s="377"/>
      <c r="CF54" s="377"/>
      <c r="CG54" s="377"/>
      <c r="CH54" s="376"/>
      <c r="CI54" s="380"/>
      <c r="CJ54" s="377"/>
      <c r="CK54" s="377"/>
      <c r="CL54" s="377"/>
      <c r="CM54" s="378"/>
    </row>
    <row r="55" spans="1:91" ht="25.5" customHeight="1">
      <c r="A55" s="416">
        <v>4298</v>
      </c>
      <c r="B55" s="417" t="s">
        <v>11</v>
      </c>
      <c r="C55" s="417" t="s">
        <v>44</v>
      </c>
      <c r="D55" s="417" t="s">
        <v>76</v>
      </c>
      <c r="E55" s="381" t="s">
        <v>53</v>
      </c>
      <c r="F55" s="417"/>
      <c r="G55" s="381" t="s">
        <v>1164</v>
      </c>
      <c r="H55" s="384" t="s">
        <v>54</v>
      </c>
      <c r="I55" s="385"/>
      <c r="J55" s="381"/>
      <c r="K55" s="382"/>
      <c r="L55" s="418" t="s">
        <v>78</v>
      </c>
      <c r="M55" s="417" t="s">
        <v>77</v>
      </c>
      <c r="N55" s="417"/>
      <c r="O55" s="417" t="s">
        <v>77</v>
      </c>
      <c r="P55" s="419" t="s">
        <v>77</v>
      </c>
      <c r="Q55" s="418"/>
      <c r="R55" s="417"/>
      <c r="S55" s="417"/>
      <c r="T55" s="417"/>
      <c r="U55" s="420" t="s">
        <v>80</v>
      </c>
      <c r="V55" s="416"/>
      <c r="W55" s="381"/>
      <c r="X55" s="381"/>
      <c r="Y55" s="381"/>
      <c r="Z55" s="382"/>
      <c r="AA55" s="383"/>
      <c r="AB55" s="381"/>
      <c r="AC55" s="381"/>
      <c r="AD55" s="381"/>
      <c r="AE55" s="384"/>
      <c r="AF55" s="385"/>
      <c r="AG55" s="381"/>
      <c r="AH55" s="381"/>
      <c r="AI55" s="381"/>
      <c r="AJ55" s="382"/>
      <c r="AK55" s="383"/>
      <c r="AL55" s="381"/>
      <c r="AM55" s="381"/>
      <c r="AN55" s="381"/>
      <c r="AO55" s="384"/>
      <c r="AP55" s="385"/>
      <c r="AQ55" s="381"/>
      <c r="AR55" s="381"/>
      <c r="AS55" s="381"/>
      <c r="AT55" s="382"/>
      <c r="AU55" s="383"/>
      <c r="AV55" s="381"/>
      <c r="AW55" s="381"/>
      <c r="AX55" s="381"/>
      <c r="AY55" s="384"/>
      <c r="AZ55" s="385"/>
      <c r="BA55" s="381"/>
      <c r="BB55" s="381"/>
      <c r="BC55" s="381"/>
      <c r="BD55" s="382"/>
      <c r="BE55" s="383"/>
      <c r="BF55" s="381"/>
      <c r="BG55" s="381"/>
      <c r="BH55" s="381"/>
      <c r="BI55" s="384"/>
      <c r="BJ55" s="385"/>
      <c r="BK55" s="381"/>
      <c r="BL55" s="381"/>
      <c r="BM55" s="381"/>
      <c r="BN55" s="382"/>
      <c r="BO55" s="383"/>
      <c r="BP55" s="381"/>
      <c r="BQ55" s="381"/>
      <c r="BR55" s="381"/>
      <c r="BS55" s="384"/>
      <c r="BT55" s="385"/>
      <c r="BU55" s="381"/>
      <c r="BV55" s="381"/>
      <c r="BW55" s="381"/>
      <c r="BX55" s="382"/>
      <c r="BY55" s="383"/>
      <c r="BZ55" s="381"/>
      <c r="CA55" s="381"/>
      <c r="CB55" s="381"/>
      <c r="CC55" s="384"/>
      <c r="CD55" s="385"/>
      <c r="CE55" s="381"/>
      <c r="CF55" s="381"/>
      <c r="CG55" s="381"/>
      <c r="CH55" s="384"/>
      <c r="CI55" s="385"/>
      <c r="CJ55" s="381"/>
      <c r="CK55" s="381"/>
      <c r="CL55" s="381"/>
      <c r="CM55" s="382"/>
    </row>
    <row r="56" spans="1:91" ht="25.5" customHeight="1">
      <c r="A56" s="386">
        <v>4299</v>
      </c>
      <c r="B56" s="387" t="s">
        <v>11</v>
      </c>
      <c r="C56" s="387" t="s">
        <v>44</v>
      </c>
      <c r="D56" s="387" t="s">
        <v>76</v>
      </c>
      <c r="E56" s="372" t="s">
        <v>53</v>
      </c>
      <c r="F56" s="387"/>
      <c r="G56" s="372" t="s">
        <v>1166</v>
      </c>
      <c r="H56" s="371" t="s">
        <v>54</v>
      </c>
      <c r="I56" s="375"/>
      <c r="J56" s="372"/>
      <c r="K56" s="373"/>
      <c r="L56" s="388" t="s">
        <v>78</v>
      </c>
      <c r="M56" s="387" t="s">
        <v>77</v>
      </c>
      <c r="N56" s="387"/>
      <c r="O56" s="387" t="s">
        <v>77</v>
      </c>
      <c r="P56" s="389" t="s">
        <v>77</v>
      </c>
      <c r="Q56" s="388"/>
      <c r="R56" s="387"/>
      <c r="S56" s="387"/>
      <c r="T56" s="387"/>
      <c r="U56" s="390" t="s">
        <v>80</v>
      </c>
      <c r="V56" s="386"/>
      <c r="W56" s="372"/>
      <c r="X56" s="372"/>
      <c r="Y56" s="372"/>
      <c r="Z56" s="373"/>
      <c r="AA56" s="374"/>
      <c r="AB56" s="372"/>
      <c r="AC56" s="372"/>
      <c r="AD56" s="372"/>
      <c r="AE56" s="371"/>
      <c r="AF56" s="375"/>
      <c r="AG56" s="372"/>
      <c r="AH56" s="372"/>
      <c r="AI56" s="372"/>
      <c r="AJ56" s="373"/>
      <c r="AK56" s="374"/>
      <c r="AL56" s="372"/>
      <c r="AM56" s="372"/>
      <c r="AN56" s="372"/>
      <c r="AO56" s="371"/>
      <c r="AP56" s="375"/>
      <c r="AQ56" s="372"/>
      <c r="AR56" s="372"/>
      <c r="AS56" s="372"/>
      <c r="AT56" s="373"/>
      <c r="AU56" s="374"/>
      <c r="AV56" s="372"/>
      <c r="AW56" s="372"/>
      <c r="AX56" s="372"/>
      <c r="AY56" s="371"/>
      <c r="AZ56" s="375"/>
      <c r="BA56" s="372"/>
      <c r="BB56" s="372"/>
      <c r="BC56" s="372"/>
      <c r="BD56" s="373"/>
      <c r="BE56" s="374"/>
      <c r="BF56" s="372"/>
      <c r="BG56" s="372"/>
      <c r="BH56" s="372"/>
      <c r="BI56" s="371"/>
      <c r="BJ56" s="375"/>
      <c r="BK56" s="372"/>
      <c r="BL56" s="372"/>
      <c r="BM56" s="372"/>
      <c r="BN56" s="373"/>
      <c r="BO56" s="374"/>
      <c r="BP56" s="372"/>
      <c r="BQ56" s="372"/>
      <c r="BR56" s="372"/>
      <c r="BS56" s="371"/>
      <c r="BT56" s="375"/>
      <c r="BU56" s="372"/>
      <c r="BV56" s="372"/>
      <c r="BW56" s="372"/>
      <c r="BX56" s="373"/>
      <c r="BY56" s="374"/>
      <c r="BZ56" s="372"/>
      <c r="CA56" s="372"/>
      <c r="CB56" s="372"/>
      <c r="CC56" s="371"/>
      <c r="CD56" s="375"/>
      <c r="CE56" s="372"/>
      <c r="CF56" s="372"/>
      <c r="CG56" s="372"/>
      <c r="CH56" s="371"/>
      <c r="CI56" s="375"/>
      <c r="CJ56" s="372"/>
      <c r="CK56" s="372"/>
      <c r="CL56" s="372"/>
      <c r="CM56" s="373"/>
    </row>
    <row r="57" spans="1:91" ht="25.5" customHeight="1">
      <c r="A57" s="386">
        <v>4300</v>
      </c>
      <c r="B57" s="387" t="s">
        <v>11</v>
      </c>
      <c r="C57" s="387" t="s">
        <v>44</v>
      </c>
      <c r="D57" s="387" t="s">
        <v>76</v>
      </c>
      <c r="E57" s="372" t="s">
        <v>53</v>
      </c>
      <c r="F57" s="387"/>
      <c r="G57" s="372" t="s">
        <v>1168</v>
      </c>
      <c r="H57" s="371" t="s">
        <v>54</v>
      </c>
      <c r="I57" s="375"/>
      <c r="J57" s="372"/>
      <c r="K57" s="373"/>
      <c r="L57" s="388" t="s">
        <v>78</v>
      </c>
      <c r="M57" s="387" t="s">
        <v>77</v>
      </c>
      <c r="N57" s="387"/>
      <c r="O57" s="387" t="s">
        <v>77</v>
      </c>
      <c r="P57" s="389" t="s">
        <v>77</v>
      </c>
      <c r="Q57" s="388"/>
      <c r="R57" s="387"/>
      <c r="S57" s="387"/>
      <c r="T57" s="387"/>
      <c r="U57" s="390" t="s">
        <v>80</v>
      </c>
      <c r="V57" s="386"/>
      <c r="W57" s="372"/>
      <c r="X57" s="372"/>
      <c r="Y57" s="372"/>
      <c r="Z57" s="373"/>
      <c r="AA57" s="374"/>
      <c r="AB57" s="372"/>
      <c r="AC57" s="372"/>
      <c r="AD57" s="372"/>
      <c r="AE57" s="371"/>
      <c r="AF57" s="375"/>
      <c r="AG57" s="372"/>
      <c r="AH57" s="372"/>
      <c r="AI57" s="372"/>
      <c r="AJ57" s="373"/>
      <c r="AK57" s="374"/>
      <c r="AL57" s="372"/>
      <c r="AM57" s="372"/>
      <c r="AN57" s="372"/>
      <c r="AO57" s="371"/>
      <c r="AP57" s="375"/>
      <c r="AQ57" s="372"/>
      <c r="AR57" s="372"/>
      <c r="AS57" s="372"/>
      <c r="AT57" s="373"/>
      <c r="AU57" s="374"/>
      <c r="AV57" s="372"/>
      <c r="AW57" s="372"/>
      <c r="AX57" s="372"/>
      <c r="AY57" s="371"/>
      <c r="AZ57" s="375"/>
      <c r="BA57" s="372"/>
      <c r="BB57" s="372"/>
      <c r="BC57" s="372"/>
      <c r="BD57" s="373"/>
      <c r="BE57" s="374"/>
      <c r="BF57" s="372"/>
      <c r="BG57" s="372"/>
      <c r="BH57" s="372"/>
      <c r="BI57" s="371"/>
      <c r="BJ57" s="375"/>
      <c r="BK57" s="372"/>
      <c r="BL57" s="372"/>
      <c r="BM57" s="372"/>
      <c r="BN57" s="373"/>
      <c r="BO57" s="374"/>
      <c r="BP57" s="372"/>
      <c r="BQ57" s="372"/>
      <c r="BR57" s="372"/>
      <c r="BS57" s="371"/>
      <c r="BT57" s="375"/>
      <c r="BU57" s="372"/>
      <c r="BV57" s="372"/>
      <c r="BW57" s="372"/>
      <c r="BX57" s="373"/>
      <c r="BY57" s="374"/>
      <c r="BZ57" s="372"/>
      <c r="CA57" s="372"/>
      <c r="CB57" s="372"/>
      <c r="CC57" s="371"/>
      <c r="CD57" s="375"/>
      <c r="CE57" s="372"/>
      <c r="CF57" s="372"/>
      <c r="CG57" s="372"/>
      <c r="CH57" s="371"/>
      <c r="CI57" s="375"/>
      <c r="CJ57" s="372"/>
      <c r="CK57" s="372"/>
      <c r="CL57" s="372"/>
      <c r="CM57" s="373"/>
    </row>
    <row r="58" spans="1:91" ht="25.5" customHeight="1">
      <c r="A58" s="386">
        <v>4301</v>
      </c>
      <c r="B58" s="387" t="s">
        <v>11</v>
      </c>
      <c r="C58" s="387" t="s">
        <v>44</v>
      </c>
      <c r="D58" s="387" t="s">
        <v>76</v>
      </c>
      <c r="E58" s="372" t="s">
        <v>53</v>
      </c>
      <c r="F58" s="387"/>
      <c r="G58" s="372" t="s">
        <v>1170</v>
      </c>
      <c r="H58" s="371" t="s">
        <v>54</v>
      </c>
      <c r="I58" s="375"/>
      <c r="J58" s="372"/>
      <c r="K58" s="373"/>
      <c r="L58" s="388" t="s">
        <v>78</v>
      </c>
      <c r="M58" s="387" t="s">
        <v>77</v>
      </c>
      <c r="N58" s="387"/>
      <c r="O58" s="387" t="s">
        <v>77</v>
      </c>
      <c r="P58" s="389" t="s">
        <v>77</v>
      </c>
      <c r="Q58" s="388"/>
      <c r="R58" s="387"/>
      <c r="S58" s="387"/>
      <c r="T58" s="387"/>
      <c r="U58" s="390" t="s">
        <v>80</v>
      </c>
      <c r="V58" s="386"/>
      <c r="W58" s="372"/>
      <c r="X58" s="372"/>
      <c r="Y58" s="372"/>
      <c r="Z58" s="373"/>
      <c r="AA58" s="374"/>
      <c r="AB58" s="372"/>
      <c r="AC58" s="372"/>
      <c r="AD58" s="372"/>
      <c r="AE58" s="371"/>
      <c r="AF58" s="375"/>
      <c r="AG58" s="372"/>
      <c r="AH58" s="372"/>
      <c r="AI58" s="372"/>
      <c r="AJ58" s="373"/>
      <c r="AK58" s="374"/>
      <c r="AL58" s="372"/>
      <c r="AM58" s="372"/>
      <c r="AN58" s="372"/>
      <c r="AO58" s="371"/>
      <c r="AP58" s="375"/>
      <c r="AQ58" s="372"/>
      <c r="AR58" s="372"/>
      <c r="AS58" s="372"/>
      <c r="AT58" s="373"/>
      <c r="AU58" s="374"/>
      <c r="AV58" s="372"/>
      <c r="AW58" s="372"/>
      <c r="AX58" s="372"/>
      <c r="AY58" s="371"/>
      <c r="AZ58" s="375"/>
      <c r="BA58" s="372"/>
      <c r="BB58" s="372"/>
      <c r="BC58" s="372"/>
      <c r="BD58" s="373"/>
      <c r="BE58" s="374"/>
      <c r="BF58" s="372"/>
      <c r="BG58" s="372"/>
      <c r="BH58" s="372"/>
      <c r="BI58" s="371"/>
      <c r="BJ58" s="375"/>
      <c r="BK58" s="372"/>
      <c r="BL58" s="372"/>
      <c r="BM58" s="372"/>
      <c r="BN58" s="373"/>
      <c r="BO58" s="374"/>
      <c r="BP58" s="372"/>
      <c r="BQ58" s="372"/>
      <c r="BR58" s="372"/>
      <c r="BS58" s="371"/>
      <c r="BT58" s="375"/>
      <c r="BU58" s="372"/>
      <c r="BV58" s="372"/>
      <c r="BW58" s="372"/>
      <c r="BX58" s="373"/>
      <c r="BY58" s="374"/>
      <c r="BZ58" s="372"/>
      <c r="CA58" s="372"/>
      <c r="CB58" s="372"/>
      <c r="CC58" s="371"/>
      <c r="CD58" s="375"/>
      <c r="CE58" s="372"/>
      <c r="CF58" s="372"/>
      <c r="CG58" s="372"/>
      <c r="CH58" s="371"/>
      <c r="CI58" s="375"/>
      <c r="CJ58" s="372"/>
      <c r="CK58" s="372"/>
      <c r="CL58" s="372"/>
      <c r="CM58" s="373"/>
    </row>
    <row r="59" spans="1:91" ht="25.5" customHeight="1" thickBot="1">
      <c r="A59" s="411">
        <v>4302</v>
      </c>
      <c r="B59" s="412" t="s">
        <v>11</v>
      </c>
      <c r="C59" s="412" t="s">
        <v>44</v>
      </c>
      <c r="D59" s="412" t="s">
        <v>76</v>
      </c>
      <c r="E59" s="377" t="s">
        <v>53</v>
      </c>
      <c r="F59" s="412"/>
      <c r="G59" s="377" t="s">
        <v>1172</v>
      </c>
      <c r="H59" s="376" t="s">
        <v>54</v>
      </c>
      <c r="I59" s="380"/>
      <c r="J59" s="377"/>
      <c r="K59" s="378"/>
      <c r="L59" s="413" t="s">
        <v>78</v>
      </c>
      <c r="M59" s="412" t="s">
        <v>77</v>
      </c>
      <c r="N59" s="412"/>
      <c r="O59" s="412" t="s">
        <v>77</v>
      </c>
      <c r="P59" s="414" t="s">
        <v>77</v>
      </c>
      <c r="Q59" s="413"/>
      <c r="R59" s="412"/>
      <c r="S59" s="412"/>
      <c r="T59" s="412"/>
      <c r="U59" s="415" t="s">
        <v>80</v>
      </c>
      <c r="V59" s="411"/>
      <c r="W59" s="377"/>
      <c r="X59" s="377"/>
      <c r="Y59" s="377"/>
      <c r="Z59" s="378"/>
      <c r="AA59" s="379"/>
      <c r="AB59" s="377"/>
      <c r="AC59" s="377"/>
      <c r="AD59" s="377"/>
      <c r="AE59" s="376"/>
      <c r="AF59" s="380"/>
      <c r="AG59" s="377"/>
      <c r="AH59" s="377"/>
      <c r="AI59" s="377"/>
      <c r="AJ59" s="378"/>
      <c r="AK59" s="379"/>
      <c r="AL59" s="377"/>
      <c r="AM59" s="377"/>
      <c r="AN59" s="377"/>
      <c r="AO59" s="376"/>
      <c r="AP59" s="380"/>
      <c r="AQ59" s="377"/>
      <c r="AR59" s="377"/>
      <c r="AS59" s="377"/>
      <c r="AT59" s="378"/>
      <c r="AU59" s="379"/>
      <c r="AV59" s="377"/>
      <c r="AW59" s="377"/>
      <c r="AX59" s="377"/>
      <c r="AY59" s="376"/>
      <c r="AZ59" s="380"/>
      <c r="BA59" s="377"/>
      <c r="BB59" s="377"/>
      <c r="BC59" s="377"/>
      <c r="BD59" s="378"/>
      <c r="BE59" s="379"/>
      <c r="BF59" s="377"/>
      <c r="BG59" s="377"/>
      <c r="BH59" s="377"/>
      <c r="BI59" s="376"/>
      <c r="BJ59" s="380"/>
      <c r="BK59" s="377"/>
      <c r="BL59" s="377"/>
      <c r="BM59" s="377"/>
      <c r="BN59" s="378"/>
      <c r="BO59" s="379"/>
      <c r="BP59" s="377"/>
      <c r="BQ59" s="377"/>
      <c r="BR59" s="377"/>
      <c r="BS59" s="376"/>
      <c r="BT59" s="380"/>
      <c r="BU59" s="377"/>
      <c r="BV59" s="377"/>
      <c r="BW59" s="377"/>
      <c r="BX59" s="378"/>
      <c r="BY59" s="379"/>
      <c r="BZ59" s="377"/>
      <c r="CA59" s="377"/>
      <c r="CB59" s="377"/>
      <c r="CC59" s="376"/>
      <c r="CD59" s="380"/>
      <c r="CE59" s="377"/>
      <c r="CF59" s="377"/>
      <c r="CG59" s="377"/>
      <c r="CH59" s="376"/>
      <c r="CI59" s="380"/>
      <c r="CJ59" s="377"/>
      <c r="CK59" s="377"/>
      <c r="CL59" s="377"/>
      <c r="CM59" s="378"/>
    </row>
    <row r="60" spans="1:91" ht="15" customHeight="1" thickBot="1">
      <c r="A60" s="48"/>
      <c r="B60" s="179"/>
      <c r="C60" s="180"/>
      <c r="D60" s="181"/>
      <c r="E60" s="17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50"/>
      <c r="CH60" s="50"/>
      <c r="CI60" s="50"/>
      <c r="CJ60" s="50"/>
      <c r="CK60" s="50"/>
      <c r="CL60" s="50"/>
      <c r="CM60" s="51"/>
    </row>
    <row r="61" spans="1:91" ht="25.5" customHeight="1" thickBot="1">
      <c r="A61" s="275" t="s">
        <v>31</v>
      </c>
      <c r="B61" s="276"/>
      <c r="C61" s="277"/>
      <c r="D61" s="192"/>
      <c r="E61" s="278" t="s">
        <v>32</v>
      </c>
      <c r="F61" s="276"/>
      <c r="G61" s="277"/>
      <c r="H61" s="193" t="s">
        <v>8</v>
      </c>
      <c r="I61" s="192" t="s">
        <v>9</v>
      </c>
      <c r="J61" s="192" t="s">
        <v>33</v>
      </c>
      <c r="K61" s="192" t="s">
        <v>10</v>
      </c>
      <c r="L61" s="291"/>
      <c r="M61" s="292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  <c r="AA61" s="292"/>
      <c r="AB61" s="292"/>
      <c r="AC61" s="292"/>
      <c r="AD61" s="292"/>
      <c r="AE61" s="292"/>
      <c r="AF61" s="292"/>
      <c r="AG61" s="292"/>
      <c r="AH61" s="292"/>
      <c r="AI61" s="292"/>
      <c r="AJ61" s="292"/>
      <c r="AK61" s="292"/>
      <c r="AL61" s="292"/>
      <c r="AM61" s="292"/>
      <c r="AN61" s="292"/>
      <c r="AO61" s="292"/>
      <c r="AP61" s="292"/>
      <c r="AQ61" s="292"/>
      <c r="AR61" s="292"/>
      <c r="AS61" s="292"/>
      <c r="AT61" s="292"/>
      <c r="AU61" s="292"/>
      <c r="AV61" s="292"/>
      <c r="AW61" s="292"/>
      <c r="AX61" s="292"/>
      <c r="AY61" s="292"/>
      <c r="AZ61" s="292"/>
      <c r="BA61" s="292"/>
      <c r="BB61" s="292"/>
      <c r="BC61" s="292"/>
      <c r="BD61" s="292"/>
      <c r="BE61" s="293"/>
      <c r="BF61" s="300"/>
      <c r="BG61" s="300"/>
      <c r="BH61" s="300"/>
      <c r="BI61" s="300"/>
      <c r="BJ61" s="300"/>
      <c r="BK61" s="300"/>
      <c r="BL61" s="300"/>
      <c r="BM61" s="300"/>
      <c r="BN61" s="300"/>
      <c r="BO61" s="300"/>
      <c r="BP61" s="300"/>
      <c r="BQ61" s="300"/>
      <c r="BR61" s="300"/>
      <c r="BS61" s="300"/>
      <c r="BT61" s="300"/>
      <c r="BU61" s="301"/>
      <c r="BV61" s="291"/>
      <c r="BW61" s="247"/>
      <c r="BX61" s="247"/>
      <c r="BY61" s="247"/>
      <c r="BZ61" s="247"/>
      <c r="CA61" s="247"/>
      <c r="CB61" s="247"/>
      <c r="CC61" s="247"/>
      <c r="CD61" s="247"/>
      <c r="CE61" s="247"/>
      <c r="CF61" s="247"/>
      <c r="CG61" s="247"/>
      <c r="CH61" s="247"/>
      <c r="CI61" s="247"/>
      <c r="CJ61" s="247"/>
      <c r="CK61" s="247"/>
      <c r="CL61" s="247"/>
      <c r="CM61" s="248"/>
    </row>
    <row r="62" spans="1:91" ht="25.5" customHeight="1">
      <c r="A62" s="288"/>
      <c r="B62" s="289"/>
      <c r="C62" s="289"/>
      <c r="D62" s="52"/>
      <c r="E62" s="290"/>
      <c r="F62" s="290"/>
      <c r="G62" s="290"/>
      <c r="H62" s="53"/>
      <c r="I62" s="53"/>
      <c r="J62" s="53"/>
      <c r="K62" s="54"/>
      <c r="L62" s="294"/>
      <c r="M62" s="295"/>
      <c r="N62" s="295"/>
      <c r="O62" s="295"/>
      <c r="P62" s="295"/>
      <c r="Q62" s="295"/>
      <c r="R62" s="295"/>
      <c r="S62" s="295"/>
      <c r="T62" s="295"/>
      <c r="U62" s="295"/>
      <c r="V62" s="295"/>
      <c r="W62" s="295"/>
      <c r="X62" s="295"/>
      <c r="Y62" s="295"/>
      <c r="Z62" s="295"/>
      <c r="AA62" s="295"/>
      <c r="AB62" s="295"/>
      <c r="AC62" s="295"/>
      <c r="AD62" s="295"/>
      <c r="AE62" s="295"/>
      <c r="AF62" s="295"/>
      <c r="AG62" s="295"/>
      <c r="AH62" s="295"/>
      <c r="AI62" s="295"/>
      <c r="AJ62" s="295"/>
      <c r="AK62" s="295"/>
      <c r="AL62" s="295"/>
      <c r="AM62" s="295"/>
      <c r="AN62" s="295"/>
      <c r="AO62" s="295"/>
      <c r="AP62" s="295"/>
      <c r="AQ62" s="295"/>
      <c r="AR62" s="295"/>
      <c r="AS62" s="295"/>
      <c r="AT62" s="295"/>
      <c r="AU62" s="295"/>
      <c r="AV62" s="295"/>
      <c r="AW62" s="295"/>
      <c r="AX62" s="295"/>
      <c r="AY62" s="295"/>
      <c r="AZ62" s="295"/>
      <c r="BA62" s="295"/>
      <c r="BB62" s="295"/>
      <c r="BC62" s="295"/>
      <c r="BD62" s="295"/>
      <c r="BE62" s="296"/>
      <c r="BF62" s="302"/>
      <c r="BG62" s="302"/>
      <c r="BH62" s="302"/>
      <c r="BI62" s="302"/>
      <c r="BJ62" s="302"/>
      <c r="BK62" s="302"/>
      <c r="BL62" s="302"/>
      <c r="BM62" s="302"/>
      <c r="BN62" s="302"/>
      <c r="BO62" s="302"/>
      <c r="BP62" s="302"/>
      <c r="BQ62" s="302"/>
      <c r="BR62" s="302"/>
      <c r="BS62" s="302"/>
      <c r="BT62" s="302"/>
      <c r="BU62" s="303"/>
      <c r="BV62" s="306"/>
      <c r="BW62" s="249"/>
      <c r="BX62" s="249"/>
      <c r="BY62" s="249"/>
      <c r="BZ62" s="249"/>
      <c r="CA62" s="249"/>
      <c r="CB62" s="249"/>
      <c r="CC62" s="249"/>
      <c r="CD62" s="249"/>
      <c r="CE62" s="249"/>
      <c r="CF62" s="249"/>
      <c r="CG62" s="249"/>
      <c r="CH62" s="249"/>
      <c r="CI62" s="249"/>
      <c r="CJ62" s="249"/>
      <c r="CK62" s="249"/>
      <c r="CL62" s="249"/>
      <c r="CM62" s="250"/>
    </row>
    <row r="63" spans="1:91" ht="25.5" customHeight="1" thickBot="1">
      <c r="A63" s="288"/>
      <c r="B63" s="289"/>
      <c r="C63" s="289"/>
      <c r="D63" s="52"/>
      <c r="E63" s="290"/>
      <c r="F63" s="290"/>
      <c r="G63" s="290"/>
      <c r="H63" s="53"/>
      <c r="I63" s="53"/>
      <c r="J63" s="53"/>
      <c r="K63" s="54"/>
      <c r="L63" s="294"/>
      <c r="M63" s="295"/>
      <c r="N63" s="295"/>
      <c r="O63" s="295"/>
      <c r="P63" s="295"/>
      <c r="Q63" s="295"/>
      <c r="R63" s="295"/>
      <c r="S63" s="295"/>
      <c r="T63" s="295"/>
      <c r="U63" s="295"/>
      <c r="V63" s="295"/>
      <c r="W63" s="295"/>
      <c r="X63" s="295"/>
      <c r="Y63" s="295"/>
      <c r="Z63" s="295"/>
      <c r="AA63" s="295"/>
      <c r="AB63" s="295"/>
      <c r="AC63" s="295"/>
      <c r="AD63" s="295"/>
      <c r="AE63" s="295"/>
      <c r="AF63" s="295"/>
      <c r="AG63" s="295"/>
      <c r="AH63" s="295"/>
      <c r="AI63" s="295"/>
      <c r="AJ63" s="295"/>
      <c r="AK63" s="295"/>
      <c r="AL63" s="295"/>
      <c r="AM63" s="295"/>
      <c r="AN63" s="295"/>
      <c r="AO63" s="295"/>
      <c r="AP63" s="295"/>
      <c r="AQ63" s="295"/>
      <c r="AR63" s="295"/>
      <c r="AS63" s="295"/>
      <c r="AT63" s="295"/>
      <c r="AU63" s="295"/>
      <c r="AV63" s="295"/>
      <c r="AW63" s="295"/>
      <c r="AX63" s="295"/>
      <c r="AY63" s="295"/>
      <c r="AZ63" s="295"/>
      <c r="BA63" s="295"/>
      <c r="BB63" s="295"/>
      <c r="BC63" s="295"/>
      <c r="BD63" s="295"/>
      <c r="BE63" s="296"/>
      <c r="BF63" s="304"/>
      <c r="BG63" s="304"/>
      <c r="BH63" s="304"/>
      <c r="BI63" s="304"/>
      <c r="BJ63" s="304"/>
      <c r="BK63" s="304"/>
      <c r="BL63" s="304"/>
      <c r="BM63" s="304"/>
      <c r="BN63" s="304"/>
      <c r="BO63" s="304"/>
      <c r="BP63" s="304"/>
      <c r="BQ63" s="304"/>
      <c r="BR63" s="304"/>
      <c r="BS63" s="304"/>
      <c r="BT63" s="304"/>
      <c r="BU63" s="305"/>
      <c r="BV63" s="263"/>
      <c r="BW63" s="251"/>
      <c r="BX63" s="251"/>
      <c r="BY63" s="251"/>
      <c r="BZ63" s="251"/>
      <c r="CA63" s="251"/>
      <c r="CB63" s="251"/>
      <c r="CC63" s="251"/>
      <c r="CD63" s="251"/>
      <c r="CE63" s="251"/>
      <c r="CF63" s="251"/>
      <c r="CG63" s="251"/>
      <c r="CH63" s="251"/>
      <c r="CI63" s="251"/>
      <c r="CJ63" s="251"/>
      <c r="CK63" s="251"/>
      <c r="CL63" s="251"/>
      <c r="CM63" s="252"/>
    </row>
    <row r="64" spans="1:91" ht="27" customHeight="1">
      <c r="A64" s="288"/>
      <c r="B64" s="289"/>
      <c r="C64" s="289"/>
      <c r="D64" s="52"/>
      <c r="E64" s="290"/>
      <c r="F64" s="290"/>
      <c r="G64" s="290"/>
      <c r="H64" s="53"/>
      <c r="I64" s="53"/>
      <c r="J64" s="53"/>
      <c r="K64" s="54"/>
      <c r="L64" s="294"/>
      <c r="M64" s="295"/>
      <c r="N64" s="295"/>
      <c r="O64" s="295"/>
      <c r="P64" s="295"/>
      <c r="Q64" s="295"/>
      <c r="R64" s="295"/>
      <c r="S64" s="295"/>
      <c r="T64" s="295"/>
      <c r="U64" s="295"/>
      <c r="V64" s="295"/>
      <c r="W64" s="295"/>
      <c r="X64" s="295"/>
      <c r="Y64" s="295"/>
      <c r="Z64" s="295"/>
      <c r="AA64" s="295"/>
      <c r="AB64" s="295"/>
      <c r="AC64" s="295"/>
      <c r="AD64" s="295"/>
      <c r="AE64" s="295"/>
      <c r="AF64" s="295"/>
      <c r="AG64" s="295"/>
      <c r="AH64" s="295"/>
      <c r="AI64" s="295"/>
      <c r="AJ64" s="295"/>
      <c r="AK64" s="295"/>
      <c r="AL64" s="295"/>
      <c r="AM64" s="295"/>
      <c r="AN64" s="295"/>
      <c r="AO64" s="295"/>
      <c r="AP64" s="295"/>
      <c r="AQ64" s="295"/>
      <c r="AR64" s="295"/>
      <c r="AS64" s="295"/>
      <c r="AT64" s="295"/>
      <c r="AU64" s="295"/>
      <c r="AV64" s="295"/>
      <c r="AW64" s="295"/>
      <c r="AX64" s="295"/>
      <c r="AY64" s="295"/>
      <c r="AZ64" s="295"/>
      <c r="BA64" s="295"/>
      <c r="BB64" s="295"/>
      <c r="BC64" s="295"/>
      <c r="BD64" s="295"/>
      <c r="BE64" s="296"/>
      <c r="BF64" s="247" t="s">
        <v>89</v>
      </c>
      <c r="BG64" s="247"/>
      <c r="BH64" s="247"/>
      <c r="BI64" s="247"/>
      <c r="BJ64" s="247"/>
      <c r="BK64" s="247"/>
      <c r="BL64" s="247"/>
      <c r="BM64" s="247"/>
      <c r="BN64" s="247"/>
      <c r="BO64" s="247"/>
      <c r="BP64" s="247"/>
      <c r="BQ64" s="247"/>
      <c r="BR64" s="247"/>
      <c r="BS64" s="247"/>
      <c r="BT64" s="247"/>
      <c r="BU64" s="248"/>
      <c r="BV64" s="279" t="s">
        <v>90</v>
      </c>
      <c r="BW64" s="280"/>
      <c r="BX64" s="280"/>
      <c r="BY64" s="280"/>
      <c r="BZ64" s="280"/>
      <c r="CA64" s="280"/>
      <c r="CB64" s="280"/>
      <c r="CC64" s="280"/>
      <c r="CD64" s="280"/>
      <c r="CE64" s="280"/>
      <c r="CF64" s="280"/>
      <c r="CG64" s="280"/>
      <c r="CH64" s="280"/>
      <c r="CI64" s="280"/>
      <c r="CJ64" s="280"/>
      <c r="CK64" s="280"/>
      <c r="CL64" s="280"/>
      <c r="CM64" s="281"/>
    </row>
    <row r="65" spans="1:91" ht="25.5" customHeight="1">
      <c r="A65" s="288"/>
      <c r="B65" s="289"/>
      <c r="C65" s="289"/>
      <c r="D65" s="52"/>
      <c r="E65" s="290"/>
      <c r="F65" s="290"/>
      <c r="G65" s="290"/>
      <c r="H65" s="53"/>
      <c r="I65" s="53"/>
      <c r="J65" s="53"/>
      <c r="K65" s="54"/>
      <c r="L65" s="294"/>
      <c r="M65" s="295"/>
      <c r="N65" s="295"/>
      <c r="O65" s="295"/>
      <c r="P65" s="295"/>
      <c r="Q65" s="295"/>
      <c r="R65" s="295"/>
      <c r="S65" s="295"/>
      <c r="T65" s="295"/>
      <c r="U65" s="295"/>
      <c r="V65" s="295"/>
      <c r="W65" s="295"/>
      <c r="X65" s="295"/>
      <c r="Y65" s="295"/>
      <c r="Z65" s="295"/>
      <c r="AA65" s="295"/>
      <c r="AB65" s="295"/>
      <c r="AC65" s="295"/>
      <c r="AD65" s="295"/>
      <c r="AE65" s="295"/>
      <c r="AF65" s="295"/>
      <c r="AG65" s="295"/>
      <c r="AH65" s="295"/>
      <c r="AI65" s="295"/>
      <c r="AJ65" s="295"/>
      <c r="AK65" s="295"/>
      <c r="AL65" s="295"/>
      <c r="AM65" s="295"/>
      <c r="AN65" s="295"/>
      <c r="AO65" s="295"/>
      <c r="AP65" s="295"/>
      <c r="AQ65" s="295"/>
      <c r="AR65" s="295"/>
      <c r="AS65" s="295"/>
      <c r="AT65" s="295"/>
      <c r="AU65" s="295"/>
      <c r="AV65" s="295"/>
      <c r="AW65" s="295"/>
      <c r="AX65" s="295"/>
      <c r="AY65" s="295"/>
      <c r="AZ65" s="295"/>
      <c r="BA65" s="295"/>
      <c r="BB65" s="295"/>
      <c r="BC65" s="295"/>
      <c r="BD65" s="295"/>
      <c r="BE65" s="296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50"/>
      <c r="BV65" s="282"/>
      <c r="BW65" s="283"/>
      <c r="BX65" s="283"/>
      <c r="BY65" s="283"/>
      <c r="BZ65" s="283"/>
      <c r="CA65" s="283"/>
      <c r="CB65" s="283"/>
      <c r="CC65" s="283"/>
      <c r="CD65" s="283"/>
      <c r="CE65" s="283"/>
      <c r="CF65" s="283"/>
      <c r="CG65" s="283"/>
      <c r="CH65" s="283"/>
      <c r="CI65" s="283"/>
      <c r="CJ65" s="283"/>
      <c r="CK65" s="283"/>
      <c r="CL65" s="283"/>
      <c r="CM65" s="284"/>
    </row>
    <row r="66" spans="1:91" ht="25.5" customHeight="1" thickBot="1">
      <c r="A66" s="288"/>
      <c r="B66" s="289"/>
      <c r="C66" s="289"/>
      <c r="D66" s="52"/>
      <c r="E66" s="290"/>
      <c r="F66" s="290"/>
      <c r="G66" s="290"/>
      <c r="H66" s="53"/>
      <c r="I66" s="53"/>
      <c r="J66" s="53"/>
      <c r="K66" s="54"/>
      <c r="L66" s="294"/>
      <c r="M66" s="295"/>
      <c r="N66" s="295"/>
      <c r="O66" s="295"/>
      <c r="P66" s="295"/>
      <c r="Q66" s="295"/>
      <c r="R66" s="295"/>
      <c r="S66" s="295"/>
      <c r="T66" s="295"/>
      <c r="U66" s="295"/>
      <c r="V66" s="295"/>
      <c r="W66" s="295"/>
      <c r="X66" s="295"/>
      <c r="Y66" s="295"/>
      <c r="Z66" s="295"/>
      <c r="AA66" s="295"/>
      <c r="AB66" s="295"/>
      <c r="AC66" s="295"/>
      <c r="AD66" s="295"/>
      <c r="AE66" s="295"/>
      <c r="AF66" s="295"/>
      <c r="AG66" s="295"/>
      <c r="AH66" s="295"/>
      <c r="AI66" s="295"/>
      <c r="AJ66" s="295"/>
      <c r="AK66" s="295"/>
      <c r="AL66" s="295"/>
      <c r="AM66" s="295"/>
      <c r="AN66" s="295"/>
      <c r="AO66" s="295"/>
      <c r="AP66" s="295"/>
      <c r="AQ66" s="295"/>
      <c r="AR66" s="295"/>
      <c r="AS66" s="295"/>
      <c r="AT66" s="295"/>
      <c r="AU66" s="295"/>
      <c r="AV66" s="295"/>
      <c r="AW66" s="295"/>
      <c r="AX66" s="295"/>
      <c r="AY66" s="295"/>
      <c r="AZ66" s="295"/>
      <c r="BA66" s="295"/>
      <c r="BB66" s="295"/>
      <c r="BC66" s="295"/>
      <c r="BD66" s="295"/>
      <c r="BE66" s="296"/>
      <c r="BF66" s="251"/>
      <c r="BG66" s="251"/>
      <c r="BH66" s="251"/>
      <c r="BI66" s="251"/>
      <c r="BJ66" s="251"/>
      <c r="BK66" s="251"/>
      <c r="BL66" s="251"/>
      <c r="BM66" s="251"/>
      <c r="BN66" s="251"/>
      <c r="BO66" s="251"/>
      <c r="BP66" s="251"/>
      <c r="BQ66" s="251"/>
      <c r="BR66" s="251"/>
      <c r="BS66" s="251"/>
      <c r="BT66" s="251"/>
      <c r="BU66" s="252"/>
      <c r="BV66" s="285"/>
      <c r="BW66" s="286"/>
      <c r="BX66" s="286"/>
      <c r="BY66" s="286"/>
      <c r="BZ66" s="286"/>
      <c r="CA66" s="286"/>
      <c r="CB66" s="286"/>
      <c r="CC66" s="286"/>
      <c r="CD66" s="286"/>
      <c r="CE66" s="286"/>
      <c r="CF66" s="286"/>
      <c r="CG66" s="286"/>
      <c r="CH66" s="286"/>
      <c r="CI66" s="286"/>
      <c r="CJ66" s="286"/>
      <c r="CK66" s="286"/>
      <c r="CL66" s="286"/>
      <c r="CM66" s="287"/>
    </row>
    <row r="67" spans="1:91" ht="25.5" customHeight="1">
      <c r="A67" s="255" t="e">
        <f>IF(#REF!&lt;&gt;"",#REF!,"")</f>
        <v>#REF!</v>
      </c>
      <c r="B67" s="256"/>
      <c r="C67" s="256"/>
      <c r="D67" s="185"/>
      <c r="E67" s="257" t="e">
        <f>IF(#REF!&lt;&gt;"",#REF!,"")</f>
        <v>#REF!</v>
      </c>
      <c r="F67" s="257"/>
      <c r="G67" s="257"/>
      <c r="H67" s="186" t="e">
        <f>IF(#REF!&lt;&gt;"",#REF!,"")</f>
        <v>#REF!</v>
      </c>
      <c r="I67" s="186" t="e">
        <f>IF(#REF!&lt;&gt;"",#REF!,"")</f>
        <v>#REF!</v>
      </c>
      <c r="J67" s="186" t="e">
        <f>IF(#REF!&lt;&gt;"",#REF!,"")</f>
        <v>#REF!</v>
      </c>
      <c r="K67" s="187" t="e">
        <f>IF(#REF!&lt;&gt;"",#REF!,"")</f>
        <v>#REF!</v>
      </c>
      <c r="L67" s="294"/>
      <c r="M67" s="295"/>
      <c r="N67" s="295"/>
      <c r="O67" s="295"/>
      <c r="P67" s="295"/>
      <c r="Q67" s="295"/>
      <c r="R67" s="295"/>
      <c r="S67" s="295"/>
      <c r="T67" s="295"/>
      <c r="U67" s="295"/>
      <c r="V67" s="295"/>
      <c r="W67" s="295"/>
      <c r="X67" s="295"/>
      <c r="Y67" s="295"/>
      <c r="Z67" s="295"/>
      <c r="AA67" s="295"/>
      <c r="AB67" s="295"/>
      <c r="AC67" s="295"/>
      <c r="AD67" s="295"/>
      <c r="AE67" s="295"/>
      <c r="AF67" s="295"/>
      <c r="AG67" s="295"/>
      <c r="AH67" s="295"/>
      <c r="AI67" s="295"/>
      <c r="AJ67" s="295"/>
      <c r="AK67" s="295"/>
      <c r="AL67" s="295"/>
      <c r="AM67" s="295"/>
      <c r="AN67" s="295"/>
      <c r="AO67" s="295"/>
      <c r="AP67" s="295"/>
      <c r="AQ67" s="295"/>
      <c r="AR67" s="295"/>
      <c r="AS67" s="295"/>
      <c r="AT67" s="295"/>
      <c r="AU67" s="295"/>
      <c r="AV67" s="295"/>
      <c r="AW67" s="295"/>
      <c r="AX67" s="295"/>
      <c r="AY67" s="295"/>
      <c r="AZ67" s="295"/>
      <c r="BA67" s="295"/>
      <c r="BB67" s="295"/>
      <c r="BC67" s="295"/>
      <c r="BD67" s="295"/>
      <c r="BE67" s="296"/>
      <c r="BF67" s="272" t="s">
        <v>34</v>
      </c>
      <c r="BG67" s="272"/>
      <c r="BH67" s="272"/>
      <c r="BI67" s="272"/>
      <c r="BJ67" s="272"/>
      <c r="BK67" s="272"/>
      <c r="BL67" s="272"/>
      <c r="BM67" s="272"/>
      <c r="BN67" s="272"/>
      <c r="BO67" s="272"/>
      <c r="BP67" s="272"/>
      <c r="BQ67" s="272"/>
      <c r="BR67" s="272"/>
      <c r="BS67" s="272"/>
      <c r="BT67" s="272"/>
      <c r="BU67" s="254"/>
      <c r="BV67" s="273" t="s">
        <v>35</v>
      </c>
      <c r="BW67" s="272"/>
      <c r="BX67" s="274"/>
      <c r="BY67" s="253" t="s">
        <v>36</v>
      </c>
      <c r="BZ67" s="272"/>
      <c r="CA67" s="272"/>
      <c r="CB67" s="272"/>
      <c r="CC67" s="272"/>
      <c r="CD67" s="272"/>
      <c r="CE67" s="272"/>
      <c r="CF67" s="272"/>
      <c r="CG67" s="272"/>
      <c r="CH67" s="272"/>
      <c r="CI67" s="272"/>
      <c r="CJ67" s="272"/>
      <c r="CK67" s="274"/>
      <c r="CL67" s="253" t="s">
        <v>37</v>
      </c>
      <c r="CM67" s="254"/>
    </row>
    <row r="68" spans="1:91" ht="25.5" customHeight="1">
      <c r="A68" s="255" t="e">
        <f>IF(#REF!&lt;&gt;"",#REF!,"")</f>
        <v>#REF!</v>
      </c>
      <c r="B68" s="256"/>
      <c r="C68" s="256"/>
      <c r="D68" s="185"/>
      <c r="E68" s="257" t="e">
        <f>IF(#REF!&lt;&gt;"",#REF!,"")</f>
        <v>#REF!</v>
      </c>
      <c r="F68" s="257"/>
      <c r="G68" s="257"/>
      <c r="H68" s="186" t="e">
        <f>IF(#REF!&lt;&gt;"",#REF!,"")</f>
        <v>#REF!</v>
      </c>
      <c r="I68" s="186" t="e">
        <f>IF(#REF!&lt;&gt;"",#REF!,"")</f>
        <v>#REF!</v>
      </c>
      <c r="J68" s="186" t="e">
        <f>IF(#REF!&lt;&gt;"",#REF!,"")</f>
        <v>#REF!</v>
      </c>
      <c r="K68" s="187" t="e">
        <f>IF(#REF!&lt;&gt;"",#REF!,"")</f>
        <v>#REF!</v>
      </c>
      <c r="L68" s="294"/>
      <c r="M68" s="295"/>
      <c r="N68" s="295"/>
      <c r="O68" s="295"/>
      <c r="P68" s="295"/>
      <c r="Q68" s="295"/>
      <c r="R68" s="295"/>
      <c r="S68" s="295"/>
      <c r="T68" s="295"/>
      <c r="U68" s="295"/>
      <c r="V68" s="295"/>
      <c r="W68" s="295"/>
      <c r="X68" s="295"/>
      <c r="Y68" s="295"/>
      <c r="Z68" s="295"/>
      <c r="AA68" s="295"/>
      <c r="AB68" s="295"/>
      <c r="AC68" s="295"/>
      <c r="AD68" s="295"/>
      <c r="AE68" s="295"/>
      <c r="AF68" s="295"/>
      <c r="AG68" s="295"/>
      <c r="AH68" s="295"/>
      <c r="AI68" s="295"/>
      <c r="AJ68" s="295"/>
      <c r="AK68" s="295"/>
      <c r="AL68" s="295"/>
      <c r="AM68" s="295"/>
      <c r="AN68" s="295"/>
      <c r="AO68" s="295"/>
      <c r="AP68" s="295"/>
      <c r="AQ68" s="295"/>
      <c r="AR68" s="295"/>
      <c r="AS68" s="295"/>
      <c r="AT68" s="295"/>
      <c r="AU68" s="295"/>
      <c r="AV68" s="295"/>
      <c r="AW68" s="295"/>
      <c r="AX68" s="295"/>
      <c r="AY68" s="295"/>
      <c r="AZ68" s="295"/>
      <c r="BA68" s="295"/>
      <c r="BB68" s="295"/>
      <c r="BC68" s="295"/>
      <c r="BD68" s="295"/>
      <c r="BE68" s="296"/>
      <c r="BF68" s="258" t="s">
        <v>5</v>
      </c>
      <c r="BG68" s="259"/>
      <c r="BH68" s="259"/>
      <c r="BI68" s="259"/>
      <c r="BJ68" s="259"/>
      <c r="BK68" s="259"/>
      <c r="BL68" s="259"/>
      <c r="BM68" s="259"/>
      <c r="BN68" s="259"/>
      <c r="BO68" s="259"/>
      <c r="BP68" s="259"/>
      <c r="BQ68" s="259"/>
      <c r="BR68" s="259"/>
      <c r="BS68" s="259"/>
      <c r="BT68" s="259"/>
      <c r="BU68" s="260"/>
      <c r="BV68" s="261" t="s">
        <v>12</v>
      </c>
      <c r="BW68" s="259"/>
      <c r="BX68" s="262"/>
      <c r="BY68" s="265" t="s">
        <v>1700</v>
      </c>
      <c r="BZ68" s="266"/>
      <c r="CA68" s="266"/>
      <c r="CB68" s="266"/>
      <c r="CC68" s="266"/>
      <c r="CD68" s="266"/>
      <c r="CE68" s="266"/>
      <c r="CF68" s="266"/>
      <c r="CG68" s="266"/>
      <c r="CH68" s="266"/>
      <c r="CI68" s="266"/>
      <c r="CJ68" s="266"/>
      <c r="CK68" s="267"/>
      <c r="CL68" s="227" t="s">
        <v>11</v>
      </c>
      <c r="CM68" s="260"/>
    </row>
    <row r="69" spans="1:91" ht="25.5" customHeight="1" thickBot="1">
      <c r="A69" s="255" t="e">
        <f>IF(#REF!&lt;&gt;"",#REF!,"")</f>
        <v>#REF!</v>
      </c>
      <c r="B69" s="256"/>
      <c r="C69" s="256"/>
      <c r="D69" s="185"/>
      <c r="E69" s="257" t="e">
        <f>IF(#REF!&lt;&gt;"",#REF!,"")</f>
        <v>#REF!</v>
      </c>
      <c r="F69" s="257"/>
      <c r="G69" s="257"/>
      <c r="H69" s="186" t="e">
        <f>IF(#REF!&lt;&gt;"",#REF!,"")</f>
        <v>#REF!</v>
      </c>
      <c r="I69" s="186" t="e">
        <f>IF(#REF!&lt;&gt;"",#REF!,"")</f>
        <v>#REF!</v>
      </c>
      <c r="J69" s="186" t="e">
        <f>IF(#REF!&lt;&gt;"",#REF!,"")</f>
        <v>#REF!</v>
      </c>
      <c r="K69" s="187" t="e">
        <f>IF(#REF!&lt;&gt;"",#REF!,"")</f>
        <v>#REF!</v>
      </c>
      <c r="L69" s="297"/>
      <c r="M69" s="298"/>
      <c r="N69" s="298"/>
      <c r="O69" s="298"/>
      <c r="P69" s="298"/>
      <c r="Q69" s="298"/>
      <c r="R69" s="298"/>
      <c r="S69" s="298"/>
      <c r="T69" s="298"/>
      <c r="U69" s="298"/>
      <c r="V69" s="298"/>
      <c r="W69" s="298"/>
      <c r="X69" s="298"/>
      <c r="Y69" s="298"/>
      <c r="Z69" s="298"/>
      <c r="AA69" s="298"/>
      <c r="AB69" s="298"/>
      <c r="AC69" s="298"/>
      <c r="AD69" s="298"/>
      <c r="AE69" s="298"/>
      <c r="AF69" s="298"/>
      <c r="AG69" s="298"/>
      <c r="AH69" s="298"/>
      <c r="AI69" s="298"/>
      <c r="AJ69" s="298"/>
      <c r="AK69" s="298"/>
      <c r="AL69" s="298"/>
      <c r="AM69" s="298"/>
      <c r="AN69" s="298"/>
      <c r="AO69" s="298"/>
      <c r="AP69" s="298"/>
      <c r="AQ69" s="298"/>
      <c r="AR69" s="298"/>
      <c r="AS69" s="298"/>
      <c r="AT69" s="298"/>
      <c r="AU69" s="298"/>
      <c r="AV69" s="298"/>
      <c r="AW69" s="298"/>
      <c r="AX69" s="298"/>
      <c r="AY69" s="298"/>
      <c r="AZ69" s="298"/>
      <c r="BA69" s="298"/>
      <c r="BB69" s="298"/>
      <c r="BC69" s="298"/>
      <c r="BD69" s="298"/>
      <c r="BE69" s="299"/>
      <c r="BF69" s="251"/>
      <c r="BG69" s="251"/>
      <c r="BH69" s="251"/>
      <c r="BI69" s="251"/>
      <c r="BJ69" s="251"/>
      <c r="BK69" s="251"/>
      <c r="BL69" s="251"/>
      <c r="BM69" s="251"/>
      <c r="BN69" s="251"/>
      <c r="BO69" s="251"/>
      <c r="BP69" s="251"/>
      <c r="BQ69" s="251"/>
      <c r="BR69" s="251"/>
      <c r="BS69" s="251"/>
      <c r="BT69" s="251"/>
      <c r="BU69" s="252"/>
      <c r="BV69" s="263"/>
      <c r="BW69" s="251"/>
      <c r="BX69" s="264"/>
      <c r="BY69" s="268"/>
      <c r="BZ69" s="269"/>
      <c r="CA69" s="269"/>
      <c r="CB69" s="269"/>
      <c r="CC69" s="269"/>
      <c r="CD69" s="269"/>
      <c r="CE69" s="269"/>
      <c r="CF69" s="269"/>
      <c r="CG69" s="269"/>
      <c r="CH69" s="269"/>
      <c r="CI69" s="269"/>
      <c r="CJ69" s="269"/>
      <c r="CK69" s="270"/>
      <c r="CL69" s="271"/>
      <c r="CM69" s="252"/>
    </row>
    <row r="70" spans="1:91" ht="12" customHeight="1">
      <c r="A70" s="55"/>
      <c r="B70" s="56"/>
      <c r="C70" s="56"/>
      <c r="D70" s="56"/>
      <c r="E70" s="57"/>
      <c r="F70" s="58"/>
      <c r="G70" s="58"/>
      <c r="H70" s="58"/>
      <c r="I70" s="59"/>
      <c r="BL70" s="17"/>
      <c r="BM70" s="17"/>
      <c r="BN70" s="17"/>
      <c r="BO70" s="17"/>
      <c r="BP70" s="17"/>
      <c r="BQ70" s="17"/>
      <c r="BR70" s="17"/>
      <c r="BS70" s="17"/>
      <c r="BT70" s="61"/>
      <c r="CD70" s="57"/>
      <c r="CE70" s="57"/>
      <c r="CF70" s="57"/>
      <c r="CG70" s="57"/>
      <c r="CH70" s="57"/>
      <c r="CI70" s="57"/>
      <c r="CJ70" s="57"/>
      <c r="CK70" s="57"/>
      <c r="CL70" s="57"/>
      <c r="CM70" s="57"/>
    </row>
  </sheetData>
  <mergeCells count="45"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BV64:CM66"/>
    <mergeCell ref="A65:C65"/>
    <mergeCell ref="E65:G65"/>
    <mergeCell ref="A66:C66"/>
    <mergeCell ref="E66:G66"/>
    <mergeCell ref="A67:C67"/>
    <mergeCell ref="E67:G67"/>
    <mergeCell ref="BF67:BU67"/>
    <mergeCell ref="BV67:BX67"/>
    <mergeCell ref="BY67:CK67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BF64:BU66"/>
    <mergeCell ref="G7:G9"/>
    <mergeCell ref="H7:H9"/>
    <mergeCell ref="I7:K7"/>
    <mergeCell ref="J8:K8"/>
    <mergeCell ref="A61:C61"/>
    <mergeCell ref="E61:G61"/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29" orientation="landscape" r:id="rId1"/>
  <headerFooter alignWithMargins="0">
    <oddFooter xml:space="preserve">&amp;L&amp;Z&amp;F&amp;C&amp;D&amp;RConcise DesignShutdown Key 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DQ70"/>
  <sheetViews>
    <sheetView showGridLines="0" view="pageBreakPreview" topLeftCell="C1" zoomScale="50" zoomScaleNormal="50" zoomScaleSheetLayoutView="50" zoomScalePageLayoutView="50" workbookViewId="0">
      <selection activeCell="I1" sqref="I1:K9"/>
    </sheetView>
  </sheetViews>
  <sheetFormatPr defaultColWidth="12.7109375" defaultRowHeight="12" customHeight="1"/>
  <cols>
    <col min="1" max="1" width="8.7109375" style="21" hidden="1" customWidth="1"/>
    <col min="2" max="2" width="7.42578125" style="21" hidden="1" customWidth="1"/>
    <col min="3" max="3" width="19" style="21" customWidth="1"/>
    <col min="4" max="4" width="25.42578125" style="21" hidden="1" customWidth="1"/>
    <col min="5" max="5" width="95.85546875" style="27" bestFit="1" customWidth="1"/>
    <col min="6" max="6" width="18.42578125" style="196" hidden="1" customWidth="1"/>
    <col min="7" max="7" width="31.5703125" style="196" bestFit="1" customWidth="1"/>
    <col min="8" max="8" width="33" style="196" bestFit="1" customWidth="1"/>
    <col min="9" max="10" width="8.42578125" style="41" customWidth="1"/>
    <col min="11" max="11" width="10.85546875" style="41" bestFit="1" customWidth="1"/>
    <col min="12" max="12" width="6.140625" style="60" hidden="1" customWidth="1"/>
    <col min="13" max="14" width="6.140625" style="27" customWidth="1"/>
    <col min="15" max="16" width="6.140625" style="27" hidden="1" customWidth="1"/>
    <col min="17" max="21" width="6.140625" style="27" customWidth="1"/>
    <col min="22" max="22" width="6.140625" style="60" customWidth="1"/>
    <col min="23" max="31" width="6.140625" style="27" customWidth="1"/>
    <col min="32" max="32" width="6.140625" style="60" customWidth="1"/>
    <col min="33" max="41" width="6.140625" style="27" customWidth="1"/>
    <col min="42" max="42" width="6.140625" style="60" customWidth="1"/>
    <col min="43" max="51" width="6.140625" style="27" customWidth="1"/>
    <col min="52" max="52" width="6.140625" style="60" customWidth="1"/>
    <col min="53" max="61" width="6.140625" style="27" customWidth="1"/>
    <col min="62" max="62" width="6.140625" style="60" customWidth="1"/>
    <col min="63" max="71" width="6.140625" style="27" customWidth="1"/>
    <col min="72" max="72" width="6.140625" style="60" customWidth="1"/>
    <col min="73" max="80" width="6.140625" style="27" customWidth="1"/>
    <col min="81" max="81" width="6.140625" style="62" customWidth="1"/>
    <col min="82" max="91" width="6.140625" style="27" customWidth="1"/>
    <col min="92" max="16384" width="12.7109375" style="27"/>
  </cols>
  <sheetData>
    <row r="1" spans="1:121" s="194" customFormat="1" ht="20.25" customHeight="1">
      <c r="A1" s="15"/>
      <c r="B1" s="16"/>
      <c r="C1" s="16"/>
      <c r="D1" s="16"/>
      <c r="E1" s="17"/>
      <c r="F1" s="195"/>
      <c r="G1" s="195"/>
      <c r="H1" s="195"/>
      <c r="I1" s="18"/>
      <c r="J1" s="19" t="s">
        <v>13</v>
      </c>
      <c r="K1" s="20"/>
      <c r="L1" s="407">
        <v>1</v>
      </c>
      <c r="M1" s="402">
        <v>2</v>
      </c>
      <c r="N1" s="402">
        <v>3</v>
      </c>
      <c r="O1" s="402">
        <v>4</v>
      </c>
      <c r="P1" s="408">
        <v>6</v>
      </c>
      <c r="Q1" s="407">
        <v>7</v>
      </c>
      <c r="R1" s="402">
        <v>238</v>
      </c>
      <c r="S1" s="402">
        <v>889</v>
      </c>
      <c r="T1" s="402">
        <v>887</v>
      </c>
      <c r="U1" s="409">
        <v>888</v>
      </c>
      <c r="V1" s="401">
        <v>231</v>
      </c>
      <c r="W1" s="403">
        <v>7777</v>
      </c>
      <c r="X1" s="403"/>
      <c r="Y1" s="403"/>
      <c r="Z1" s="406"/>
      <c r="AA1" s="410"/>
      <c r="AB1" s="403"/>
      <c r="AC1" s="403"/>
      <c r="AD1" s="403"/>
      <c r="AE1" s="404"/>
      <c r="AF1" s="405"/>
      <c r="AG1" s="403"/>
      <c r="AH1" s="403"/>
      <c r="AI1" s="403"/>
      <c r="AJ1" s="406"/>
      <c r="AK1" s="410"/>
      <c r="AL1" s="403"/>
      <c r="AM1" s="403"/>
      <c r="AN1" s="403"/>
      <c r="AO1" s="404"/>
      <c r="AP1" s="405"/>
      <c r="AQ1" s="403"/>
      <c r="AR1" s="403"/>
      <c r="AS1" s="403"/>
      <c r="AT1" s="406"/>
      <c r="AU1" s="410"/>
      <c r="AV1" s="403"/>
      <c r="AW1" s="403"/>
      <c r="AX1" s="403"/>
      <c r="AY1" s="404"/>
      <c r="AZ1" s="405"/>
      <c r="BA1" s="403"/>
      <c r="BB1" s="403"/>
      <c r="BC1" s="403"/>
      <c r="BD1" s="406"/>
      <c r="BE1" s="410"/>
      <c r="BF1" s="403"/>
      <c r="BG1" s="403"/>
      <c r="BH1" s="403"/>
      <c r="BI1" s="404"/>
      <c r="BJ1" s="405"/>
      <c r="BK1" s="403"/>
      <c r="BL1" s="403"/>
      <c r="BM1" s="403"/>
      <c r="BN1" s="406"/>
      <c r="BO1" s="410"/>
      <c r="BP1" s="403"/>
      <c r="BQ1" s="403"/>
      <c r="BR1" s="403"/>
      <c r="BS1" s="404"/>
      <c r="BT1" s="405"/>
      <c r="BU1" s="403"/>
      <c r="BV1" s="403"/>
      <c r="BW1" s="403"/>
      <c r="BX1" s="406"/>
      <c r="BY1" s="410"/>
      <c r="BZ1" s="403"/>
      <c r="CA1" s="403"/>
      <c r="CB1" s="403"/>
      <c r="CC1" s="404"/>
      <c r="CD1" s="405"/>
      <c r="CE1" s="403"/>
      <c r="CF1" s="403"/>
      <c r="CG1" s="403"/>
      <c r="CH1" s="404"/>
      <c r="CI1" s="405"/>
      <c r="CJ1" s="403"/>
      <c r="CK1" s="403"/>
      <c r="CL1" s="403"/>
      <c r="CM1" s="406"/>
      <c r="CN1" s="21"/>
      <c r="CO1" s="21"/>
      <c r="CP1" s="21"/>
      <c r="CQ1" s="21"/>
      <c r="CR1" s="21"/>
      <c r="CS1" s="21"/>
      <c r="CT1" s="21"/>
      <c r="CU1" s="21"/>
      <c r="CV1" s="21"/>
      <c r="CW1" s="21"/>
      <c r="CX1" s="21"/>
      <c r="CY1" s="21"/>
      <c r="CZ1" s="21"/>
      <c r="DA1" s="21"/>
      <c r="DB1" s="21"/>
      <c r="DC1" s="21"/>
      <c r="DD1" s="21"/>
      <c r="DE1" s="21"/>
      <c r="DF1" s="21"/>
      <c r="DG1" s="21"/>
      <c r="DH1" s="21"/>
      <c r="DI1" s="21"/>
      <c r="DJ1" s="21"/>
      <c r="DK1" s="21"/>
      <c r="DL1" s="21"/>
      <c r="DM1" s="21"/>
      <c r="DN1" s="21"/>
      <c r="DO1" s="21"/>
      <c r="DP1" s="21"/>
      <c r="DQ1" s="21"/>
    </row>
    <row r="2" spans="1:121" s="194" customFormat="1" ht="24" customHeight="1" thickBot="1">
      <c r="A2" s="22"/>
      <c r="B2" s="21"/>
      <c r="C2" s="21"/>
      <c r="D2" s="21"/>
      <c r="F2" s="196"/>
      <c r="G2" s="196"/>
      <c r="H2" s="196"/>
      <c r="I2" s="23"/>
      <c r="J2" s="24" t="s">
        <v>14</v>
      </c>
      <c r="K2" s="25"/>
      <c r="L2" s="388" t="s">
        <v>11</v>
      </c>
      <c r="M2" s="387" t="s">
        <v>11</v>
      </c>
      <c r="N2" s="387" t="s">
        <v>11</v>
      </c>
      <c r="O2" s="387" t="s">
        <v>11</v>
      </c>
      <c r="P2" s="389" t="s">
        <v>11</v>
      </c>
      <c r="Q2" s="388" t="s">
        <v>77</v>
      </c>
      <c r="R2" s="387" t="s">
        <v>11</v>
      </c>
      <c r="S2" s="387" t="s">
        <v>11</v>
      </c>
      <c r="T2" s="387" t="s">
        <v>11</v>
      </c>
      <c r="U2" s="390" t="s">
        <v>11</v>
      </c>
      <c r="V2" s="386" t="s">
        <v>11</v>
      </c>
      <c r="W2" s="372" t="s">
        <v>11</v>
      </c>
      <c r="X2" s="372"/>
      <c r="Y2" s="372"/>
      <c r="Z2" s="373"/>
      <c r="AA2" s="374"/>
      <c r="AB2" s="372"/>
      <c r="AC2" s="372"/>
      <c r="AD2" s="372"/>
      <c r="AE2" s="371"/>
      <c r="AF2" s="375"/>
      <c r="AG2" s="372"/>
      <c r="AH2" s="372"/>
      <c r="AI2" s="372"/>
      <c r="AJ2" s="373"/>
      <c r="AK2" s="374"/>
      <c r="AL2" s="372"/>
      <c r="AM2" s="372"/>
      <c r="AN2" s="372"/>
      <c r="AO2" s="371"/>
      <c r="AP2" s="375"/>
      <c r="AQ2" s="372"/>
      <c r="AR2" s="372"/>
      <c r="AS2" s="372"/>
      <c r="AT2" s="373"/>
      <c r="AU2" s="374"/>
      <c r="AV2" s="372"/>
      <c r="AW2" s="372"/>
      <c r="AX2" s="372"/>
      <c r="AY2" s="371"/>
      <c r="AZ2" s="375"/>
      <c r="BA2" s="372"/>
      <c r="BB2" s="372"/>
      <c r="BC2" s="372"/>
      <c r="BD2" s="373"/>
      <c r="BE2" s="374"/>
      <c r="BF2" s="372"/>
      <c r="BG2" s="372"/>
      <c r="BH2" s="372"/>
      <c r="BI2" s="371"/>
      <c r="BJ2" s="375"/>
      <c r="BK2" s="372"/>
      <c r="BL2" s="372"/>
      <c r="BM2" s="372"/>
      <c r="BN2" s="373"/>
      <c r="BO2" s="374"/>
      <c r="BP2" s="372"/>
      <c r="BQ2" s="372"/>
      <c r="BR2" s="372"/>
      <c r="BS2" s="371"/>
      <c r="BT2" s="375"/>
      <c r="BU2" s="372"/>
      <c r="BV2" s="372"/>
      <c r="BW2" s="372"/>
      <c r="BX2" s="373"/>
      <c r="BY2" s="374"/>
      <c r="BZ2" s="372"/>
      <c r="CA2" s="372"/>
      <c r="CB2" s="372"/>
      <c r="CC2" s="371"/>
      <c r="CD2" s="375"/>
      <c r="CE2" s="372"/>
      <c r="CF2" s="372"/>
      <c r="CG2" s="372"/>
      <c r="CH2" s="371"/>
      <c r="CI2" s="375"/>
      <c r="CJ2" s="372"/>
      <c r="CK2" s="372"/>
      <c r="CL2" s="372"/>
      <c r="CM2" s="373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  <c r="DO2" s="26"/>
      <c r="DP2" s="26"/>
      <c r="DQ2" s="21"/>
    </row>
    <row r="3" spans="1:121" ht="111" customHeight="1">
      <c r="A3" s="22"/>
      <c r="I3" s="307" t="s">
        <v>15</v>
      </c>
      <c r="J3" s="308"/>
      <c r="K3" s="309"/>
      <c r="L3" s="421" t="s">
        <v>76</v>
      </c>
      <c r="M3" s="422" t="s">
        <v>76</v>
      </c>
      <c r="N3" s="422" t="s">
        <v>76</v>
      </c>
      <c r="O3" s="422" t="s">
        <v>76</v>
      </c>
      <c r="P3" s="423" t="s">
        <v>76</v>
      </c>
      <c r="Q3" s="421"/>
      <c r="R3" s="422" t="s">
        <v>16</v>
      </c>
      <c r="S3" s="422" t="s">
        <v>44</v>
      </c>
      <c r="T3" s="422" t="s">
        <v>44</v>
      </c>
      <c r="U3" s="424" t="s">
        <v>44</v>
      </c>
      <c r="V3" s="425" t="s">
        <v>44</v>
      </c>
      <c r="W3" s="372" t="s">
        <v>93</v>
      </c>
      <c r="X3" s="372"/>
      <c r="Y3" s="372"/>
      <c r="Z3" s="373"/>
      <c r="AA3" s="374"/>
      <c r="AB3" s="372"/>
      <c r="AC3" s="372"/>
      <c r="AD3" s="372"/>
      <c r="AE3" s="371"/>
      <c r="AF3" s="375"/>
      <c r="AG3" s="372"/>
      <c r="AH3" s="372"/>
      <c r="AI3" s="372"/>
      <c r="AJ3" s="373"/>
      <c r="AK3" s="374"/>
      <c r="AL3" s="372"/>
      <c r="AM3" s="372"/>
      <c r="AN3" s="372"/>
      <c r="AO3" s="371"/>
      <c r="AP3" s="375"/>
      <c r="AQ3" s="372"/>
      <c r="AR3" s="372"/>
      <c r="AS3" s="372"/>
      <c r="AT3" s="373"/>
      <c r="AU3" s="374"/>
      <c r="AV3" s="372"/>
      <c r="AW3" s="372"/>
      <c r="AX3" s="372"/>
      <c r="AY3" s="371"/>
      <c r="AZ3" s="375"/>
      <c r="BA3" s="372"/>
      <c r="BB3" s="372"/>
      <c r="BC3" s="372"/>
      <c r="BD3" s="373"/>
      <c r="BE3" s="374"/>
      <c r="BF3" s="372"/>
      <c r="BG3" s="372"/>
      <c r="BH3" s="372"/>
      <c r="BI3" s="371"/>
      <c r="BJ3" s="375"/>
      <c r="BK3" s="372"/>
      <c r="BL3" s="372"/>
      <c r="BM3" s="372"/>
      <c r="BN3" s="373"/>
      <c r="BO3" s="374"/>
      <c r="BP3" s="372"/>
      <c r="BQ3" s="372"/>
      <c r="BR3" s="372"/>
      <c r="BS3" s="371"/>
      <c r="BT3" s="375"/>
      <c r="BU3" s="372"/>
      <c r="BV3" s="372"/>
      <c r="BW3" s="372"/>
      <c r="BX3" s="373"/>
      <c r="BY3" s="374"/>
      <c r="BZ3" s="372"/>
      <c r="CA3" s="372"/>
      <c r="CB3" s="372"/>
      <c r="CC3" s="371"/>
      <c r="CD3" s="375"/>
      <c r="CE3" s="372"/>
      <c r="CF3" s="372"/>
      <c r="CG3" s="372"/>
      <c r="CH3" s="371"/>
      <c r="CI3" s="375"/>
      <c r="CJ3" s="372"/>
      <c r="CK3" s="372"/>
      <c r="CL3" s="372"/>
      <c r="CM3" s="373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</row>
    <row r="4" spans="1:121" s="29" customFormat="1" ht="156.75" customHeight="1">
      <c r="A4" s="22"/>
      <c r="B4" s="21"/>
      <c r="C4" s="21"/>
      <c r="D4" s="21"/>
      <c r="F4" s="21"/>
      <c r="G4" s="21"/>
      <c r="H4" s="30"/>
      <c r="I4" s="310" t="s">
        <v>17</v>
      </c>
      <c r="J4" s="311"/>
      <c r="K4" s="312"/>
      <c r="L4" s="421" t="s">
        <v>76</v>
      </c>
      <c r="M4" s="422" t="s">
        <v>76</v>
      </c>
      <c r="N4" s="422" t="s">
        <v>76</v>
      </c>
      <c r="O4" s="422" t="s">
        <v>76</v>
      </c>
      <c r="P4" s="423" t="s">
        <v>76</v>
      </c>
      <c r="Q4" s="421" t="s">
        <v>77</v>
      </c>
      <c r="R4" s="422" t="s">
        <v>76</v>
      </c>
      <c r="S4" s="422" t="s">
        <v>76</v>
      </c>
      <c r="T4" s="422" t="s">
        <v>76</v>
      </c>
      <c r="U4" s="424" t="s">
        <v>76</v>
      </c>
      <c r="V4" s="425" t="s">
        <v>76</v>
      </c>
      <c r="W4" s="372" t="s">
        <v>93</v>
      </c>
      <c r="X4" s="372"/>
      <c r="Y4" s="372"/>
      <c r="Z4" s="373"/>
      <c r="AA4" s="374"/>
      <c r="AB4" s="372"/>
      <c r="AC4" s="372"/>
      <c r="AD4" s="372"/>
      <c r="AE4" s="371"/>
      <c r="AF4" s="375"/>
      <c r="AG4" s="372"/>
      <c r="AH4" s="372"/>
      <c r="AI4" s="372"/>
      <c r="AJ4" s="373"/>
      <c r="AK4" s="374"/>
      <c r="AL4" s="372"/>
      <c r="AM4" s="372"/>
      <c r="AN4" s="372"/>
      <c r="AO4" s="371"/>
      <c r="AP4" s="375"/>
      <c r="AQ4" s="372"/>
      <c r="AR4" s="372"/>
      <c r="AS4" s="372"/>
      <c r="AT4" s="373"/>
      <c r="AU4" s="374"/>
      <c r="AV4" s="372"/>
      <c r="AW4" s="372"/>
      <c r="AX4" s="372"/>
      <c r="AY4" s="371"/>
      <c r="AZ4" s="375"/>
      <c r="BA4" s="372"/>
      <c r="BB4" s="372"/>
      <c r="BC4" s="372"/>
      <c r="BD4" s="373"/>
      <c r="BE4" s="374"/>
      <c r="BF4" s="372"/>
      <c r="BG4" s="372"/>
      <c r="BH4" s="372"/>
      <c r="BI4" s="371"/>
      <c r="BJ4" s="375"/>
      <c r="BK4" s="372"/>
      <c r="BL4" s="372"/>
      <c r="BM4" s="372"/>
      <c r="BN4" s="373"/>
      <c r="BO4" s="374"/>
      <c r="BP4" s="372"/>
      <c r="BQ4" s="372"/>
      <c r="BR4" s="372"/>
      <c r="BS4" s="371"/>
      <c r="BT4" s="375"/>
      <c r="BU4" s="372"/>
      <c r="BV4" s="372"/>
      <c r="BW4" s="372"/>
      <c r="BX4" s="373"/>
      <c r="BY4" s="374"/>
      <c r="BZ4" s="372"/>
      <c r="CA4" s="372"/>
      <c r="CB4" s="372"/>
      <c r="CC4" s="371"/>
      <c r="CD4" s="375"/>
      <c r="CE4" s="372"/>
      <c r="CF4" s="372"/>
      <c r="CG4" s="372"/>
      <c r="CH4" s="371"/>
      <c r="CI4" s="375"/>
      <c r="CJ4" s="372"/>
      <c r="CK4" s="372"/>
      <c r="CL4" s="372"/>
      <c r="CM4" s="373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6"/>
      <c r="DF4" s="28"/>
      <c r="DG4" s="26"/>
      <c r="DH4" s="28"/>
      <c r="DI4" s="26"/>
      <c r="DJ4" s="28"/>
      <c r="DK4" s="26"/>
      <c r="DL4" s="28"/>
      <c r="DM4" s="26"/>
      <c r="DN4" s="28"/>
      <c r="DO4" s="26"/>
      <c r="DP4" s="28"/>
      <c r="DQ4" s="28"/>
    </row>
    <row r="5" spans="1:121" s="21" customFormat="1" ht="408" customHeight="1">
      <c r="A5" s="22"/>
      <c r="H5" s="30" t="s">
        <v>18</v>
      </c>
      <c r="I5" s="203" t="s">
        <v>7</v>
      </c>
      <c r="J5" s="204"/>
      <c r="K5" s="313"/>
      <c r="L5" s="426" t="s">
        <v>69</v>
      </c>
      <c r="M5" s="427" t="s">
        <v>72</v>
      </c>
      <c r="N5" s="427" t="s">
        <v>71</v>
      </c>
      <c r="O5" s="427" t="s">
        <v>83</v>
      </c>
      <c r="P5" s="428" t="s">
        <v>82</v>
      </c>
      <c r="Q5" s="426"/>
      <c r="R5" s="427" t="s">
        <v>56</v>
      </c>
      <c r="S5" s="427" t="s">
        <v>59</v>
      </c>
      <c r="T5" s="427" t="s">
        <v>57</v>
      </c>
      <c r="U5" s="429" t="s">
        <v>58</v>
      </c>
      <c r="V5" s="430" t="s">
        <v>55</v>
      </c>
      <c r="W5" s="372" t="s">
        <v>93</v>
      </c>
      <c r="X5" s="372"/>
      <c r="Y5" s="372"/>
      <c r="Z5" s="373"/>
      <c r="AA5" s="374"/>
      <c r="AB5" s="372"/>
      <c r="AC5" s="372"/>
      <c r="AD5" s="372"/>
      <c r="AE5" s="371"/>
      <c r="AF5" s="375"/>
      <c r="AG5" s="372"/>
      <c r="AH5" s="372"/>
      <c r="AI5" s="372"/>
      <c r="AJ5" s="373"/>
      <c r="AK5" s="374"/>
      <c r="AL5" s="372"/>
      <c r="AM5" s="372"/>
      <c r="AN5" s="372"/>
      <c r="AO5" s="371"/>
      <c r="AP5" s="375"/>
      <c r="AQ5" s="372"/>
      <c r="AR5" s="372"/>
      <c r="AS5" s="372"/>
      <c r="AT5" s="373"/>
      <c r="AU5" s="374"/>
      <c r="AV5" s="372"/>
      <c r="AW5" s="372"/>
      <c r="AX5" s="372"/>
      <c r="AY5" s="371"/>
      <c r="AZ5" s="375"/>
      <c r="BA5" s="372"/>
      <c r="BB5" s="372"/>
      <c r="BC5" s="372"/>
      <c r="BD5" s="373"/>
      <c r="BE5" s="374"/>
      <c r="BF5" s="372"/>
      <c r="BG5" s="372"/>
      <c r="BH5" s="372"/>
      <c r="BI5" s="371"/>
      <c r="BJ5" s="375"/>
      <c r="BK5" s="372"/>
      <c r="BL5" s="372"/>
      <c r="BM5" s="372"/>
      <c r="BN5" s="373"/>
      <c r="BO5" s="374"/>
      <c r="BP5" s="372"/>
      <c r="BQ5" s="372"/>
      <c r="BR5" s="372"/>
      <c r="BS5" s="371"/>
      <c r="BT5" s="375"/>
      <c r="BU5" s="372"/>
      <c r="BV5" s="372"/>
      <c r="BW5" s="372"/>
      <c r="BX5" s="373"/>
      <c r="BY5" s="374"/>
      <c r="BZ5" s="372"/>
      <c r="CA5" s="372"/>
      <c r="CB5" s="372"/>
      <c r="CC5" s="371"/>
      <c r="CD5" s="375"/>
      <c r="CE5" s="372"/>
      <c r="CF5" s="372"/>
      <c r="CG5" s="372"/>
      <c r="CH5" s="371"/>
      <c r="CI5" s="375"/>
      <c r="CJ5" s="372"/>
      <c r="CK5" s="372"/>
      <c r="CL5" s="372"/>
      <c r="CM5" s="373"/>
      <c r="CN5" s="31"/>
      <c r="CO5" s="32"/>
      <c r="CP5" s="31"/>
      <c r="CQ5" s="32"/>
      <c r="CR5" s="31"/>
      <c r="CS5" s="32"/>
      <c r="CT5" s="31"/>
      <c r="CU5" s="32"/>
      <c r="CV5" s="31"/>
      <c r="CW5" s="33"/>
      <c r="CX5" s="31"/>
      <c r="CY5" s="33"/>
      <c r="CZ5" s="31"/>
      <c r="DA5" s="31"/>
      <c r="DB5" s="31"/>
      <c r="DC5" s="32"/>
      <c r="DD5" s="31"/>
      <c r="DE5" s="31"/>
      <c r="DF5" s="31"/>
      <c r="DG5" s="31"/>
      <c r="DH5" s="31"/>
      <c r="DI5" s="31"/>
      <c r="DJ5" s="31"/>
      <c r="DK5" s="32"/>
      <c r="DL5" s="31"/>
      <c r="DM5" s="33"/>
      <c r="DN5" s="31"/>
      <c r="DO5" s="31"/>
      <c r="DP5" s="31"/>
      <c r="DQ5" s="33"/>
    </row>
    <row r="6" spans="1:121" s="21" customFormat="1" ht="140.25" customHeight="1" thickBot="1">
      <c r="A6" s="22"/>
      <c r="D6" s="197"/>
      <c r="E6" s="197" t="s">
        <v>19</v>
      </c>
      <c r="I6" s="232" t="s">
        <v>20</v>
      </c>
      <c r="J6" s="233"/>
      <c r="K6" s="314"/>
      <c r="L6" s="431" t="s">
        <v>66</v>
      </c>
      <c r="M6" s="432" t="s">
        <v>64</v>
      </c>
      <c r="N6" s="432" t="s">
        <v>65</v>
      </c>
      <c r="O6" s="432" t="s">
        <v>67</v>
      </c>
      <c r="P6" s="433" t="s">
        <v>68</v>
      </c>
      <c r="Q6" s="431"/>
      <c r="R6" s="432" t="s">
        <v>21</v>
      </c>
      <c r="S6" s="432" t="s">
        <v>63</v>
      </c>
      <c r="T6" s="432" t="s">
        <v>61</v>
      </c>
      <c r="U6" s="434" t="s">
        <v>62</v>
      </c>
      <c r="V6" s="435" t="s">
        <v>60</v>
      </c>
      <c r="W6" s="393" t="s">
        <v>92</v>
      </c>
      <c r="X6" s="393"/>
      <c r="Y6" s="393"/>
      <c r="Z6" s="396"/>
      <c r="AA6" s="400"/>
      <c r="AB6" s="393"/>
      <c r="AC6" s="393"/>
      <c r="AD6" s="393"/>
      <c r="AE6" s="394"/>
      <c r="AF6" s="395"/>
      <c r="AG6" s="393"/>
      <c r="AH6" s="393"/>
      <c r="AI6" s="393"/>
      <c r="AJ6" s="396"/>
      <c r="AK6" s="400"/>
      <c r="AL6" s="393"/>
      <c r="AM6" s="393"/>
      <c r="AN6" s="393"/>
      <c r="AO6" s="394"/>
      <c r="AP6" s="395"/>
      <c r="AQ6" s="393"/>
      <c r="AR6" s="393"/>
      <c r="AS6" s="393"/>
      <c r="AT6" s="396"/>
      <c r="AU6" s="400"/>
      <c r="AV6" s="393"/>
      <c r="AW6" s="393"/>
      <c r="AX6" s="393"/>
      <c r="AY6" s="394"/>
      <c r="AZ6" s="395"/>
      <c r="BA6" s="393"/>
      <c r="BB6" s="393"/>
      <c r="BC6" s="393"/>
      <c r="BD6" s="396"/>
      <c r="BE6" s="400"/>
      <c r="BF6" s="393"/>
      <c r="BG6" s="393"/>
      <c r="BH6" s="393"/>
      <c r="BI6" s="394"/>
      <c r="BJ6" s="395"/>
      <c r="BK6" s="393"/>
      <c r="BL6" s="393"/>
      <c r="BM6" s="393"/>
      <c r="BN6" s="396"/>
      <c r="BO6" s="400"/>
      <c r="BP6" s="393"/>
      <c r="BQ6" s="393"/>
      <c r="BR6" s="393"/>
      <c r="BS6" s="394"/>
      <c r="BT6" s="395"/>
      <c r="BU6" s="393"/>
      <c r="BV6" s="393"/>
      <c r="BW6" s="393"/>
      <c r="BX6" s="396"/>
      <c r="BY6" s="400"/>
      <c r="BZ6" s="393"/>
      <c r="CA6" s="393"/>
      <c r="CB6" s="393"/>
      <c r="CC6" s="394"/>
      <c r="CD6" s="395"/>
      <c r="CE6" s="393"/>
      <c r="CF6" s="393"/>
      <c r="CG6" s="393"/>
      <c r="CH6" s="394"/>
      <c r="CI6" s="395"/>
      <c r="CJ6" s="393"/>
      <c r="CK6" s="393"/>
      <c r="CL6" s="393"/>
      <c r="CM6" s="396"/>
      <c r="CN6" s="28"/>
      <c r="CO6" s="28"/>
      <c r="CP6" s="28"/>
      <c r="CQ6" s="34"/>
      <c r="CR6" s="33"/>
      <c r="CS6" s="33"/>
      <c r="CT6" s="34"/>
      <c r="CU6" s="35"/>
      <c r="CV6" s="36"/>
      <c r="CW6" s="37"/>
      <c r="CX6" s="37"/>
      <c r="CY6" s="37"/>
      <c r="CZ6" s="38"/>
      <c r="DA6" s="39"/>
      <c r="DB6" s="39"/>
      <c r="DC6" s="39"/>
      <c r="DD6" s="28"/>
      <c r="DE6" s="39"/>
      <c r="DF6" s="40"/>
      <c r="DG6" s="39"/>
      <c r="DH6" s="40"/>
      <c r="DI6" s="39"/>
      <c r="DJ6" s="40"/>
      <c r="DK6" s="39"/>
      <c r="DL6" s="40"/>
      <c r="DM6" s="39"/>
      <c r="DN6" s="40"/>
      <c r="DO6" s="39"/>
      <c r="DP6" s="40"/>
      <c r="DQ6" s="40"/>
    </row>
    <row r="7" spans="1:121" s="41" customFormat="1" ht="25.5" customHeight="1">
      <c r="A7" s="221" t="s">
        <v>22</v>
      </c>
      <c r="B7" s="212" t="s">
        <v>23</v>
      </c>
      <c r="C7" s="212" t="s">
        <v>24</v>
      </c>
      <c r="D7" s="212" t="s">
        <v>25</v>
      </c>
      <c r="E7" s="212" t="s">
        <v>7</v>
      </c>
      <c r="F7" s="212" t="s">
        <v>26</v>
      </c>
      <c r="G7" s="212" t="s">
        <v>20</v>
      </c>
      <c r="H7" s="225" t="s">
        <v>27</v>
      </c>
      <c r="I7" s="318" t="s">
        <v>28</v>
      </c>
      <c r="J7" s="212"/>
      <c r="K7" s="319"/>
      <c r="L7" s="407"/>
      <c r="M7" s="402"/>
      <c r="N7" s="402"/>
      <c r="O7" s="402"/>
      <c r="P7" s="408"/>
      <c r="Q7" s="407"/>
      <c r="R7" s="402"/>
      <c r="S7" s="402"/>
      <c r="T7" s="402"/>
      <c r="U7" s="409"/>
      <c r="V7" s="401"/>
      <c r="W7" s="403" t="s">
        <v>93</v>
      </c>
      <c r="X7" s="403"/>
      <c r="Y7" s="403"/>
      <c r="Z7" s="406"/>
      <c r="AA7" s="410"/>
      <c r="AB7" s="403"/>
      <c r="AC7" s="403"/>
      <c r="AD7" s="403"/>
      <c r="AE7" s="404"/>
      <c r="AF7" s="405"/>
      <c r="AG7" s="403"/>
      <c r="AH7" s="403"/>
      <c r="AI7" s="403"/>
      <c r="AJ7" s="406"/>
      <c r="AK7" s="410"/>
      <c r="AL7" s="403"/>
      <c r="AM7" s="403"/>
      <c r="AN7" s="403"/>
      <c r="AO7" s="404"/>
      <c r="AP7" s="405"/>
      <c r="AQ7" s="403"/>
      <c r="AR7" s="403"/>
      <c r="AS7" s="403"/>
      <c r="AT7" s="406"/>
      <c r="AU7" s="410"/>
      <c r="AV7" s="403"/>
      <c r="AW7" s="403"/>
      <c r="AX7" s="403"/>
      <c r="AY7" s="404"/>
      <c r="AZ7" s="405"/>
      <c r="BA7" s="403"/>
      <c r="BB7" s="403"/>
      <c r="BC7" s="403"/>
      <c r="BD7" s="406"/>
      <c r="BE7" s="410"/>
      <c r="BF7" s="403"/>
      <c r="BG7" s="403"/>
      <c r="BH7" s="403"/>
      <c r="BI7" s="404"/>
      <c r="BJ7" s="405"/>
      <c r="BK7" s="403"/>
      <c r="BL7" s="403"/>
      <c r="BM7" s="403"/>
      <c r="BN7" s="406"/>
      <c r="BO7" s="410"/>
      <c r="BP7" s="403"/>
      <c r="BQ7" s="403"/>
      <c r="BR7" s="403"/>
      <c r="BS7" s="404"/>
      <c r="BT7" s="405"/>
      <c r="BU7" s="403"/>
      <c r="BV7" s="403"/>
      <c r="BW7" s="403"/>
      <c r="BX7" s="406"/>
      <c r="BY7" s="410"/>
      <c r="BZ7" s="403"/>
      <c r="CA7" s="403"/>
      <c r="CB7" s="403"/>
      <c r="CC7" s="404"/>
      <c r="CD7" s="405"/>
      <c r="CE7" s="403"/>
      <c r="CF7" s="403"/>
      <c r="CG7" s="403"/>
      <c r="CH7" s="404"/>
      <c r="CI7" s="405"/>
      <c r="CJ7" s="403"/>
      <c r="CK7" s="403"/>
      <c r="CL7" s="403"/>
      <c r="CM7" s="406"/>
    </row>
    <row r="8" spans="1:121" s="41" customFormat="1" ht="25.5" customHeight="1">
      <c r="A8" s="222"/>
      <c r="B8" s="213"/>
      <c r="C8" s="213"/>
      <c r="D8" s="213"/>
      <c r="E8" s="213"/>
      <c r="F8" s="213"/>
      <c r="G8" s="213"/>
      <c r="H8" s="226"/>
      <c r="I8" s="42"/>
      <c r="J8" s="214" t="s">
        <v>29</v>
      </c>
      <c r="K8" s="320"/>
      <c r="L8" s="388"/>
      <c r="M8" s="387"/>
      <c r="N8" s="387"/>
      <c r="O8" s="387"/>
      <c r="P8" s="389"/>
      <c r="Q8" s="388"/>
      <c r="R8" s="387"/>
      <c r="S8" s="387"/>
      <c r="T8" s="387"/>
      <c r="U8" s="390"/>
      <c r="V8" s="386"/>
      <c r="W8" s="372" t="s">
        <v>93</v>
      </c>
      <c r="X8" s="372"/>
      <c r="Y8" s="372"/>
      <c r="Z8" s="373"/>
      <c r="AA8" s="374"/>
      <c r="AB8" s="372"/>
      <c r="AC8" s="372"/>
      <c r="AD8" s="372"/>
      <c r="AE8" s="371"/>
      <c r="AF8" s="375"/>
      <c r="AG8" s="372"/>
      <c r="AH8" s="372"/>
      <c r="AI8" s="372"/>
      <c r="AJ8" s="373"/>
      <c r="AK8" s="374"/>
      <c r="AL8" s="372"/>
      <c r="AM8" s="372"/>
      <c r="AN8" s="372"/>
      <c r="AO8" s="371"/>
      <c r="AP8" s="375"/>
      <c r="AQ8" s="372"/>
      <c r="AR8" s="372"/>
      <c r="AS8" s="372"/>
      <c r="AT8" s="373"/>
      <c r="AU8" s="374"/>
      <c r="AV8" s="372"/>
      <c r="AW8" s="372"/>
      <c r="AX8" s="372"/>
      <c r="AY8" s="371"/>
      <c r="AZ8" s="375"/>
      <c r="BA8" s="372"/>
      <c r="BB8" s="372"/>
      <c r="BC8" s="372"/>
      <c r="BD8" s="373"/>
      <c r="BE8" s="374"/>
      <c r="BF8" s="372"/>
      <c r="BG8" s="372"/>
      <c r="BH8" s="372"/>
      <c r="BI8" s="371"/>
      <c r="BJ8" s="375"/>
      <c r="BK8" s="372"/>
      <c r="BL8" s="372"/>
      <c r="BM8" s="372"/>
      <c r="BN8" s="373"/>
      <c r="BO8" s="374"/>
      <c r="BP8" s="372"/>
      <c r="BQ8" s="372"/>
      <c r="BR8" s="372"/>
      <c r="BS8" s="371"/>
      <c r="BT8" s="375"/>
      <c r="BU8" s="372"/>
      <c r="BV8" s="372"/>
      <c r="BW8" s="372"/>
      <c r="BX8" s="373"/>
      <c r="BY8" s="374"/>
      <c r="BZ8" s="372"/>
      <c r="CA8" s="372"/>
      <c r="CB8" s="372"/>
      <c r="CC8" s="371"/>
      <c r="CD8" s="375"/>
      <c r="CE8" s="372"/>
      <c r="CF8" s="372"/>
      <c r="CG8" s="372"/>
      <c r="CH8" s="371"/>
      <c r="CI8" s="375"/>
      <c r="CJ8" s="372"/>
      <c r="CK8" s="372"/>
      <c r="CL8" s="372"/>
      <c r="CM8" s="373"/>
    </row>
    <row r="9" spans="1:121" s="41" customFormat="1" ht="25.5" customHeight="1" thickBot="1">
      <c r="A9" s="315"/>
      <c r="B9" s="316"/>
      <c r="C9" s="316"/>
      <c r="D9" s="316"/>
      <c r="E9" s="316"/>
      <c r="F9" s="316"/>
      <c r="G9" s="316"/>
      <c r="H9" s="317"/>
      <c r="I9" s="43"/>
      <c r="J9" s="191"/>
      <c r="K9" s="44" t="s">
        <v>30</v>
      </c>
      <c r="L9" s="413"/>
      <c r="M9" s="412"/>
      <c r="N9" s="412"/>
      <c r="O9" s="412"/>
      <c r="P9" s="414"/>
      <c r="Q9" s="413"/>
      <c r="R9" s="412"/>
      <c r="S9" s="412"/>
      <c r="T9" s="412"/>
      <c r="U9" s="415"/>
      <c r="V9" s="411"/>
      <c r="W9" s="377" t="s">
        <v>93</v>
      </c>
      <c r="X9" s="377"/>
      <c r="Y9" s="377"/>
      <c r="Z9" s="378"/>
      <c r="AA9" s="379"/>
      <c r="AB9" s="377"/>
      <c r="AC9" s="377"/>
      <c r="AD9" s="377"/>
      <c r="AE9" s="376"/>
      <c r="AF9" s="380"/>
      <c r="AG9" s="377"/>
      <c r="AH9" s="377"/>
      <c r="AI9" s="377"/>
      <c r="AJ9" s="378"/>
      <c r="AK9" s="379"/>
      <c r="AL9" s="377"/>
      <c r="AM9" s="377"/>
      <c r="AN9" s="377"/>
      <c r="AO9" s="376"/>
      <c r="AP9" s="380"/>
      <c r="AQ9" s="377"/>
      <c r="AR9" s="377"/>
      <c r="AS9" s="377"/>
      <c r="AT9" s="378"/>
      <c r="AU9" s="379"/>
      <c r="AV9" s="377"/>
      <c r="AW9" s="377"/>
      <c r="AX9" s="377"/>
      <c r="AY9" s="376"/>
      <c r="AZ9" s="380"/>
      <c r="BA9" s="377"/>
      <c r="BB9" s="377"/>
      <c r="BC9" s="377"/>
      <c r="BD9" s="378"/>
      <c r="BE9" s="379"/>
      <c r="BF9" s="377"/>
      <c r="BG9" s="377"/>
      <c r="BH9" s="377"/>
      <c r="BI9" s="376"/>
      <c r="BJ9" s="380"/>
      <c r="BK9" s="377"/>
      <c r="BL9" s="377"/>
      <c r="BM9" s="377"/>
      <c r="BN9" s="378"/>
      <c r="BO9" s="379"/>
      <c r="BP9" s="377"/>
      <c r="BQ9" s="377"/>
      <c r="BR9" s="377"/>
      <c r="BS9" s="376"/>
      <c r="BT9" s="380"/>
      <c r="BU9" s="377"/>
      <c r="BV9" s="377"/>
      <c r="BW9" s="377"/>
      <c r="BX9" s="378"/>
      <c r="BY9" s="379"/>
      <c r="BZ9" s="377"/>
      <c r="CA9" s="377"/>
      <c r="CB9" s="377"/>
      <c r="CC9" s="376"/>
      <c r="CD9" s="380"/>
      <c r="CE9" s="377"/>
      <c r="CF9" s="377"/>
      <c r="CG9" s="377"/>
      <c r="CH9" s="376"/>
      <c r="CI9" s="380"/>
      <c r="CJ9" s="377"/>
      <c r="CK9" s="377"/>
      <c r="CL9" s="377"/>
      <c r="CM9" s="378"/>
    </row>
    <row r="10" spans="1:121" ht="25.5" hidden="1" customHeight="1">
      <c r="A10" s="100">
        <v>4303</v>
      </c>
      <c r="B10" s="101" t="s">
        <v>11</v>
      </c>
      <c r="C10" s="101" t="s">
        <v>44</v>
      </c>
      <c r="D10" s="101" t="s">
        <v>76</v>
      </c>
      <c r="E10" s="102" t="s">
        <v>53</v>
      </c>
      <c r="F10" s="101"/>
      <c r="G10" s="102" t="s">
        <v>1174</v>
      </c>
      <c r="H10" s="177" t="s">
        <v>54</v>
      </c>
      <c r="I10" s="104"/>
      <c r="J10" s="102"/>
      <c r="K10" s="103"/>
      <c r="L10" s="347" t="s">
        <v>78</v>
      </c>
      <c r="M10" s="342" t="s">
        <v>77</v>
      </c>
      <c r="N10" s="342"/>
      <c r="O10" s="342" t="s">
        <v>77</v>
      </c>
      <c r="P10" s="348" t="s">
        <v>77</v>
      </c>
      <c r="Q10" s="347"/>
      <c r="R10" s="342"/>
      <c r="S10" s="342"/>
      <c r="T10" s="342"/>
      <c r="U10" s="349" t="s">
        <v>80</v>
      </c>
      <c r="V10" s="341"/>
      <c r="W10" s="343"/>
      <c r="X10" s="343"/>
      <c r="Y10" s="343"/>
      <c r="Z10" s="346"/>
      <c r="AA10" s="350"/>
      <c r="AB10" s="343"/>
      <c r="AC10" s="343"/>
      <c r="AD10" s="343"/>
      <c r="AE10" s="344"/>
      <c r="AF10" s="345"/>
      <c r="AG10" s="343"/>
      <c r="AH10" s="343"/>
      <c r="AI10" s="343"/>
      <c r="AJ10" s="346"/>
      <c r="AK10" s="350"/>
      <c r="AL10" s="343"/>
      <c r="AM10" s="343"/>
      <c r="AN10" s="343"/>
      <c r="AO10" s="344"/>
      <c r="AP10" s="345"/>
      <c r="AQ10" s="343"/>
      <c r="AR10" s="343"/>
      <c r="AS10" s="343"/>
      <c r="AT10" s="346"/>
      <c r="AU10" s="350"/>
      <c r="AV10" s="343"/>
      <c r="AW10" s="343"/>
      <c r="AX10" s="343"/>
      <c r="AY10" s="344"/>
      <c r="AZ10" s="345"/>
      <c r="BA10" s="343"/>
      <c r="BB10" s="343"/>
      <c r="BC10" s="343"/>
      <c r="BD10" s="346"/>
      <c r="BE10" s="350"/>
      <c r="BF10" s="343"/>
      <c r="BG10" s="343"/>
      <c r="BH10" s="343"/>
      <c r="BI10" s="344"/>
      <c r="BJ10" s="345"/>
      <c r="BK10" s="343"/>
      <c r="BL10" s="343"/>
      <c r="BM10" s="343"/>
      <c r="BN10" s="346"/>
      <c r="BO10" s="350"/>
      <c r="BP10" s="343"/>
      <c r="BQ10" s="343"/>
      <c r="BR10" s="343"/>
      <c r="BS10" s="344"/>
      <c r="BT10" s="345"/>
      <c r="BU10" s="343"/>
      <c r="BV10" s="343"/>
      <c r="BW10" s="343"/>
      <c r="BX10" s="346"/>
      <c r="BY10" s="350"/>
      <c r="BZ10" s="343"/>
      <c r="CA10" s="343"/>
      <c r="CB10" s="343"/>
      <c r="CC10" s="344"/>
      <c r="CD10" s="345"/>
      <c r="CE10" s="343"/>
      <c r="CF10" s="343"/>
      <c r="CG10" s="343"/>
      <c r="CH10" s="344"/>
      <c r="CI10" s="345"/>
      <c r="CJ10" s="343"/>
      <c r="CK10" s="343"/>
      <c r="CL10" s="343"/>
      <c r="CM10" s="346"/>
      <c r="CN10" s="45"/>
      <c r="CO10" s="45"/>
      <c r="CP10" s="45"/>
      <c r="CQ10" s="45"/>
      <c r="CR10" s="45"/>
      <c r="CS10" s="45"/>
      <c r="CT10" s="45"/>
      <c r="CU10" s="45"/>
      <c r="CV10" s="45"/>
      <c r="CW10" s="45"/>
      <c r="CX10" s="45"/>
      <c r="CY10" s="45"/>
      <c r="CZ10" s="45"/>
      <c r="DA10" s="45"/>
      <c r="DB10" s="45"/>
      <c r="DC10" s="45"/>
      <c r="DD10" s="45"/>
      <c r="DE10" s="45"/>
      <c r="DF10" s="45"/>
      <c r="DG10" s="45"/>
      <c r="DH10" s="45"/>
      <c r="DI10" s="45"/>
      <c r="DJ10" s="45"/>
      <c r="DK10" s="45"/>
      <c r="DL10" s="45"/>
      <c r="DM10" s="45"/>
      <c r="DN10" s="45"/>
    </row>
    <row r="11" spans="1:121" ht="25.5" customHeight="1">
      <c r="A11" s="321">
        <v>4304</v>
      </c>
      <c r="B11" s="322" t="s">
        <v>11</v>
      </c>
      <c r="C11" s="322" t="s">
        <v>44</v>
      </c>
      <c r="D11" s="322" t="s">
        <v>76</v>
      </c>
      <c r="E11" s="323" t="s">
        <v>53</v>
      </c>
      <c r="F11" s="322"/>
      <c r="G11" s="323" t="s">
        <v>1176</v>
      </c>
      <c r="H11" s="324" t="s">
        <v>54</v>
      </c>
      <c r="I11" s="325"/>
      <c r="J11" s="323"/>
      <c r="K11" s="326"/>
      <c r="L11" s="327" t="s">
        <v>78</v>
      </c>
      <c r="M11" s="322" t="s">
        <v>77</v>
      </c>
      <c r="N11" s="322"/>
      <c r="O11" s="322" t="s">
        <v>77</v>
      </c>
      <c r="P11" s="328" t="s">
        <v>77</v>
      </c>
      <c r="Q11" s="327"/>
      <c r="R11" s="322"/>
      <c r="S11" s="322"/>
      <c r="T11" s="322"/>
      <c r="U11" s="329" t="s">
        <v>80</v>
      </c>
      <c r="V11" s="321"/>
      <c r="W11" s="323"/>
      <c r="X11" s="323"/>
      <c r="Y11" s="323"/>
      <c r="Z11" s="326"/>
      <c r="AA11" s="330"/>
      <c r="AB11" s="323"/>
      <c r="AC11" s="323"/>
      <c r="AD11" s="323"/>
      <c r="AE11" s="324"/>
      <c r="AF11" s="325"/>
      <c r="AG11" s="323"/>
      <c r="AH11" s="323"/>
      <c r="AI11" s="323"/>
      <c r="AJ11" s="326"/>
      <c r="AK11" s="330"/>
      <c r="AL11" s="323"/>
      <c r="AM11" s="323"/>
      <c r="AN11" s="323"/>
      <c r="AO11" s="324"/>
      <c r="AP11" s="325"/>
      <c r="AQ11" s="323"/>
      <c r="AR11" s="323"/>
      <c r="AS11" s="323"/>
      <c r="AT11" s="326"/>
      <c r="AU11" s="330"/>
      <c r="AV11" s="323"/>
      <c r="AW11" s="323"/>
      <c r="AX11" s="323"/>
      <c r="AY11" s="324"/>
      <c r="AZ11" s="325"/>
      <c r="BA11" s="323"/>
      <c r="BB11" s="323"/>
      <c r="BC11" s="323"/>
      <c r="BD11" s="326"/>
      <c r="BE11" s="330"/>
      <c r="BF11" s="323"/>
      <c r="BG11" s="323"/>
      <c r="BH11" s="323"/>
      <c r="BI11" s="324"/>
      <c r="BJ11" s="325"/>
      <c r="BK11" s="323"/>
      <c r="BL11" s="323"/>
      <c r="BM11" s="323"/>
      <c r="BN11" s="326"/>
      <c r="BO11" s="330"/>
      <c r="BP11" s="323"/>
      <c r="BQ11" s="323"/>
      <c r="BR11" s="323"/>
      <c r="BS11" s="324"/>
      <c r="BT11" s="325"/>
      <c r="BU11" s="323"/>
      <c r="BV11" s="323"/>
      <c r="BW11" s="323"/>
      <c r="BX11" s="326"/>
      <c r="BY11" s="330"/>
      <c r="BZ11" s="323"/>
      <c r="CA11" s="323"/>
      <c r="CB11" s="323"/>
      <c r="CC11" s="324"/>
      <c r="CD11" s="325"/>
      <c r="CE11" s="323"/>
      <c r="CF11" s="323"/>
      <c r="CG11" s="323"/>
      <c r="CH11" s="324"/>
      <c r="CI11" s="325"/>
      <c r="CJ11" s="323"/>
      <c r="CK11" s="323"/>
      <c r="CL11" s="323"/>
      <c r="CM11" s="326"/>
      <c r="CN11" s="46"/>
      <c r="CO11" s="45"/>
      <c r="CP11" s="45"/>
      <c r="CQ11" s="45"/>
      <c r="CR11" s="46"/>
      <c r="CS11" s="45"/>
      <c r="CT11" s="45"/>
      <c r="CU11" s="45"/>
      <c r="CV11" s="45"/>
      <c r="CW11" s="45"/>
      <c r="CX11" s="46"/>
      <c r="CY11" s="45"/>
      <c r="CZ11" s="45"/>
      <c r="DA11" s="46"/>
      <c r="DB11" s="47"/>
      <c r="DC11" s="46"/>
      <c r="DD11" s="46"/>
      <c r="DE11" s="45"/>
      <c r="DF11" s="46"/>
      <c r="DG11" s="46"/>
      <c r="DH11" s="45"/>
      <c r="DI11" s="45"/>
      <c r="DJ11" s="45"/>
      <c r="DK11" s="45"/>
      <c r="DL11" s="45"/>
      <c r="DM11" s="45"/>
      <c r="DN11" s="45"/>
    </row>
    <row r="12" spans="1:121" ht="25.5" customHeight="1">
      <c r="A12" s="321">
        <v>4305</v>
      </c>
      <c r="B12" s="322" t="s">
        <v>11</v>
      </c>
      <c r="C12" s="322" t="s">
        <v>44</v>
      </c>
      <c r="D12" s="322" t="s">
        <v>76</v>
      </c>
      <c r="E12" s="323" t="s">
        <v>53</v>
      </c>
      <c r="F12" s="322"/>
      <c r="G12" s="323" t="s">
        <v>1178</v>
      </c>
      <c r="H12" s="324" t="s">
        <v>54</v>
      </c>
      <c r="I12" s="325"/>
      <c r="J12" s="323"/>
      <c r="K12" s="326"/>
      <c r="L12" s="327" t="s">
        <v>78</v>
      </c>
      <c r="M12" s="322" t="s">
        <v>77</v>
      </c>
      <c r="N12" s="322"/>
      <c r="O12" s="322" t="s">
        <v>77</v>
      </c>
      <c r="P12" s="328" t="s">
        <v>77</v>
      </c>
      <c r="Q12" s="327"/>
      <c r="R12" s="322"/>
      <c r="S12" s="322"/>
      <c r="T12" s="322"/>
      <c r="U12" s="329" t="s">
        <v>80</v>
      </c>
      <c r="V12" s="321"/>
      <c r="W12" s="323"/>
      <c r="X12" s="323"/>
      <c r="Y12" s="323"/>
      <c r="Z12" s="326"/>
      <c r="AA12" s="330"/>
      <c r="AB12" s="323"/>
      <c r="AC12" s="323"/>
      <c r="AD12" s="323"/>
      <c r="AE12" s="324"/>
      <c r="AF12" s="325"/>
      <c r="AG12" s="323"/>
      <c r="AH12" s="323"/>
      <c r="AI12" s="323"/>
      <c r="AJ12" s="326"/>
      <c r="AK12" s="330"/>
      <c r="AL12" s="323"/>
      <c r="AM12" s="323"/>
      <c r="AN12" s="323"/>
      <c r="AO12" s="324"/>
      <c r="AP12" s="325"/>
      <c r="AQ12" s="323"/>
      <c r="AR12" s="323"/>
      <c r="AS12" s="323"/>
      <c r="AT12" s="326"/>
      <c r="AU12" s="330"/>
      <c r="AV12" s="323"/>
      <c r="AW12" s="323"/>
      <c r="AX12" s="323"/>
      <c r="AY12" s="324"/>
      <c r="AZ12" s="325"/>
      <c r="BA12" s="323"/>
      <c r="BB12" s="323"/>
      <c r="BC12" s="323"/>
      <c r="BD12" s="326"/>
      <c r="BE12" s="330"/>
      <c r="BF12" s="323"/>
      <c r="BG12" s="323"/>
      <c r="BH12" s="323"/>
      <c r="BI12" s="324"/>
      <c r="BJ12" s="325"/>
      <c r="BK12" s="323"/>
      <c r="BL12" s="323"/>
      <c r="BM12" s="323"/>
      <c r="BN12" s="326"/>
      <c r="BO12" s="330"/>
      <c r="BP12" s="323"/>
      <c r="BQ12" s="323"/>
      <c r="BR12" s="323"/>
      <c r="BS12" s="324"/>
      <c r="BT12" s="325"/>
      <c r="BU12" s="323"/>
      <c r="BV12" s="323"/>
      <c r="BW12" s="323"/>
      <c r="BX12" s="326"/>
      <c r="BY12" s="330"/>
      <c r="BZ12" s="323"/>
      <c r="CA12" s="323"/>
      <c r="CB12" s="323"/>
      <c r="CC12" s="324"/>
      <c r="CD12" s="325"/>
      <c r="CE12" s="323"/>
      <c r="CF12" s="323"/>
      <c r="CG12" s="323"/>
      <c r="CH12" s="324"/>
      <c r="CI12" s="325"/>
      <c r="CJ12" s="323"/>
      <c r="CK12" s="323"/>
      <c r="CL12" s="323"/>
      <c r="CM12" s="326"/>
      <c r="CN12" s="45"/>
      <c r="CO12" s="45"/>
      <c r="CP12" s="45"/>
      <c r="CQ12" s="45"/>
      <c r="CR12" s="45"/>
      <c r="CS12" s="45"/>
      <c r="CT12" s="45"/>
      <c r="CU12" s="45"/>
      <c r="CV12" s="45"/>
      <c r="CW12" s="45"/>
      <c r="CX12" s="46"/>
      <c r="CY12" s="45"/>
      <c r="CZ12" s="45"/>
      <c r="DA12" s="46"/>
      <c r="DB12" s="45"/>
      <c r="DC12" s="46"/>
      <c r="DD12" s="46"/>
      <c r="DE12" s="45"/>
      <c r="DF12" s="46"/>
      <c r="DG12" s="46"/>
      <c r="DH12" s="45"/>
      <c r="DI12" s="45"/>
      <c r="DJ12" s="45"/>
      <c r="DK12" s="45"/>
      <c r="DL12" s="45"/>
      <c r="DM12" s="45"/>
      <c r="DN12" s="45"/>
    </row>
    <row r="13" spans="1:121" ht="25.5" hidden="1" customHeight="1">
      <c r="A13" s="321">
        <v>4306</v>
      </c>
      <c r="B13" s="322" t="s">
        <v>11</v>
      </c>
      <c r="C13" s="322" t="s">
        <v>44</v>
      </c>
      <c r="D13" s="322" t="s">
        <v>76</v>
      </c>
      <c r="E13" s="323" t="s">
        <v>53</v>
      </c>
      <c r="F13" s="322"/>
      <c r="G13" s="323" t="s">
        <v>1180</v>
      </c>
      <c r="H13" s="324" t="s">
        <v>54</v>
      </c>
      <c r="I13" s="325"/>
      <c r="J13" s="323"/>
      <c r="K13" s="326"/>
      <c r="L13" s="327" t="s">
        <v>78</v>
      </c>
      <c r="M13" s="322" t="s">
        <v>77</v>
      </c>
      <c r="N13" s="322"/>
      <c r="O13" s="322" t="s">
        <v>77</v>
      </c>
      <c r="P13" s="328" t="s">
        <v>77</v>
      </c>
      <c r="Q13" s="327"/>
      <c r="R13" s="322"/>
      <c r="S13" s="322"/>
      <c r="T13" s="322"/>
      <c r="U13" s="329" t="s">
        <v>80</v>
      </c>
      <c r="V13" s="321"/>
      <c r="W13" s="323"/>
      <c r="X13" s="323"/>
      <c r="Y13" s="323"/>
      <c r="Z13" s="326"/>
      <c r="AA13" s="330"/>
      <c r="AB13" s="323"/>
      <c r="AC13" s="323"/>
      <c r="AD13" s="323"/>
      <c r="AE13" s="324"/>
      <c r="AF13" s="325"/>
      <c r="AG13" s="323"/>
      <c r="AH13" s="323"/>
      <c r="AI13" s="323"/>
      <c r="AJ13" s="326"/>
      <c r="AK13" s="330"/>
      <c r="AL13" s="323"/>
      <c r="AM13" s="323"/>
      <c r="AN13" s="323"/>
      <c r="AO13" s="324"/>
      <c r="AP13" s="325"/>
      <c r="AQ13" s="323"/>
      <c r="AR13" s="323"/>
      <c r="AS13" s="323"/>
      <c r="AT13" s="326"/>
      <c r="AU13" s="330"/>
      <c r="AV13" s="323"/>
      <c r="AW13" s="323"/>
      <c r="AX13" s="323"/>
      <c r="AY13" s="324"/>
      <c r="AZ13" s="325"/>
      <c r="BA13" s="323"/>
      <c r="BB13" s="323"/>
      <c r="BC13" s="323"/>
      <c r="BD13" s="326"/>
      <c r="BE13" s="330"/>
      <c r="BF13" s="323"/>
      <c r="BG13" s="323"/>
      <c r="BH13" s="323"/>
      <c r="BI13" s="324"/>
      <c r="BJ13" s="325"/>
      <c r="BK13" s="323"/>
      <c r="BL13" s="323"/>
      <c r="BM13" s="323"/>
      <c r="BN13" s="326"/>
      <c r="BO13" s="330"/>
      <c r="BP13" s="323"/>
      <c r="BQ13" s="323"/>
      <c r="BR13" s="323"/>
      <c r="BS13" s="324"/>
      <c r="BT13" s="325"/>
      <c r="BU13" s="323"/>
      <c r="BV13" s="323"/>
      <c r="BW13" s="323"/>
      <c r="BX13" s="326"/>
      <c r="BY13" s="330"/>
      <c r="BZ13" s="323"/>
      <c r="CA13" s="323"/>
      <c r="CB13" s="323"/>
      <c r="CC13" s="324"/>
      <c r="CD13" s="325"/>
      <c r="CE13" s="323"/>
      <c r="CF13" s="323"/>
      <c r="CG13" s="323"/>
      <c r="CH13" s="324"/>
      <c r="CI13" s="325"/>
      <c r="CJ13" s="323"/>
      <c r="CK13" s="323"/>
      <c r="CL13" s="323"/>
      <c r="CM13" s="326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  <c r="DA13" s="45"/>
      <c r="DB13" s="45"/>
      <c r="DC13" s="45"/>
      <c r="DD13" s="45"/>
      <c r="DE13" s="45"/>
      <c r="DF13" s="45"/>
      <c r="DG13" s="46"/>
      <c r="DH13" s="45"/>
      <c r="DI13" s="45"/>
      <c r="DJ13" s="45"/>
      <c r="DK13" s="45"/>
      <c r="DL13" s="45"/>
      <c r="DM13" s="45"/>
      <c r="DN13" s="45"/>
    </row>
    <row r="14" spans="1:121" ht="25.5" hidden="1" customHeight="1" thickBot="1">
      <c r="A14" s="331">
        <v>4307</v>
      </c>
      <c r="B14" s="332" t="s">
        <v>11</v>
      </c>
      <c r="C14" s="332" t="s">
        <v>44</v>
      </c>
      <c r="D14" s="332" t="s">
        <v>76</v>
      </c>
      <c r="E14" s="333" t="s">
        <v>53</v>
      </c>
      <c r="F14" s="332"/>
      <c r="G14" s="333" t="s">
        <v>1182</v>
      </c>
      <c r="H14" s="334" t="s">
        <v>54</v>
      </c>
      <c r="I14" s="335"/>
      <c r="J14" s="333"/>
      <c r="K14" s="336"/>
      <c r="L14" s="337" t="s">
        <v>78</v>
      </c>
      <c r="M14" s="332" t="s">
        <v>77</v>
      </c>
      <c r="N14" s="332"/>
      <c r="O14" s="332" t="s">
        <v>77</v>
      </c>
      <c r="P14" s="338" t="s">
        <v>77</v>
      </c>
      <c r="Q14" s="337"/>
      <c r="R14" s="332"/>
      <c r="S14" s="332"/>
      <c r="T14" s="332"/>
      <c r="U14" s="339" t="s">
        <v>80</v>
      </c>
      <c r="V14" s="331"/>
      <c r="W14" s="333"/>
      <c r="X14" s="333"/>
      <c r="Y14" s="333"/>
      <c r="Z14" s="336"/>
      <c r="AA14" s="340"/>
      <c r="AB14" s="333"/>
      <c r="AC14" s="333"/>
      <c r="AD14" s="333"/>
      <c r="AE14" s="334"/>
      <c r="AF14" s="335"/>
      <c r="AG14" s="333"/>
      <c r="AH14" s="333"/>
      <c r="AI14" s="333"/>
      <c r="AJ14" s="336"/>
      <c r="AK14" s="340"/>
      <c r="AL14" s="333"/>
      <c r="AM14" s="333"/>
      <c r="AN14" s="333"/>
      <c r="AO14" s="334"/>
      <c r="AP14" s="335"/>
      <c r="AQ14" s="333"/>
      <c r="AR14" s="333"/>
      <c r="AS14" s="333"/>
      <c r="AT14" s="336"/>
      <c r="AU14" s="340"/>
      <c r="AV14" s="333"/>
      <c r="AW14" s="333"/>
      <c r="AX14" s="333"/>
      <c r="AY14" s="334"/>
      <c r="AZ14" s="335"/>
      <c r="BA14" s="333"/>
      <c r="BB14" s="333"/>
      <c r="BC14" s="333"/>
      <c r="BD14" s="336"/>
      <c r="BE14" s="340"/>
      <c r="BF14" s="333"/>
      <c r="BG14" s="333"/>
      <c r="BH14" s="333"/>
      <c r="BI14" s="334"/>
      <c r="BJ14" s="335"/>
      <c r="BK14" s="333"/>
      <c r="BL14" s="333"/>
      <c r="BM14" s="333"/>
      <c r="BN14" s="336"/>
      <c r="BO14" s="340"/>
      <c r="BP14" s="333"/>
      <c r="BQ14" s="333"/>
      <c r="BR14" s="333"/>
      <c r="BS14" s="334"/>
      <c r="BT14" s="335"/>
      <c r="BU14" s="333"/>
      <c r="BV14" s="333"/>
      <c r="BW14" s="333"/>
      <c r="BX14" s="336"/>
      <c r="BY14" s="340"/>
      <c r="BZ14" s="333"/>
      <c r="CA14" s="333"/>
      <c r="CB14" s="333"/>
      <c r="CC14" s="334"/>
      <c r="CD14" s="335"/>
      <c r="CE14" s="333"/>
      <c r="CF14" s="333"/>
      <c r="CG14" s="333"/>
      <c r="CH14" s="334"/>
      <c r="CI14" s="335"/>
      <c r="CJ14" s="333"/>
      <c r="CK14" s="333"/>
      <c r="CL14" s="333"/>
      <c r="CM14" s="336"/>
      <c r="CN14" s="45"/>
      <c r="CO14" s="45"/>
      <c r="CP14" s="45"/>
      <c r="CQ14" s="45"/>
      <c r="CR14" s="45"/>
      <c r="CS14" s="45"/>
      <c r="CT14" s="45"/>
      <c r="CU14" s="45"/>
      <c r="CV14" s="45"/>
      <c r="CW14" s="45"/>
      <c r="CX14" s="45"/>
      <c r="CY14" s="45"/>
      <c r="CZ14" s="45"/>
      <c r="DA14" s="45"/>
      <c r="DB14" s="45"/>
      <c r="DC14" s="45"/>
      <c r="DD14" s="45"/>
      <c r="DE14" s="45"/>
      <c r="DF14" s="45"/>
      <c r="DG14" s="46"/>
      <c r="DH14" s="45"/>
      <c r="DI14" s="45"/>
      <c r="DJ14" s="45"/>
      <c r="DK14" s="45"/>
      <c r="DL14" s="45"/>
      <c r="DM14" s="45"/>
      <c r="DN14" s="45"/>
    </row>
    <row r="15" spans="1:121" ht="25.5" customHeight="1">
      <c r="A15" s="341">
        <v>4308</v>
      </c>
      <c r="B15" s="342" t="s">
        <v>11</v>
      </c>
      <c r="C15" s="342" t="s">
        <v>44</v>
      </c>
      <c r="D15" s="342" t="s">
        <v>76</v>
      </c>
      <c r="E15" s="343" t="s">
        <v>53</v>
      </c>
      <c r="F15" s="342"/>
      <c r="G15" s="343" t="s">
        <v>1184</v>
      </c>
      <c r="H15" s="344" t="s">
        <v>54</v>
      </c>
      <c r="I15" s="345"/>
      <c r="J15" s="343"/>
      <c r="K15" s="346"/>
      <c r="L15" s="347" t="s">
        <v>78</v>
      </c>
      <c r="M15" s="342" t="s">
        <v>77</v>
      </c>
      <c r="N15" s="342"/>
      <c r="O15" s="342" t="s">
        <v>77</v>
      </c>
      <c r="P15" s="348" t="s">
        <v>77</v>
      </c>
      <c r="Q15" s="347"/>
      <c r="R15" s="342"/>
      <c r="S15" s="342"/>
      <c r="T15" s="342"/>
      <c r="U15" s="349" t="s">
        <v>80</v>
      </c>
      <c r="V15" s="341"/>
      <c r="W15" s="343"/>
      <c r="X15" s="343"/>
      <c r="Y15" s="343"/>
      <c r="Z15" s="346"/>
      <c r="AA15" s="350"/>
      <c r="AB15" s="343"/>
      <c r="AC15" s="343"/>
      <c r="AD15" s="343"/>
      <c r="AE15" s="344"/>
      <c r="AF15" s="345"/>
      <c r="AG15" s="343"/>
      <c r="AH15" s="343"/>
      <c r="AI15" s="343"/>
      <c r="AJ15" s="346"/>
      <c r="AK15" s="350"/>
      <c r="AL15" s="343"/>
      <c r="AM15" s="343"/>
      <c r="AN15" s="343"/>
      <c r="AO15" s="344"/>
      <c r="AP15" s="345"/>
      <c r="AQ15" s="343"/>
      <c r="AR15" s="343"/>
      <c r="AS15" s="343"/>
      <c r="AT15" s="346"/>
      <c r="AU15" s="350"/>
      <c r="AV15" s="343"/>
      <c r="AW15" s="343"/>
      <c r="AX15" s="343"/>
      <c r="AY15" s="344"/>
      <c r="AZ15" s="345"/>
      <c r="BA15" s="343"/>
      <c r="BB15" s="343"/>
      <c r="BC15" s="343"/>
      <c r="BD15" s="346"/>
      <c r="BE15" s="350"/>
      <c r="BF15" s="343"/>
      <c r="BG15" s="343"/>
      <c r="BH15" s="343"/>
      <c r="BI15" s="344"/>
      <c r="BJ15" s="345"/>
      <c r="BK15" s="343"/>
      <c r="BL15" s="343"/>
      <c r="BM15" s="343"/>
      <c r="BN15" s="346"/>
      <c r="BO15" s="350"/>
      <c r="BP15" s="343"/>
      <c r="BQ15" s="343"/>
      <c r="BR15" s="343"/>
      <c r="BS15" s="344"/>
      <c r="BT15" s="345"/>
      <c r="BU15" s="343"/>
      <c r="BV15" s="343"/>
      <c r="BW15" s="343"/>
      <c r="BX15" s="346"/>
      <c r="BY15" s="350"/>
      <c r="BZ15" s="343"/>
      <c r="CA15" s="343"/>
      <c r="CB15" s="343"/>
      <c r="CC15" s="344"/>
      <c r="CD15" s="345"/>
      <c r="CE15" s="343"/>
      <c r="CF15" s="343"/>
      <c r="CG15" s="343"/>
      <c r="CH15" s="344"/>
      <c r="CI15" s="345"/>
      <c r="CJ15" s="343"/>
      <c r="CK15" s="343"/>
      <c r="CL15" s="343"/>
      <c r="CM15" s="346"/>
      <c r="CN15" s="45"/>
      <c r="CO15" s="45"/>
      <c r="CP15" s="46"/>
      <c r="CQ15" s="45"/>
      <c r="CR15" s="45"/>
      <c r="CS15" s="45"/>
      <c r="CT15" s="45"/>
      <c r="CU15" s="45"/>
      <c r="CV15" s="45"/>
      <c r="CW15" s="45"/>
      <c r="CX15" s="46"/>
      <c r="CY15" s="45"/>
      <c r="CZ15" s="45"/>
      <c r="DA15" s="46"/>
      <c r="DB15" s="45"/>
      <c r="DC15" s="46"/>
      <c r="DD15" s="46"/>
      <c r="DE15" s="45"/>
      <c r="DF15" s="46"/>
      <c r="DG15" s="46"/>
      <c r="DH15" s="45"/>
      <c r="DI15" s="46"/>
      <c r="DJ15" s="46"/>
      <c r="DK15" s="45"/>
      <c r="DL15" s="46"/>
      <c r="DM15" s="45"/>
      <c r="DN15" s="45"/>
    </row>
    <row r="16" spans="1:121" ht="25.5" customHeight="1">
      <c r="A16" s="321">
        <v>4309</v>
      </c>
      <c r="B16" s="322" t="s">
        <v>11</v>
      </c>
      <c r="C16" s="322" t="s">
        <v>44</v>
      </c>
      <c r="D16" s="322" t="s">
        <v>76</v>
      </c>
      <c r="E16" s="323" t="s">
        <v>53</v>
      </c>
      <c r="F16" s="322"/>
      <c r="G16" s="323" t="s">
        <v>1186</v>
      </c>
      <c r="H16" s="324" t="s">
        <v>54</v>
      </c>
      <c r="I16" s="325"/>
      <c r="J16" s="323"/>
      <c r="K16" s="326"/>
      <c r="L16" s="327" t="s">
        <v>78</v>
      </c>
      <c r="M16" s="322" t="s">
        <v>77</v>
      </c>
      <c r="N16" s="322"/>
      <c r="O16" s="322" t="s">
        <v>77</v>
      </c>
      <c r="P16" s="328" t="s">
        <v>77</v>
      </c>
      <c r="Q16" s="327"/>
      <c r="R16" s="322"/>
      <c r="S16" s="322"/>
      <c r="T16" s="322"/>
      <c r="U16" s="329" t="s">
        <v>80</v>
      </c>
      <c r="V16" s="321"/>
      <c r="W16" s="323"/>
      <c r="X16" s="323"/>
      <c r="Y16" s="323"/>
      <c r="Z16" s="326"/>
      <c r="AA16" s="330"/>
      <c r="AB16" s="323"/>
      <c r="AC16" s="323"/>
      <c r="AD16" s="323"/>
      <c r="AE16" s="324"/>
      <c r="AF16" s="325"/>
      <c r="AG16" s="323"/>
      <c r="AH16" s="323"/>
      <c r="AI16" s="323"/>
      <c r="AJ16" s="326"/>
      <c r="AK16" s="330"/>
      <c r="AL16" s="323"/>
      <c r="AM16" s="323"/>
      <c r="AN16" s="323"/>
      <c r="AO16" s="324"/>
      <c r="AP16" s="325"/>
      <c r="AQ16" s="323"/>
      <c r="AR16" s="323"/>
      <c r="AS16" s="323"/>
      <c r="AT16" s="326"/>
      <c r="AU16" s="330"/>
      <c r="AV16" s="323"/>
      <c r="AW16" s="323"/>
      <c r="AX16" s="323"/>
      <c r="AY16" s="324"/>
      <c r="AZ16" s="325"/>
      <c r="BA16" s="323"/>
      <c r="BB16" s="323"/>
      <c r="BC16" s="323"/>
      <c r="BD16" s="326"/>
      <c r="BE16" s="330"/>
      <c r="BF16" s="323"/>
      <c r="BG16" s="323"/>
      <c r="BH16" s="323"/>
      <c r="BI16" s="324"/>
      <c r="BJ16" s="325"/>
      <c r="BK16" s="323"/>
      <c r="BL16" s="323"/>
      <c r="BM16" s="323"/>
      <c r="BN16" s="326"/>
      <c r="BO16" s="330"/>
      <c r="BP16" s="323"/>
      <c r="BQ16" s="323"/>
      <c r="BR16" s="323"/>
      <c r="BS16" s="324"/>
      <c r="BT16" s="325"/>
      <c r="BU16" s="323"/>
      <c r="BV16" s="323"/>
      <c r="BW16" s="323"/>
      <c r="BX16" s="326"/>
      <c r="BY16" s="330"/>
      <c r="BZ16" s="323"/>
      <c r="CA16" s="323"/>
      <c r="CB16" s="323"/>
      <c r="CC16" s="324"/>
      <c r="CD16" s="325"/>
      <c r="CE16" s="323"/>
      <c r="CF16" s="323"/>
      <c r="CG16" s="323"/>
      <c r="CH16" s="324"/>
      <c r="CI16" s="325"/>
      <c r="CJ16" s="323"/>
      <c r="CK16" s="323"/>
      <c r="CL16" s="323"/>
      <c r="CM16" s="326"/>
      <c r="CN16" s="45"/>
      <c r="CO16" s="45"/>
      <c r="CP16" s="45"/>
      <c r="CQ16" s="45"/>
      <c r="CR16" s="45"/>
      <c r="CS16" s="45"/>
      <c r="CT16" s="45"/>
      <c r="CU16" s="45"/>
      <c r="CV16" s="45"/>
      <c r="CW16" s="45"/>
      <c r="CX16" s="45"/>
      <c r="CY16" s="45"/>
      <c r="CZ16" s="45"/>
      <c r="DA16" s="45"/>
      <c r="DB16" s="45"/>
      <c r="DC16" s="45"/>
      <c r="DD16" s="45"/>
      <c r="DE16" s="45"/>
      <c r="DF16" s="45"/>
      <c r="DG16" s="45"/>
      <c r="DH16" s="45"/>
      <c r="DI16" s="45"/>
      <c r="DJ16" s="45"/>
      <c r="DK16" s="45"/>
      <c r="DL16" s="45"/>
      <c r="DM16" s="45"/>
      <c r="DN16" s="45"/>
    </row>
    <row r="17" spans="1:118" ht="25.5" customHeight="1">
      <c r="A17" s="321">
        <v>4310</v>
      </c>
      <c r="B17" s="322" t="s">
        <v>11</v>
      </c>
      <c r="C17" s="322" t="s">
        <v>44</v>
      </c>
      <c r="D17" s="322" t="s">
        <v>76</v>
      </c>
      <c r="E17" s="323" t="s">
        <v>53</v>
      </c>
      <c r="F17" s="322"/>
      <c r="G17" s="323" t="s">
        <v>1188</v>
      </c>
      <c r="H17" s="324" t="s">
        <v>54</v>
      </c>
      <c r="I17" s="325"/>
      <c r="J17" s="323"/>
      <c r="K17" s="326"/>
      <c r="L17" s="327" t="s">
        <v>78</v>
      </c>
      <c r="M17" s="322" t="s">
        <v>77</v>
      </c>
      <c r="N17" s="322"/>
      <c r="O17" s="322" t="s">
        <v>77</v>
      </c>
      <c r="P17" s="328" t="s">
        <v>77</v>
      </c>
      <c r="Q17" s="327"/>
      <c r="R17" s="322"/>
      <c r="S17" s="322"/>
      <c r="T17" s="322"/>
      <c r="U17" s="329" t="s">
        <v>80</v>
      </c>
      <c r="V17" s="321"/>
      <c r="W17" s="323"/>
      <c r="X17" s="323"/>
      <c r="Y17" s="323"/>
      <c r="Z17" s="326"/>
      <c r="AA17" s="330"/>
      <c r="AB17" s="323"/>
      <c r="AC17" s="323"/>
      <c r="AD17" s="323"/>
      <c r="AE17" s="324"/>
      <c r="AF17" s="325"/>
      <c r="AG17" s="323"/>
      <c r="AH17" s="323"/>
      <c r="AI17" s="323"/>
      <c r="AJ17" s="326"/>
      <c r="AK17" s="330"/>
      <c r="AL17" s="323"/>
      <c r="AM17" s="323"/>
      <c r="AN17" s="323"/>
      <c r="AO17" s="324"/>
      <c r="AP17" s="325"/>
      <c r="AQ17" s="323"/>
      <c r="AR17" s="323"/>
      <c r="AS17" s="323"/>
      <c r="AT17" s="326"/>
      <c r="AU17" s="330"/>
      <c r="AV17" s="323"/>
      <c r="AW17" s="323"/>
      <c r="AX17" s="323"/>
      <c r="AY17" s="324"/>
      <c r="AZ17" s="325"/>
      <c r="BA17" s="323"/>
      <c r="BB17" s="323"/>
      <c r="BC17" s="323"/>
      <c r="BD17" s="326"/>
      <c r="BE17" s="330"/>
      <c r="BF17" s="323"/>
      <c r="BG17" s="323"/>
      <c r="BH17" s="323"/>
      <c r="BI17" s="324"/>
      <c r="BJ17" s="325"/>
      <c r="BK17" s="323"/>
      <c r="BL17" s="323"/>
      <c r="BM17" s="323"/>
      <c r="BN17" s="326"/>
      <c r="BO17" s="330"/>
      <c r="BP17" s="323"/>
      <c r="BQ17" s="323"/>
      <c r="BR17" s="323"/>
      <c r="BS17" s="324"/>
      <c r="BT17" s="325"/>
      <c r="BU17" s="323"/>
      <c r="BV17" s="323"/>
      <c r="BW17" s="323"/>
      <c r="BX17" s="326"/>
      <c r="BY17" s="330"/>
      <c r="BZ17" s="323"/>
      <c r="CA17" s="323"/>
      <c r="CB17" s="323"/>
      <c r="CC17" s="324"/>
      <c r="CD17" s="325"/>
      <c r="CE17" s="323"/>
      <c r="CF17" s="323"/>
      <c r="CG17" s="323"/>
      <c r="CH17" s="324"/>
      <c r="CI17" s="325"/>
      <c r="CJ17" s="323"/>
      <c r="CK17" s="323"/>
      <c r="CL17" s="323"/>
      <c r="CM17" s="326"/>
      <c r="CN17" s="45"/>
      <c r="CO17" s="45"/>
      <c r="CP17" s="45"/>
      <c r="CQ17" s="45"/>
      <c r="CR17" s="45"/>
      <c r="CS17" s="45"/>
      <c r="CT17" s="45"/>
      <c r="CU17" s="45"/>
      <c r="CV17" s="45"/>
      <c r="CW17" s="45"/>
      <c r="CX17" s="45"/>
      <c r="CY17" s="45"/>
      <c r="CZ17" s="45"/>
      <c r="DA17" s="45"/>
      <c r="DB17" s="45"/>
      <c r="DC17" s="45"/>
      <c r="DD17" s="45"/>
      <c r="DE17" s="45"/>
      <c r="DF17" s="45"/>
      <c r="DG17" s="45"/>
      <c r="DH17" s="45"/>
      <c r="DI17" s="45"/>
      <c r="DJ17" s="45"/>
      <c r="DK17" s="45"/>
      <c r="DL17" s="45"/>
      <c r="DM17" s="45"/>
      <c r="DN17" s="45"/>
    </row>
    <row r="18" spans="1:118" ht="25.5" customHeight="1">
      <c r="A18" s="321">
        <v>4311</v>
      </c>
      <c r="B18" s="322" t="s">
        <v>11</v>
      </c>
      <c r="C18" s="322" t="s">
        <v>44</v>
      </c>
      <c r="D18" s="322" t="s">
        <v>76</v>
      </c>
      <c r="E18" s="323" t="s">
        <v>53</v>
      </c>
      <c r="F18" s="322"/>
      <c r="G18" s="323" t="s">
        <v>1190</v>
      </c>
      <c r="H18" s="324" t="s">
        <v>54</v>
      </c>
      <c r="I18" s="325"/>
      <c r="J18" s="323"/>
      <c r="K18" s="326"/>
      <c r="L18" s="327" t="s">
        <v>78</v>
      </c>
      <c r="M18" s="322" t="s">
        <v>77</v>
      </c>
      <c r="N18" s="322"/>
      <c r="O18" s="322" t="s">
        <v>77</v>
      </c>
      <c r="P18" s="328" t="s">
        <v>77</v>
      </c>
      <c r="Q18" s="327"/>
      <c r="R18" s="322"/>
      <c r="S18" s="322"/>
      <c r="T18" s="322"/>
      <c r="U18" s="329" t="s">
        <v>80</v>
      </c>
      <c r="V18" s="321"/>
      <c r="W18" s="323"/>
      <c r="X18" s="323"/>
      <c r="Y18" s="323"/>
      <c r="Z18" s="326"/>
      <c r="AA18" s="330"/>
      <c r="AB18" s="323"/>
      <c r="AC18" s="323"/>
      <c r="AD18" s="323"/>
      <c r="AE18" s="324"/>
      <c r="AF18" s="325"/>
      <c r="AG18" s="323"/>
      <c r="AH18" s="323"/>
      <c r="AI18" s="323"/>
      <c r="AJ18" s="326"/>
      <c r="AK18" s="330"/>
      <c r="AL18" s="323"/>
      <c r="AM18" s="323"/>
      <c r="AN18" s="323"/>
      <c r="AO18" s="324"/>
      <c r="AP18" s="325"/>
      <c r="AQ18" s="323"/>
      <c r="AR18" s="323"/>
      <c r="AS18" s="323"/>
      <c r="AT18" s="326"/>
      <c r="AU18" s="330"/>
      <c r="AV18" s="323"/>
      <c r="AW18" s="323"/>
      <c r="AX18" s="323"/>
      <c r="AY18" s="324"/>
      <c r="AZ18" s="325"/>
      <c r="BA18" s="323"/>
      <c r="BB18" s="323"/>
      <c r="BC18" s="323"/>
      <c r="BD18" s="326"/>
      <c r="BE18" s="330"/>
      <c r="BF18" s="323"/>
      <c r="BG18" s="323"/>
      <c r="BH18" s="323"/>
      <c r="BI18" s="324"/>
      <c r="BJ18" s="325"/>
      <c r="BK18" s="323"/>
      <c r="BL18" s="323"/>
      <c r="BM18" s="323"/>
      <c r="BN18" s="326"/>
      <c r="BO18" s="330"/>
      <c r="BP18" s="323"/>
      <c r="BQ18" s="323"/>
      <c r="BR18" s="323"/>
      <c r="BS18" s="324"/>
      <c r="BT18" s="325"/>
      <c r="BU18" s="323"/>
      <c r="BV18" s="323"/>
      <c r="BW18" s="323"/>
      <c r="BX18" s="326"/>
      <c r="BY18" s="330"/>
      <c r="BZ18" s="323"/>
      <c r="CA18" s="323"/>
      <c r="CB18" s="323"/>
      <c r="CC18" s="324"/>
      <c r="CD18" s="325"/>
      <c r="CE18" s="323"/>
      <c r="CF18" s="323"/>
      <c r="CG18" s="323"/>
      <c r="CH18" s="324"/>
      <c r="CI18" s="325"/>
      <c r="CJ18" s="323"/>
      <c r="CK18" s="323"/>
      <c r="CL18" s="323"/>
      <c r="CM18" s="326"/>
      <c r="CN18" s="45"/>
      <c r="CO18" s="45"/>
      <c r="CP18" s="45"/>
      <c r="CQ18" s="45"/>
      <c r="CR18" s="45"/>
      <c r="CS18" s="45"/>
      <c r="CT18" s="45"/>
      <c r="CU18" s="45"/>
      <c r="CV18" s="45"/>
      <c r="CW18" s="45"/>
      <c r="CX18" s="45"/>
      <c r="CY18" s="45"/>
      <c r="CZ18" s="45"/>
      <c r="DA18" s="45"/>
      <c r="DB18" s="45"/>
      <c r="DC18" s="45"/>
      <c r="DD18" s="45"/>
      <c r="DE18" s="45"/>
      <c r="DF18" s="45"/>
      <c r="DG18" s="45"/>
      <c r="DH18" s="45"/>
      <c r="DI18" s="45"/>
      <c r="DJ18" s="45"/>
      <c r="DK18" s="45"/>
      <c r="DL18" s="45"/>
      <c r="DM18" s="45"/>
      <c r="DN18" s="45"/>
    </row>
    <row r="19" spans="1:118" ht="25.5" customHeight="1" thickBot="1">
      <c r="A19" s="351">
        <v>4312</v>
      </c>
      <c r="B19" s="352" t="s">
        <v>11</v>
      </c>
      <c r="C19" s="352" t="s">
        <v>44</v>
      </c>
      <c r="D19" s="352" t="s">
        <v>76</v>
      </c>
      <c r="E19" s="353" t="s">
        <v>53</v>
      </c>
      <c r="F19" s="352"/>
      <c r="G19" s="353" t="s">
        <v>1192</v>
      </c>
      <c r="H19" s="354" t="s">
        <v>54</v>
      </c>
      <c r="I19" s="355"/>
      <c r="J19" s="353"/>
      <c r="K19" s="356"/>
      <c r="L19" s="357" t="s">
        <v>78</v>
      </c>
      <c r="M19" s="352" t="s">
        <v>77</v>
      </c>
      <c r="N19" s="352"/>
      <c r="O19" s="352" t="s">
        <v>77</v>
      </c>
      <c r="P19" s="358" t="s">
        <v>77</v>
      </c>
      <c r="Q19" s="357"/>
      <c r="R19" s="352"/>
      <c r="S19" s="352"/>
      <c r="T19" s="352"/>
      <c r="U19" s="359" t="s">
        <v>80</v>
      </c>
      <c r="V19" s="351"/>
      <c r="W19" s="353"/>
      <c r="X19" s="353"/>
      <c r="Y19" s="353"/>
      <c r="Z19" s="356"/>
      <c r="AA19" s="360"/>
      <c r="AB19" s="353"/>
      <c r="AC19" s="353"/>
      <c r="AD19" s="353"/>
      <c r="AE19" s="354"/>
      <c r="AF19" s="355"/>
      <c r="AG19" s="353"/>
      <c r="AH19" s="353"/>
      <c r="AI19" s="353"/>
      <c r="AJ19" s="356"/>
      <c r="AK19" s="360"/>
      <c r="AL19" s="353"/>
      <c r="AM19" s="353"/>
      <c r="AN19" s="353"/>
      <c r="AO19" s="354"/>
      <c r="AP19" s="355"/>
      <c r="AQ19" s="353"/>
      <c r="AR19" s="353"/>
      <c r="AS19" s="353"/>
      <c r="AT19" s="356"/>
      <c r="AU19" s="360"/>
      <c r="AV19" s="353"/>
      <c r="AW19" s="353"/>
      <c r="AX19" s="353"/>
      <c r="AY19" s="354"/>
      <c r="AZ19" s="355"/>
      <c r="BA19" s="353"/>
      <c r="BB19" s="353"/>
      <c r="BC19" s="353"/>
      <c r="BD19" s="356"/>
      <c r="BE19" s="360"/>
      <c r="BF19" s="353"/>
      <c r="BG19" s="353"/>
      <c r="BH19" s="353"/>
      <c r="BI19" s="354"/>
      <c r="BJ19" s="355"/>
      <c r="BK19" s="353"/>
      <c r="BL19" s="353"/>
      <c r="BM19" s="353"/>
      <c r="BN19" s="356"/>
      <c r="BO19" s="360"/>
      <c r="BP19" s="353"/>
      <c r="BQ19" s="353"/>
      <c r="BR19" s="353"/>
      <c r="BS19" s="354"/>
      <c r="BT19" s="355"/>
      <c r="BU19" s="353"/>
      <c r="BV19" s="353"/>
      <c r="BW19" s="353"/>
      <c r="BX19" s="356"/>
      <c r="BY19" s="360"/>
      <c r="BZ19" s="353"/>
      <c r="CA19" s="353"/>
      <c r="CB19" s="353"/>
      <c r="CC19" s="354"/>
      <c r="CD19" s="355"/>
      <c r="CE19" s="353"/>
      <c r="CF19" s="353"/>
      <c r="CG19" s="353"/>
      <c r="CH19" s="354"/>
      <c r="CI19" s="355"/>
      <c r="CJ19" s="353"/>
      <c r="CK19" s="353"/>
      <c r="CL19" s="353"/>
      <c r="CM19" s="356"/>
      <c r="CN19" s="45"/>
      <c r="CO19" s="45"/>
      <c r="CP19" s="45"/>
      <c r="CQ19" s="45"/>
      <c r="CR19" s="45"/>
      <c r="CS19" s="45"/>
      <c r="CT19" s="45"/>
      <c r="CU19" s="45"/>
      <c r="CV19" s="45"/>
      <c r="CW19" s="45"/>
      <c r="CX19" s="45"/>
      <c r="CY19" s="45"/>
      <c r="CZ19" s="45"/>
      <c r="DA19" s="45"/>
      <c r="DB19" s="45"/>
      <c r="DC19" s="45"/>
      <c r="DD19" s="45"/>
      <c r="DE19" s="45"/>
      <c r="DF19" s="45"/>
      <c r="DG19" s="45"/>
      <c r="DH19" s="45"/>
      <c r="DI19" s="45"/>
      <c r="DJ19" s="45"/>
      <c r="DK19" s="45"/>
      <c r="DL19" s="45"/>
      <c r="DM19" s="45"/>
      <c r="DN19" s="45"/>
    </row>
    <row r="20" spans="1:118" ht="25.5" customHeight="1">
      <c r="A20" s="361">
        <v>4313</v>
      </c>
      <c r="B20" s="362" t="s">
        <v>11</v>
      </c>
      <c r="C20" s="362" t="s">
        <v>44</v>
      </c>
      <c r="D20" s="362" t="s">
        <v>76</v>
      </c>
      <c r="E20" s="363" t="s">
        <v>53</v>
      </c>
      <c r="F20" s="362"/>
      <c r="G20" s="363" t="s">
        <v>1194</v>
      </c>
      <c r="H20" s="364" t="s">
        <v>54</v>
      </c>
      <c r="I20" s="365"/>
      <c r="J20" s="363"/>
      <c r="K20" s="366"/>
      <c r="L20" s="367" t="s">
        <v>78</v>
      </c>
      <c r="M20" s="362" t="s">
        <v>77</v>
      </c>
      <c r="N20" s="362"/>
      <c r="O20" s="362" t="s">
        <v>77</v>
      </c>
      <c r="P20" s="368" t="s">
        <v>77</v>
      </c>
      <c r="Q20" s="367"/>
      <c r="R20" s="362"/>
      <c r="S20" s="362"/>
      <c r="T20" s="362"/>
      <c r="U20" s="369" t="s">
        <v>80</v>
      </c>
      <c r="V20" s="361"/>
      <c r="W20" s="363"/>
      <c r="X20" s="363"/>
      <c r="Y20" s="363"/>
      <c r="Z20" s="366"/>
      <c r="AA20" s="370"/>
      <c r="AB20" s="363"/>
      <c r="AC20" s="363"/>
      <c r="AD20" s="363"/>
      <c r="AE20" s="364"/>
      <c r="AF20" s="365"/>
      <c r="AG20" s="363"/>
      <c r="AH20" s="363"/>
      <c r="AI20" s="363"/>
      <c r="AJ20" s="366"/>
      <c r="AK20" s="370"/>
      <c r="AL20" s="363"/>
      <c r="AM20" s="363"/>
      <c r="AN20" s="363"/>
      <c r="AO20" s="364"/>
      <c r="AP20" s="365"/>
      <c r="AQ20" s="363"/>
      <c r="AR20" s="363"/>
      <c r="AS20" s="363"/>
      <c r="AT20" s="366"/>
      <c r="AU20" s="370"/>
      <c r="AV20" s="363"/>
      <c r="AW20" s="363"/>
      <c r="AX20" s="363"/>
      <c r="AY20" s="364"/>
      <c r="AZ20" s="365"/>
      <c r="BA20" s="363"/>
      <c r="BB20" s="363"/>
      <c r="BC20" s="363"/>
      <c r="BD20" s="366"/>
      <c r="BE20" s="370"/>
      <c r="BF20" s="363"/>
      <c r="BG20" s="363"/>
      <c r="BH20" s="363"/>
      <c r="BI20" s="364"/>
      <c r="BJ20" s="365"/>
      <c r="BK20" s="363"/>
      <c r="BL20" s="363"/>
      <c r="BM20" s="363"/>
      <c r="BN20" s="366"/>
      <c r="BO20" s="370"/>
      <c r="BP20" s="363"/>
      <c r="BQ20" s="363"/>
      <c r="BR20" s="363"/>
      <c r="BS20" s="364"/>
      <c r="BT20" s="365"/>
      <c r="BU20" s="363"/>
      <c r="BV20" s="363"/>
      <c r="BW20" s="363"/>
      <c r="BX20" s="366"/>
      <c r="BY20" s="370"/>
      <c r="BZ20" s="363"/>
      <c r="CA20" s="363"/>
      <c r="CB20" s="363"/>
      <c r="CC20" s="364"/>
      <c r="CD20" s="365"/>
      <c r="CE20" s="363"/>
      <c r="CF20" s="363"/>
      <c r="CG20" s="363"/>
      <c r="CH20" s="364"/>
      <c r="CI20" s="365"/>
      <c r="CJ20" s="363"/>
      <c r="CK20" s="363"/>
      <c r="CL20" s="363"/>
      <c r="CM20" s="366"/>
      <c r="CN20" s="45"/>
      <c r="CO20" s="45"/>
      <c r="CP20" s="45"/>
      <c r="CQ20" s="45"/>
      <c r="CR20" s="45"/>
      <c r="CS20" s="45"/>
      <c r="CT20" s="45"/>
      <c r="CU20" s="45"/>
      <c r="CV20" s="45"/>
      <c r="CW20" s="45"/>
      <c r="CX20" s="46"/>
      <c r="CY20" s="45"/>
      <c r="CZ20" s="45"/>
      <c r="DA20" s="46"/>
      <c r="DB20" s="45"/>
      <c r="DC20" s="45"/>
      <c r="DD20" s="45"/>
      <c r="DE20" s="45"/>
      <c r="DF20" s="46"/>
      <c r="DG20" s="45"/>
      <c r="DH20" s="45"/>
      <c r="DI20" s="45"/>
      <c r="DJ20" s="45"/>
      <c r="DK20" s="45"/>
      <c r="DL20" s="45"/>
      <c r="DM20" s="45"/>
      <c r="DN20" s="45"/>
    </row>
    <row r="21" spans="1:118" ht="25.5" customHeight="1">
      <c r="A21" s="321">
        <v>4314</v>
      </c>
      <c r="B21" s="322" t="s">
        <v>11</v>
      </c>
      <c r="C21" s="322" t="s">
        <v>44</v>
      </c>
      <c r="D21" s="322" t="s">
        <v>76</v>
      </c>
      <c r="E21" s="323" t="s">
        <v>53</v>
      </c>
      <c r="F21" s="322"/>
      <c r="G21" s="323" t="s">
        <v>1196</v>
      </c>
      <c r="H21" s="324" t="s">
        <v>54</v>
      </c>
      <c r="I21" s="325"/>
      <c r="J21" s="323"/>
      <c r="K21" s="326"/>
      <c r="L21" s="327" t="s">
        <v>78</v>
      </c>
      <c r="M21" s="322" t="s">
        <v>77</v>
      </c>
      <c r="N21" s="322"/>
      <c r="O21" s="322" t="s">
        <v>77</v>
      </c>
      <c r="P21" s="328" t="s">
        <v>77</v>
      </c>
      <c r="Q21" s="327"/>
      <c r="R21" s="322"/>
      <c r="S21" s="322"/>
      <c r="T21" s="322"/>
      <c r="U21" s="329" t="s">
        <v>80</v>
      </c>
      <c r="V21" s="321"/>
      <c r="W21" s="323"/>
      <c r="X21" s="323"/>
      <c r="Y21" s="323"/>
      <c r="Z21" s="326"/>
      <c r="AA21" s="330"/>
      <c r="AB21" s="323"/>
      <c r="AC21" s="323"/>
      <c r="AD21" s="323"/>
      <c r="AE21" s="324"/>
      <c r="AF21" s="325"/>
      <c r="AG21" s="323"/>
      <c r="AH21" s="323"/>
      <c r="AI21" s="323"/>
      <c r="AJ21" s="326"/>
      <c r="AK21" s="330"/>
      <c r="AL21" s="323"/>
      <c r="AM21" s="323"/>
      <c r="AN21" s="323"/>
      <c r="AO21" s="324"/>
      <c r="AP21" s="325"/>
      <c r="AQ21" s="323"/>
      <c r="AR21" s="323"/>
      <c r="AS21" s="323"/>
      <c r="AT21" s="326"/>
      <c r="AU21" s="330"/>
      <c r="AV21" s="323"/>
      <c r="AW21" s="323"/>
      <c r="AX21" s="323"/>
      <c r="AY21" s="324"/>
      <c r="AZ21" s="325"/>
      <c r="BA21" s="323"/>
      <c r="BB21" s="323"/>
      <c r="BC21" s="323"/>
      <c r="BD21" s="326"/>
      <c r="BE21" s="330"/>
      <c r="BF21" s="323"/>
      <c r="BG21" s="323"/>
      <c r="BH21" s="323"/>
      <c r="BI21" s="324"/>
      <c r="BJ21" s="325"/>
      <c r="BK21" s="323"/>
      <c r="BL21" s="323"/>
      <c r="BM21" s="323"/>
      <c r="BN21" s="326"/>
      <c r="BO21" s="330"/>
      <c r="BP21" s="323"/>
      <c r="BQ21" s="323"/>
      <c r="BR21" s="323"/>
      <c r="BS21" s="324"/>
      <c r="BT21" s="325"/>
      <c r="BU21" s="323"/>
      <c r="BV21" s="323"/>
      <c r="BW21" s="323"/>
      <c r="BX21" s="326"/>
      <c r="BY21" s="330"/>
      <c r="BZ21" s="323"/>
      <c r="CA21" s="323"/>
      <c r="CB21" s="323"/>
      <c r="CC21" s="324"/>
      <c r="CD21" s="325"/>
      <c r="CE21" s="323"/>
      <c r="CF21" s="323"/>
      <c r="CG21" s="323"/>
      <c r="CH21" s="324"/>
      <c r="CI21" s="325"/>
      <c r="CJ21" s="323"/>
      <c r="CK21" s="323"/>
      <c r="CL21" s="323"/>
      <c r="CM21" s="326"/>
    </row>
    <row r="22" spans="1:118" ht="25.5" customHeight="1">
      <c r="A22" s="321">
        <v>4315</v>
      </c>
      <c r="B22" s="322" t="s">
        <v>11</v>
      </c>
      <c r="C22" s="322" t="s">
        <v>44</v>
      </c>
      <c r="D22" s="322" t="s">
        <v>76</v>
      </c>
      <c r="E22" s="323" t="s">
        <v>53</v>
      </c>
      <c r="F22" s="322"/>
      <c r="G22" s="323" t="s">
        <v>1198</v>
      </c>
      <c r="H22" s="371" t="s">
        <v>54</v>
      </c>
      <c r="I22" s="325"/>
      <c r="J22" s="323"/>
      <c r="K22" s="326"/>
      <c r="L22" s="327" t="s">
        <v>78</v>
      </c>
      <c r="M22" s="322" t="s">
        <v>77</v>
      </c>
      <c r="N22" s="322"/>
      <c r="O22" s="322" t="s">
        <v>77</v>
      </c>
      <c r="P22" s="328" t="s">
        <v>77</v>
      </c>
      <c r="Q22" s="327"/>
      <c r="R22" s="322"/>
      <c r="S22" s="322"/>
      <c r="T22" s="322"/>
      <c r="U22" s="329" t="s">
        <v>80</v>
      </c>
      <c r="V22" s="321"/>
      <c r="W22" s="372"/>
      <c r="X22" s="372"/>
      <c r="Y22" s="372"/>
      <c r="Z22" s="373"/>
      <c r="AA22" s="374"/>
      <c r="AB22" s="372"/>
      <c r="AC22" s="372"/>
      <c r="AD22" s="372"/>
      <c r="AE22" s="371"/>
      <c r="AF22" s="375"/>
      <c r="AG22" s="372"/>
      <c r="AH22" s="372"/>
      <c r="AI22" s="372"/>
      <c r="AJ22" s="373"/>
      <c r="AK22" s="374"/>
      <c r="AL22" s="372"/>
      <c r="AM22" s="372"/>
      <c r="AN22" s="372"/>
      <c r="AO22" s="371"/>
      <c r="AP22" s="375"/>
      <c r="AQ22" s="372"/>
      <c r="AR22" s="372"/>
      <c r="AS22" s="372"/>
      <c r="AT22" s="373"/>
      <c r="AU22" s="374"/>
      <c r="AV22" s="372"/>
      <c r="AW22" s="372"/>
      <c r="AX22" s="372"/>
      <c r="AY22" s="371"/>
      <c r="AZ22" s="375"/>
      <c r="BA22" s="372"/>
      <c r="BB22" s="372"/>
      <c r="BC22" s="372"/>
      <c r="BD22" s="373"/>
      <c r="BE22" s="374"/>
      <c r="BF22" s="372"/>
      <c r="BG22" s="372"/>
      <c r="BH22" s="372"/>
      <c r="BI22" s="371"/>
      <c r="BJ22" s="375"/>
      <c r="BK22" s="372"/>
      <c r="BL22" s="372"/>
      <c r="BM22" s="372"/>
      <c r="BN22" s="373"/>
      <c r="BO22" s="374"/>
      <c r="BP22" s="372"/>
      <c r="BQ22" s="372"/>
      <c r="BR22" s="372"/>
      <c r="BS22" s="371"/>
      <c r="BT22" s="375"/>
      <c r="BU22" s="372"/>
      <c r="BV22" s="372"/>
      <c r="BW22" s="372"/>
      <c r="BX22" s="373"/>
      <c r="BY22" s="374"/>
      <c r="BZ22" s="372"/>
      <c r="CA22" s="372"/>
      <c r="CB22" s="372"/>
      <c r="CC22" s="371"/>
      <c r="CD22" s="375"/>
      <c r="CE22" s="372"/>
      <c r="CF22" s="372"/>
      <c r="CG22" s="372"/>
      <c r="CH22" s="371"/>
      <c r="CI22" s="375"/>
      <c r="CJ22" s="372"/>
      <c r="CK22" s="372"/>
      <c r="CL22" s="372"/>
      <c r="CM22" s="373"/>
    </row>
    <row r="23" spans="1:118" ht="25.5" customHeight="1">
      <c r="A23" s="321">
        <v>4316</v>
      </c>
      <c r="B23" s="322" t="s">
        <v>11</v>
      </c>
      <c r="C23" s="322" t="s">
        <v>44</v>
      </c>
      <c r="D23" s="322" t="s">
        <v>76</v>
      </c>
      <c r="E23" s="323" t="s">
        <v>53</v>
      </c>
      <c r="F23" s="322"/>
      <c r="G23" s="323" t="s">
        <v>1200</v>
      </c>
      <c r="H23" s="371" t="s">
        <v>54</v>
      </c>
      <c r="I23" s="325"/>
      <c r="J23" s="323"/>
      <c r="K23" s="326"/>
      <c r="L23" s="327" t="s">
        <v>78</v>
      </c>
      <c r="M23" s="322" t="s">
        <v>77</v>
      </c>
      <c r="N23" s="322"/>
      <c r="O23" s="322" t="s">
        <v>77</v>
      </c>
      <c r="P23" s="328" t="s">
        <v>77</v>
      </c>
      <c r="Q23" s="327"/>
      <c r="R23" s="322"/>
      <c r="S23" s="322"/>
      <c r="T23" s="322"/>
      <c r="U23" s="329" t="s">
        <v>80</v>
      </c>
      <c r="V23" s="321"/>
      <c r="W23" s="372"/>
      <c r="X23" s="372"/>
      <c r="Y23" s="372"/>
      <c r="Z23" s="373"/>
      <c r="AA23" s="374"/>
      <c r="AB23" s="372"/>
      <c r="AC23" s="372"/>
      <c r="AD23" s="372"/>
      <c r="AE23" s="371"/>
      <c r="AF23" s="375"/>
      <c r="AG23" s="372"/>
      <c r="AH23" s="372"/>
      <c r="AI23" s="372"/>
      <c r="AJ23" s="373"/>
      <c r="AK23" s="374"/>
      <c r="AL23" s="372"/>
      <c r="AM23" s="372"/>
      <c r="AN23" s="372"/>
      <c r="AO23" s="371"/>
      <c r="AP23" s="375"/>
      <c r="AQ23" s="372"/>
      <c r="AR23" s="372"/>
      <c r="AS23" s="372"/>
      <c r="AT23" s="373"/>
      <c r="AU23" s="374"/>
      <c r="AV23" s="372"/>
      <c r="AW23" s="372"/>
      <c r="AX23" s="372"/>
      <c r="AY23" s="371"/>
      <c r="AZ23" s="375"/>
      <c r="BA23" s="372"/>
      <c r="BB23" s="372"/>
      <c r="BC23" s="372"/>
      <c r="BD23" s="373"/>
      <c r="BE23" s="374"/>
      <c r="BF23" s="372"/>
      <c r="BG23" s="372"/>
      <c r="BH23" s="372"/>
      <c r="BI23" s="371"/>
      <c r="BJ23" s="375"/>
      <c r="BK23" s="372"/>
      <c r="BL23" s="372"/>
      <c r="BM23" s="372"/>
      <c r="BN23" s="373"/>
      <c r="BO23" s="374"/>
      <c r="BP23" s="372"/>
      <c r="BQ23" s="372"/>
      <c r="BR23" s="372"/>
      <c r="BS23" s="371"/>
      <c r="BT23" s="375"/>
      <c r="BU23" s="372"/>
      <c r="BV23" s="372"/>
      <c r="BW23" s="372"/>
      <c r="BX23" s="373"/>
      <c r="BY23" s="374"/>
      <c r="BZ23" s="372"/>
      <c r="CA23" s="372"/>
      <c r="CB23" s="372"/>
      <c r="CC23" s="371"/>
      <c r="CD23" s="375"/>
      <c r="CE23" s="372"/>
      <c r="CF23" s="372"/>
      <c r="CG23" s="372"/>
      <c r="CH23" s="371"/>
      <c r="CI23" s="375"/>
      <c r="CJ23" s="372"/>
      <c r="CK23" s="372"/>
      <c r="CL23" s="372"/>
      <c r="CM23" s="373"/>
    </row>
    <row r="24" spans="1:118" ht="25.5" customHeight="1" thickBot="1">
      <c r="A24" s="331">
        <v>4317</v>
      </c>
      <c r="B24" s="332" t="s">
        <v>11</v>
      </c>
      <c r="C24" s="332" t="s">
        <v>44</v>
      </c>
      <c r="D24" s="332" t="s">
        <v>76</v>
      </c>
      <c r="E24" s="333" t="s">
        <v>53</v>
      </c>
      <c r="F24" s="332"/>
      <c r="G24" s="333" t="s">
        <v>1202</v>
      </c>
      <c r="H24" s="376" t="s">
        <v>54</v>
      </c>
      <c r="I24" s="335"/>
      <c r="J24" s="333"/>
      <c r="K24" s="336"/>
      <c r="L24" s="337" t="s">
        <v>78</v>
      </c>
      <c r="M24" s="332" t="s">
        <v>77</v>
      </c>
      <c r="N24" s="332"/>
      <c r="O24" s="332" t="s">
        <v>77</v>
      </c>
      <c r="P24" s="338" t="s">
        <v>77</v>
      </c>
      <c r="Q24" s="337"/>
      <c r="R24" s="332"/>
      <c r="S24" s="332"/>
      <c r="T24" s="332"/>
      <c r="U24" s="339" t="s">
        <v>80</v>
      </c>
      <c r="V24" s="331"/>
      <c r="W24" s="377"/>
      <c r="X24" s="377"/>
      <c r="Y24" s="377"/>
      <c r="Z24" s="378"/>
      <c r="AA24" s="379"/>
      <c r="AB24" s="377"/>
      <c r="AC24" s="377"/>
      <c r="AD24" s="377"/>
      <c r="AE24" s="376"/>
      <c r="AF24" s="380"/>
      <c r="AG24" s="377"/>
      <c r="AH24" s="377"/>
      <c r="AI24" s="377"/>
      <c r="AJ24" s="378"/>
      <c r="AK24" s="379"/>
      <c r="AL24" s="377"/>
      <c r="AM24" s="377"/>
      <c r="AN24" s="377"/>
      <c r="AO24" s="376"/>
      <c r="AP24" s="380"/>
      <c r="AQ24" s="377"/>
      <c r="AR24" s="377"/>
      <c r="AS24" s="377"/>
      <c r="AT24" s="378"/>
      <c r="AU24" s="379"/>
      <c r="AV24" s="377"/>
      <c r="AW24" s="377"/>
      <c r="AX24" s="377"/>
      <c r="AY24" s="376"/>
      <c r="AZ24" s="380"/>
      <c r="BA24" s="377"/>
      <c r="BB24" s="377"/>
      <c r="BC24" s="377"/>
      <c r="BD24" s="378"/>
      <c r="BE24" s="379"/>
      <c r="BF24" s="377"/>
      <c r="BG24" s="377"/>
      <c r="BH24" s="377"/>
      <c r="BI24" s="376"/>
      <c r="BJ24" s="380"/>
      <c r="BK24" s="377"/>
      <c r="BL24" s="377"/>
      <c r="BM24" s="377"/>
      <c r="BN24" s="378"/>
      <c r="BO24" s="379"/>
      <c r="BP24" s="377"/>
      <c r="BQ24" s="377"/>
      <c r="BR24" s="377"/>
      <c r="BS24" s="376"/>
      <c r="BT24" s="380"/>
      <c r="BU24" s="377"/>
      <c r="BV24" s="377"/>
      <c r="BW24" s="377"/>
      <c r="BX24" s="378"/>
      <c r="BY24" s="379"/>
      <c r="BZ24" s="377"/>
      <c r="CA24" s="377"/>
      <c r="CB24" s="377"/>
      <c r="CC24" s="376"/>
      <c r="CD24" s="380"/>
      <c r="CE24" s="377"/>
      <c r="CF24" s="377"/>
      <c r="CG24" s="377"/>
      <c r="CH24" s="376"/>
      <c r="CI24" s="380"/>
      <c r="CJ24" s="377"/>
      <c r="CK24" s="377"/>
      <c r="CL24" s="377"/>
      <c r="CM24" s="378"/>
    </row>
    <row r="25" spans="1:118" ht="25.5" customHeight="1">
      <c r="A25" s="341">
        <v>4318</v>
      </c>
      <c r="B25" s="342" t="s">
        <v>11</v>
      </c>
      <c r="C25" s="342" t="s">
        <v>44</v>
      </c>
      <c r="D25" s="342" t="s">
        <v>76</v>
      </c>
      <c r="E25" s="343" t="s">
        <v>53</v>
      </c>
      <c r="F25" s="342"/>
      <c r="G25" s="343" t="s">
        <v>1204</v>
      </c>
      <c r="H25" s="344" t="s">
        <v>54</v>
      </c>
      <c r="I25" s="345"/>
      <c r="J25" s="343"/>
      <c r="K25" s="346"/>
      <c r="L25" s="347" t="s">
        <v>78</v>
      </c>
      <c r="M25" s="342" t="s">
        <v>77</v>
      </c>
      <c r="N25" s="342"/>
      <c r="O25" s="342" t="s">
        <v>77</v>
      </c>
      <c r="P25" s="348" t="s">
        <v>77</v>
      </c>
      <c r="Q25" s="347"/>
      <c r="R25" s="342"/>
      <c r="S25" s="342"/>
      <c r="T25" s="342"/>
      <c r="U25" s="349" t="s">
        <v>80</v>
      </c>
      <c r="V25" s="341"/>
      <c r="W25" s="381"/>
      <c r="X25" s="381"/>
      <c r="Y25" s="381"/>
      <c r="Z25" s="382"/>
      <c r="AA25" s="383"/>
      <c r="AB25" s="381"/>
      <c r="AC25" s="381"/>
      <c r="AD25" s="381"/>
      <c r="AE25" s="384"/>
      <c r="AF25" s="385"/>
      <c r="AG25" s="381"/>
      <c r="AH25" s="381"/>
      <c r="AI25" s="381"/>
      <c r="AJ25" s="382"/>
      <c r="AK25" s="383"/>
      <c r="AL25" s="381"/>
      <c r="AM25" s="381"/>
      <c r="AN25" s="381"/>
      <c r="AO25" s="384"/>
      <c r="AP25" s="385"/>
      <c r="AQ25" s="381"/>
      <c r="AR25" s="381"/>
      <c r="AS25" s="381"/>
      <c r="AT25" s="382"/>
      <c r="AU25" s="383"/>
      <c r="AV25" s="381"/>
      <c r="AW25" s="381"/>
      <c r="AX25" s="381"/>
      <c r="AY25" s="384"/>
      <c r="AZ25" s="385"/>
      <c r="BA25" s="381"/>
      <c r="BB25" s="381"/>
      <c r="BC25" s="381"/>
      <c r="BD25" s="382"/>
      <c r="BE25" s="383"/>
      <c r="BF25" s="381"/>
      <c r="BG25" s="381"/>
      <c r="BH25" s="381"/>
      <c r="BI25" s="384"/>
      <c r="BJ25" s="385"/>
      <c r="BK25" s="381"/>
      <c r="BL25" s="381"/>
      <c r="BM25" s="381"/>
      <c r="BN25" s="382"/>
      <c r="BO25" s="383"/>
      <c r="BP25" s="381"/>
      <c r="BQ25" s="381"/>
      <c r="BR25" s="381"/>
      <c r="BS25" s="384"/>
      <c r="BT25" s="385"/>
      <c r="BU25" s="381"/>
      <c r="BV25" s="381"/>
      <c r="BW25" s="381"/>
      <c r="BX25" s="382"/>
      <c r="BY25" s="383"/>
      <c r="BZ25" s="381"/>
      <c r="CA25" s="381"/>
      <c r="CB25" s="381"/>
      <c r="CC25" s="384"/>
      <c r="CD25" s="385"/>
      <c r="CE25" s="381"/>
      <c r="CF25" s="381"/>
      <c r="CG25" s="381"/>
      <c r="CH25" s="384"/>
      <c r="CI25" s="385"/>
      <c r="CJ25" s="381"/>
      <c r="CK25" s="381"/>
      <c r="CL25" s="381"/>
      <c r="CM25" s="382"/>
    </row>
    <row r="26" spans="1:118" ht="25.5" customHeight="1">
      <c r="A26" s="386">
        <v>4319</v>
      </c>
      <c r="B26" s="387" t="s">
        <v>11</v>
      </c>
      <c r="C26" s="387" t="s">
        <v>44</v>
      </c>
      <c r="D26" s="387" t="s">
        <v>76</v>
      </c>
      <c r="E26" s="372" t="s">
        <v>53</v>
      </c>
      <c r="F26" s="387"/>
      <c r="G26" s="372" t="s">
        <v>1206</v>
      </c>
      <c r="H26" s="371" t="s">
        <v>54</v>
      </c>
      <c r="I26" s="375"/>
      <c r="J26" s="372"/>
      <c r="K26" s="373"/>
      <c r="L26" s="388" t="s">
        <v>78</v>
      </c>
      <c r="M26" s="387" t="s">
        <v>77</v>
      </c>
      <c r="N26" s="387"/>
      <c r="O26" s="387" t="s">
        <v>77</v>
      </c>
      <c r="P26" s="389" t="s">
        <v>77</v>
      </c>
      <c r="Q26" s="388"/>
      <c r="R26" s="387"/>
      <c r="S26" s="387"/>
      <c r="T26" s="387"/>
      <c r="U26" s="390" t="s">
        <v>80</v>
      </c>
      <c r="V26" s="386"/>
      <c r="W26" s="372"/>
      <c r="X26" s="372"/>
      <c r="Y26" s="372"/>
      <c r="Z26" s="373"/>
      <c r="AA26" s="374"/>
      <c r="AB26" s="372"/>
      <c r="AC26" s="372"/>
      <c r="AD26" s="372"/>
      <c r="AE26" s="371"/>
      <c r="AF26" s="375"/>
      <c r="AG26" s="372"/>
      <c r="AH26" s="372"/>
      <c r="AI26" s="372"/>
      <c r="AJ26" s="373"/>
      <c r="AK26" s="374"/>
      <c r="AL26" s="372"/>
      <c r="AM26" s="372"/>
      <c r="AN26" s="372"/>
      <c r="AO26" s="371"/>
      <c r="AP26" s="375"/>
      <c r="AQ26" s="372"/>
      <c r="AR26" s="372"/>
      <c r="AS26" s="372"/>
      <c r="AT26" s="373"/>
      <c r="AU26" s="374"/>
      <c r="AV26" s="372"/>
      <c r="AW26" s="372"/>
      <c r="AX26" s="372"/>
      <c r="AY26" s="371"/>
      <c r="AZ26" s="375"/>
      <c r="BA26" s="372"/>
      <c r="BB26" s="372"/>
      <c r="BC26" s="372"/>
      <c r="BD26" s="373"/>
      <c r="BE26" s="374"/>
      <c r="BF26" s="372"/>
      <c r="BG26" s="372"/>
      <c r="BH26" s="372"/>
      <c r="BI26" s="371"/>
      <c r="BJ26" s="375"/>
      <c r="BK26" s="372"/>
      <c r="BL26" s="372"/>
      <c r="BM26" s="372"/>
      <c r="BN26" s="373"/>
      <c r="BO26" s="374"/>
      <c r="BP26" s="372"/>
      <c r="BQ26" s="372"/>
      <c r="BR26" s="372"/>
      <c r="BS26" s="371"/>
      <c r="BT26" s="375"/>
      <c r="BU26" s="372"/>
      <c r="BV26" s="372"/>
      <c r="BW26" s="372"/>
      <c r="BX26" s="373"/>
      <c r="BY26" s="374"/>
      <c r="BZ26" s="372"/>
      <c r="CA26" s="372"/>
      <c r="CB26" s="372"/>
      <c r="CC26" s="371"/>
      <c r="CD26" s="375"/>
      <c r="CE26" s="372"/>
      <c r="CF26" s="372"/>
      <c r="CG26" s="372"/>
      <c r="CH26" s="371"/>
      <c r="CI26" s="375"/>
      <c r="CJ26" s="372"/>
      <c r="CK26" s="372"/>
      <c r="CL26" s="372"/>
      <c r="CM26" s="373"/>
    </row>
    <row r="27" spans="1:118" ht="25.5" customHeight="1">
      <c r="A27" s="386">
        <v>4320</v>
      </c>
      <c r="B27" s="387" t="s">
        <v>11</v>
      </c>
      <c r="C27" s="387" t="s">
        <v>44</v>
      </c>
      <c r="D27" s="387" t="s">
        <v>76</v>
      </c>
      <c r="E27" s="372" t="s">
        <v>53</v>
      </c>
      <c r="F27" s="387"/>
      <c r="G27" s="372" t="s">
        <v>1208</v>
      </c>
      <c r="H27" s="371" t="s">
        <v>54</v>
      </c>
      <c r="I27" s="375"/>
      <c r="J27" s="372"/>
      <c r="K27" s="373"/>
      <c r="L27" s="388" t="s">
        <v>78</v>
      </c>
      <c r="M27" s="387" t="s">
        <v>77</v>
      </c>
      <c r="N27" s="387"/>
      <c r="O27" s="387" t="s">
        <v>77</v>
      </c>
      <c r="P27" s="389" t="s">
        <v>77</v>
      </c>
      <c r="Q27" s="388"/>
      <c r="R27" s="387"/>
      <c r="S27" s="387"/>
      <c r="T27" s="387"/>
      <c r="U27" s="390" t="s">
        <v>80</v>
      </c>
      <c r="V27" s="386"/>
      <c r="W27" s="372"/>
      <c r="X27" s="372"/>
      <c r="Y27" s="372"/>
      <c r="Z27" s="373"/>
      <c r="AA27" s="374"/>
      <c r="AB27" s="372"/>
      <c r="AC27" s="372"/>
      <c r="AD27" s="372"/>
      <c r="AE27" s="371"/>
      <c r="AF27" s="375"/>
      <c r="AG27" s="372"/>
      <c r="AH27" s="372"/>
      <c r="AI27" s="372"/>
      <c r="AJ27" s="373"/>
      <c r="AK27" s="374"/>
      <c r="AL27" s="372"/>
      <c r="AM27" s="372"/>
      <c r="AN27" s="372"/>
      <c r="AO27" s="371"/>
      <c r="AP27" s="375"/>
      <c r="AQ27" s="372"/>
      <c r="AR27" s="372"/>
      <c r="AS27" s="372"/>
      <c r="AT27" s="373"/>
      <c r="AU27" s="374"/>
      <c r="AV27" s="372"/>
      <c r="AW27" s="372"/>
      <c r="AX27" s="372"/>
      <c r="AY27" s="371"/>
      <c r="AZ27" s="375"/>
      <c r="BA27" s="372"/>
      <c r="BB27" s="372"/>
      <c r="BC27" s="372"/>
      <c r="BD27" s="373"/>
      <c r="BE27" s="374"/>
      <c r="BF27" s="372"/>
      <c r="BG27" s="372"/>
      <c r="BH27" s="372"/>
      <c r="BI27" s="371"/>
      <c r="BJ27" s="375"/>
      <c r="BK27" s="372"/>
      <c r="BL27" s="372"/>
      <c r="BM27" s="372"/>
      <c r="BN27" s="373"/>
      <c r="BO27" s="374"/>
      <c r="BP27" s="372"/>
      <c r="BQ27" s="372"/>
      <c r="BR27" s="372"/>
      <c r="BS27" s="371"/>
      <c r="BT27" s="375"/>
      <c r="BU27" s="372"/>
      <c r="BV27" s="372"/>
      <c r="BW27" s="372"/>
      <c r="BX27" s="373"/>
      <c r="BY27" s="374"/>
      <c r="BZ27" s="372"/>
      <c r="CA27" s="372"/>
      <c r="CB27" s="372"/>
      <c r="CC27" s="371"/>
      <c r="CD27" s="375"/>
      <c r="CE27" s="372"/>
      <c r="CF27" s="372"/>
      <c r="CG27" s="372"/>
      <c r="CH27" s="371"/>
      <c r="CI27" s="375"/>
      <c r="CJ27" s="372"/>
      <c r="CK27" s="372"/>
      <c r="CL27" s="372"/>
      <c r="CM27" s="373"/>
    </row>
    <row r="28" spans="1:118" ht="25.5" customHeight="1">
      <c r="A28" s="386">
        <v>4321</v>
      </c>
      <c r="B28" s="387" t="s">
        <v>11</v>
      </c>
      <c r="C28" s="387" t="s">
        <v>44</v>
      </c>
      <c r="D28" s="387" t="s">
        <v>76</v>
      </c>
      <c r="E28" s="372" t="s">
        <v>53</v>
      </c>
      <c r="F28" s="387"/>
      <c r="G28" s="372" t="s">
        <v>1210</v>
      </c>
      <c r="H28" s="371" t="s">
        <v>54</v>
      </c>
      <c r="I28" s="375"/>
      <c r="J28" s="372"/>
      <c r="K28" s="373"/>
      <c r="L28" s="388" t="s">
        <v>78</v>
      </c>
      <c r="M28" s="387" t="s">
        <v>77</v>
      </c>
      <c r="N28" s="387"/>
      <c r="O28" s="387" t="s">
        <v>77</v>
      </c>
      <c r="P28" s="389" t="s">
        <v>77</v>
      </c>
      <c r="Q28" s="388"/>
      <c r="R28" s="387"/>
      <c r="S28" s="387"/>
      <c r="T28" s="387"/>
      <c r="U28" s="390" t="s">
        <v>80</v>
      </c>
      <c r="V28" s="386"/>
      <c r="W28" s="372"/>
      <c r="X28" s="372"/>
      <c r="Y28" s="372"/>
      <c r="Z28" s="373"/>
      <c r="AA28" s="374"/>
      <c r="AB28" s="372"/>
      <c r="AC28" s="372"/>
      <c r="AD28" s="372"/>
      <c r="AE28" s="371"/>
      <c r="AF28" s="375"/>
      <c r="AG28" s="372"/>
      <c r="AH28" s="372"/>
      <c r="AI28" s="372"/>
      <c r="AJ28" s="373"/>
      <c r="AK28" s="374"/>
      <c r="AL28" s="372"/>
      <c r="AM28" s="372"/>
      <c r="AN28" s="372"/>
      <c r="AO28" s="371"/>
      <c r="AP28" s="375"/>
      <c r="AQ28" s="372"/>
      <c r="AR28" s="372"/>
      <c r="AS28" s="372"/>
      <c r="AT28" s="373"/>
      <c r="AU28" s="374"/>
      <c r="AV28" s="372"/>
      <c r="AW28" s="372"/>
      <c r="AX28" s="372"/>
      <c r="AY28" s="371"/>
      <c r="AZ28" s="375"/>
      <c r="BA28" s="372"/>
      <c r="BB28" s="372"/>
      <c r="BC28" s="372"/>
      <c r="BD28" s="373"/>
      <c r="BE28" s="374"/>
      <c r="BF28" s="372"/>
      <c r="BG28" s="372"/>
      <c r="BH28" s="372"/>
      <c r="BI28" s="371"/>
      <c r="BJ28" s="375"/>
      <c r="BK28" s="372"/>
      <c r="BL28" s="372"/>
      <c r="BM28" s="372"/>
      <c r="BN28" s="373"/>
      <c r="BO28" s="374"/>
      <c r="BP28" s="372"/>
      <c r="BQ28" s="372"/>
      <c r="BR28" s="372"/>
      <c r="BS28" s="371"/>
      <c r="BT28" s="375"/>
      <c r="BU28" s="372"/>
      <c r="BV28" s="372"/>
      <c r="BW28" s="372"/>
      <c r="BX28" s="373"/>
      <c r="BY28" s="374"/>
      <c r="BZ28" s="372"/>
      <c r="CA28" s="372"/>
      <c r="CB28" s="372"/>
      <c r="CC28" s="371"/>
      <c r="CD28" s="375"/>
      <c r="CE28" s="372"/>
      <c r="CF28" s="372"/>
      <c r="CG28" s="372"/>
      <c r="CH28" s="371"/>
      <c r="CI28" s="375"/>
      <c r="CJ28" s="372"/>
      <c r="CK28" s="372"/>
      <c r="CL28" s="372"/>
      <c r="CM28" s="373"/>
    </row>
    <row r="29" spans="1:118" ht="25.5" customHeight="1" thickBot="1">
      <c r="A29" s="391">
        <v>4322</v>
      </c>
      <c r="B29" s="392" t="s">
        <v>11</v>
      </c>
      <c r="C29" s="392" t="s">
        <v>44</v>
      </c>
      <c r="D29" s="392" t="s">
        <v>76</v>
      </c>
      <c r="E29" s="393" t="s">
        <v>53</v>
      </c>
      <c r="F29" s="392"/>
      <c r="G29" s="393" t="s">
        <v>1212</v>
      </c>
      <c r="H29" s="394" t="s">
        <v>54</v>
      </c>
      <c r="I29" s="395"/>
      <c r="J29" s="393"/>
      <c r="K29" s="396"/>
      <c r="L29" s="397" t="s">
        <v>78</v>
      </c>
      <c r="M29" s="392" t="s">
        <v>77</v>
      </c>
      <c r="N29" s="392"/>
      <c r="O29" s="392" t="s">
        <v>77</v>
      </c>
      <c r="P29" s="398" t="s">
        <v>77</v>
      </c>
      <c r="Q29" s="397"/>
      <c r="R29" s="392"/>
      <c r="S29" s="392"/>
      <c r="T29" s="392"/>
      <c r="U29" s="399" t="s">
        <v>80</v>
      </c>
      <c r="V29" s="391"/>
      <c r="W29" s="393"/>
      <c r="X29" s="393"/>
      <c r="Y29" s="393"/>
      <c r="Z29" s="396"/>
      <c r="AA29" s="400"/>
      <c r="AB29" s="393"/>
      <c r="AC29" s="393"/>
      <c r="AD29" s="393"/>
      <c r="AE29" s="394"/>
      <c r="AF29" s="395"/>
      <c r="AG29" s="393"/>
      <c r="AH29" s="393"/>
      <c r="AI29" s="393"/>
      <c r="AJ29" s="396"/>
      <c r="AK29" s="400"/>
      <c r="AL29" s="393"/>
      <c r="AM29" s="393"/>
      <c r="AN29" s="393"/>
      <c r="AO29" s="394"/>
      <c r="AP29" s="395"/>
      <c r="AQ29" s="393"/>
      <c r="AR29" s="393"/>
      <c r="AS29" s="393"/>
      <c r="AT29" s="396"/>
      <c r="AU29" s="400"/>
      <c r="AV29" s="393"/>
      <c r="AW29" s="393"/>
      <c r="AX29" s="393"/>
      <c r="AY29" s="394"/>
      <c r="AZ29" s="395"/>
      <c r="BA29" s="393"/>
      <c r="BB29" s="393"/>
      <c r="BC29" s="393"/>
      <c r="BD29" s="396"/>
      <c r="BE29" s="400"/>
      <c r="BF29" s="393"/>
      <c r="BG29" s="393"/>
      <c r="BH29" s="393"/>
      <c r="BI29" s="394"/>
      <c r="BJ29" s="395"/>
      <c r="BK29" s="393"/>
      <c r="BL29" s="393"/>
      <c r="BM29" s="393"/>
      <c r="BN29" s="396"/>
      <c r="BO29" s="400"/>
      <c r="BP29" s="393"/>
      <c r="BQ29" s="393"/>
      <c r="BR29" s="393"/>
      <c r="BS29" s="394"/>
      <c r="BT29" s="395"/>
      <c r="BU29" s="393"/>
      <c r="BV29" s="393"/>
      <c r="BW29" s="393"/>
      <c r="BX29" s="396"/>
      <c r="BY29" s="400"/>
      <c r="BZ29" s="393"/>
      <c r="CA29" s="393"/>
      <c r="CB29" s="393"/>
      <c r="CC29" s="394"/>
      <c r="CD29" s="395"/>
      <c r="CE29" s="393"/>
      <c r="CF29" s="393"/>
      <c r="CG29" s="393"/>
      <c r="CH29" s="394"/>
      <c r="CI29" s="395"/>
      <c r="CJ29" s="393"/>
      <c r="CK29" s="393"/>
      <c r="CL29" s="393"/>
      <c r="CM29" s="396"/>
    </row>
    <row r="30" spans="1:118" ht="25.5" customHeight="1">
      <c r="A30" s="401">
        <v>4323</v>
      </c>
      <c r="B30" s="402" t="s">
        <v>11</v>
      </c>
      <c r="C30" s="402" t="s">
        <v>44</v>
      </c>
      <c r="D30" s="402" t="s">
        <v>76</v>
      </c>
      <c r="E30" s="403" t="s">
        <v>53</v>
      </c>
      <c r="F30" s="402"/>
      <c r="G30" s="403" t="s">
        <v>1214</v>
      </c>
      <c r="H30" s="404" t="s">
        <v>54</v>
      </c>
      <c r="I30" s="405"/>
      <c r="J30" s="403"/>
      <c r="K30" s="406"/>
      <c r="L30" s="407" t="s">
        <v>78</v>
      </c>
      <c r="M30" s="402" t="s">
        <v>77</v>
      </c>
      <c r="N30" s="402"/>
      <c r="O30" s="402" t="s">
        <v>77</v>
      </c>
      <c r="P30" s="408" t="s">
        <v>77</v>
      </c>
      <c r="Q30" s="407"/>
      <c r="R30" s="402"/>
      <c r="S30" s="402"/>
      <c r="T30" s="402"/>
      <c r="U30" s="409" t="s">
        <v>80</v>
      </c>
      <c r="V30" s="401"/>
      <c r="W30" s="403"/>
      <c r="X30" s="403"/>
      <c r="Y30" s="403"/>
      <c r="Z30" s="406"/>
      <c r="AA30" s="410"/>
      <c r="AB30" s="403"/>
      <c r="AC30" s="403"/>
      <c r="AD30" s="403"/>
      <c r="AE30" s="404"/>
      <c r="AF30" s="405"/>
      <c r="AG30" s="403"/>
      <c r="AH30" s="403"/>
      <c r="AI30" s="403"/>
      <c r="AJ30" s="406"/>
      <c r="AK30" s="410"/>
      <c r="AL30" s="403"/>
      <c r="AM30" s="403"/>
      <c r="AN30" s="403"/>
      <c r="AO30" s="404"/>
      <c r="AP30" s="405"/>
      <c r="AQ30" s="403"/>
      <c r="AR30" s="403"/>
      <c r="AS30" s="403"/>
      <c r="AT30" s="406"/>
      <c r="AU30" s="410"/>
      <c r="AV30" s="403"/>
      <c r="AW30" s="403"/>
      <c r="AX30" s="403"/>
      <c r="AY30" s="404"/>
      <c r="AZ30" s="405"/>
      <c r="BA30" s="403"/>
      <c r="BB30" s="403"/>
      <c r="BC30" s="403"/>
      <c r="BD30" s="406"/>
      <c r="BE30" s="410"/>
      <c r="BF30" s="403"/>
      <c r="BG30" s="403"/>
      <c r="BH30" s="403"/>
      <c r="BI30" s="404"/>
      <c r="BJ30" s="405"/>
      <c r="BK30" s="403"/>
      <c r="BL30" s="403"/>
      <c r="BM30" s="403"/>
      <c r="BN30" s="406"/>
      <c r="BO30" s="410"/>
      <c r="BP30" s="403"/>
      <c r="BQ30" s="403"/>
      <c r="BR30" s="403"/>
      <c r="BS30" s="404"/>
      <c r="BT30" s="405"/>
      <c r="BU30" s="403"/>
      <c r="BV30" s="403"/>
      <c r="BW30" s="403"/>
      <c r="BX30" s="406"/>
      <c r="BY30" s="410"/>
      <c r="BZ30" s="403"/>
      <c r="CA30" s="403"/>
      <c r="CB30" s="403"/>
      <c r="CC30" s="404"/>
      <c r="CD30" s="405"/>
      <c r="CE30" s="403"/>
      <c r="CF30" s="403"/>
      <c r="CG30" s="403"/>
      <c r="CH30" s="404"/>
      <c r="CI30" s="405"/>
      <c r="CJ30" s="403"/>
      <c r="CK30" s="403"/>
      <c r="CL30" s="403"/>
      <c r="CM30" s="406"/>
    </row>
    <row r="31" spans="1:118" ht="25.5" customHeight="1">
      <c r="A31" s="386">
        <v>4324</v>
      </c>
      <c r="B31" s="387" t="s">
        <v>11</v>
      </c>
      <c r="C31" s="387" t="s">
        <v>44</v>
      </c>
      <c r="D31" s="387" t="s">
        <v>76</v>
      </c>
      <c r="E31" s="372" t="s">
        <v>53</v>
      </c>
      <c r="F31" s="387"/>
      <c r="G31" s="372" t="s">
        <v>1216</v>
      </c>
      <c r="H31" s="371" t="s">
        <v>54</v>
      </c>
      <c r="I31" s="375"/>
      <c r="J31" s="372"/>
      <c r="K31" s="373"/>
      <c r="L31" s="388" t="s">
        <v>78</v>
      </c>
      <c r="M31" s="387" t="s">
        <v>77</v>
      </c>
      <c r="N31" s="387"/>
      <c r="O31" s="387" t="s">
        <v>77</v>
      </c>
      <c r="P31" s="389" t="s">
        <v>77</v>
      </c>
      <c r="Q31" s="388"/>
      <c r="R31" s="387"/>
      <c r="S31" s="387"/>
      <c r="T31" s="387"/>
      <c r="U31" s="390" t="s">
        <v>80</v>
      </c>
      <c r="V31" s="386"/>
      <c r="W31" s="372"/>
      <c r="X31" s="372"/>
      <c r="Y31" s="372"/>
      <c r="Z31" s="373"/>
      <c r="AA31" s="374"/>
      <c r="AB31" s="372"/>
      <c r="AC31" s="372"/>
      <c r="AD31" s="372"/>
      <c r="AE31" s="371"/>
      <c r="AF31" s="375"/>
      <c r="AG31" s="372"/>
      <c r="AH31" s="372"/>
      <c r="AI31" s="372"/>
      <c r="AJ31" s="373"/>
      <c r="AK31" s="374"/>
      <c r="AL31" s="372"/>
      <c r="AM31" s="372"/>
      <c r="AN31" s="372"/>
      <c r="AO31" s="371"/>
      <c r="AP31" s="375"/>
      <c r="AQ31" s="372"/>
      <c r="AR31" s="372"/>
      <c r="AS31" s="372"/>
      <c r="AT31" s="373"/>
      <c r="AU31" s="374"/>
      <c r="AV31" s="372"/>
      <c r="AW31" s="372"/>
      <c r="AX31" s="372"/>
      <c r="AY31" s="371"/>
      <c r="AZ31" s="375"/>
      <c r="BA31" s="372"/>
      <c r="BB31" s="372"/>
      <c r="BC31" s="372"/>
      <c r="BD31" s="373"/>
      <c r="BE31" s="374"/>
      <c r="BF31" s="372"/>
      <c r="BG31" s="372"/>
      <c r="BH31" s="372"/>
      <c r="BI31" s="371"/>
      <c r="BJ31" s="375"/>
      <c r="BK31" s="372"/>
      <c r="BL31" s="372"/>
      <c r="BM31" s="372"/>
      <c r="BN31" s="373"/>
      <c r="BO31" s="374"/>
      <c r="BP31" s="372"/>
      <c r="BQ31" s="372"/>
      <c r="BR31" s="372"/>
      <c r="BS31" s="371"/>
      <c r="BT31" s="375"/>
      <c r="BU31" s="372"/>
      <c r="BV31" s="372"/>
      <c r="BW31" s="372"/>
      <c r="BX31" s="373"/>
      <c r="BY31" s="374"/>
      <c r="BZ31" s="372"/>
      <c r="CA31" s="372"/>
      <c r="CB31" s="372"/>
      <c r="CC31" s="371"/>
      <c r="CD31" s="375"/>
      <c r="CE31" s="372"/>
      <c r="CF31" s="372"/>
      <c r="CG31" s="372"/>
      <c r="CH31" s="371"/>
      <c r="CI31" s="375"/>
      <c r="CJ31" s="372"/>
      <c r="CK31" s="372"/>
      <c r="CL31" s="372"/>
      <c r="CM31" s="373"/>
    </row>
    <row r="32" spans="1:118" ht="25.5" customHeight="1">
      <c r="A32" s="386">
        <v>4325</v>
      </c>
      <c r="B32" s="387" t="s">
        <v>11</v>
      </c>
      <c r="C32" s="387" t="s">
        <v>44</v>
      </c>
      <c r="D32" s="387" t="s">
        <v>76</v>
      </c>
      <c r="E32" s="372" t="s">
        <v>53</v>
      </c>
      <c r="F32" s="387"/>
      <c r="G32" s="372" t="s">
        <v>1218</v>
      </c>
      <c r="H32" s="371" t="s">
        <v>54</v>
      </c>
      <c r="I32" s="375"/>
      <c r="J32" s="372"/>
      <c r="K32" s="373"/>
      <c r="L32" s="388" t="s">
        <v>78</v>
      </c>
      <c r="M32" s="387" t="s">
        <v>77</v>
      </c>
      <c r="N32" s="387"/>
      <c r="O32" s="387" t="s">
        <v>77</v>
      </c>
      <c r="P32" s="389" t="s">
        <v>77</v>
      </c>
      <c r="Q32" s="388"/>
      <c r="R32" s="387"/>
      <c r="S32" s="387"/>
      <c r="T32" s="387"/>
      <c r="U32" s="390" t="s">
        <v>80</v>
      </c>
      <c r="V32" s="386"/>
      <c r="W32" s="372"/>
      <c r="X32" s="372"/>
      <c r="Y32" s="372"/>
      <c r="Z32" s="373"/>
      <c r="AA32" s="374"/>
      <c r="AB32" s="372"/>
      <c r="AC32" s="372"/>
      <c r="AD32" s="372"/>
      <c r="AE32" s="371"/>
      <c r="AF32" s="375"/>
      <c r="AG32" s="372"/>
      <c r="AH32" s="372"/>
      <c r="AI32" s="372"/>
      <c r="AJ32" s="373"/>
      <c r="AK32" s="374"/>
      <c r="AL32" s="372"/>
      <c r="AM32" s="372"/>
      <c r="AN32" s="372"/>
      <c r="AO32" s="371"/>
      <c r="AP32" s="375"/>
      <c r="AQ32" s="372"/>
      <c r="AR32" s="372"/>
      <c r="AS32" s="372"/>
      <c r="AT32" s="373"/>
      <c r="AU32" s="374"/>
      <c r="AV32" s="372"/>
      <c r="AW32" s="372"/>
      <c r="AX32" s="372"/>
      <c r="AY32" s="371"/>
      <c r="AZ32" s="375"/>
      <c r="BA32" s="372"/>
      <c r="BB32" s="372"/>
      <c r="BC32" s="372"/>
      <c r="BD32" s="373"/>
      <c r="BE32" s="374"/>
      <c r="BF32" s="372"/>
      <c r="BG32" s="372"/>
      <c r="BH32" s="372"/>
      <c r="BI32" s="371"/>
      <c r="BJ32" s="375"/>
      <c r="BK32" s="372"/>
      <c r="BL32" s="372"/>
      <c r="BM32" s="372"/>
      <c r="BN32" s="373"/>
      <c r="BO32" s="374"/>
      <c r="BP32" s="372"/>
      <c r="BQ32" s="372"/>
      <c r="BR32" s="372"/>
      <c r="BS32" s="371"/>
      <c r="BT32" s="375"/>
      <c r="BU32" s="372"/>
      <c r="BV32" s="372"/>
      <c r="BW32" s="372"/>
      <c r="BX32" s="373"/>
      <c r="BY32" s="374"/>
      <c r="BZ32" s="372"/>
      <c r="CA32" s="372"/>
      <c r="CB32" s="372"/>
      <c r="CC32" s="371"/>
      <c r="CD32" s="375"/>
      <c r="CE32" s="372"/>
      <c r="CF32" s="372"/>
      <c r="CG32" s="372"/>
      <c r="CH32" s="371"/>
      <c r="CI32" s="375"/>
      <c r="CJ32" s="372"/>
      <c r="CK32" s="372"/>
      <c r="CL32" s="372"/>
      <c r="CM32" s="373"/>
    </row>
    <row r="33" spans="1:91" ht="25.5" customHeight="1">
      <c r="A33" s="386">
        <v>4326</v>
      </c>
      <c r="B33" s="387" t="s">
        <v>11</v>
      </c>
      <c r="C33" s="387" t="s">
        <v>44</v>
      </c>
      <c r="D33" s="387" t="s">
        <v>76</v>
      </c>
      <c r="E33" s="372" t="s">
        <v>53</v>
      </c>
      <c r="F33" s="387"/>
      <c r="G33" s="372" t="s">
        <v>1220</v>
      </c>
      <c r="H33" s="371" t="s">
        <v>54</v>
      </c>
      <c r="I33" s="375"/>
      <c r="J33" s="372"/>
      <c r="K33" s="373"/>
      <c r="L33" s="388" t="s">
        <v>78</v>
      </c>
      <c r="M33" s="387" t="s">
        <v>77</v>
      </c>
      <c r="N33" s="387"/>
      <c r="O33" s="387" t="s">
        <v>77</v>
      </c>
      <c r="P33" s="389" t="s">
        <v>77</v>
      </c>
      <c r="Q33" s="388"/>
      <c r="R33" s="387"/>
      <c r="S33" s="387"/>
      <c r="T33" s="387"/>
      <c r="U33" s="390" t="s">
        <v>80</v>
      </c>
      <c r="V33" s="386"/>
      <c r="W33" s="372"/>
      <c r="X33" s="372"/>
      <c r="Y33" s="372"/>
      <c r="Z33" s="373"/>
      <c r="AA33" s="374"/>
      <c r="AB33" s="372"/>
      <c r="AC33" s="372"/>
      <c r="AD33" s="372"/>
      <c r="AE33" s="371"/>
      <c r="AF33" s="375"/>
      <c r="AG33" s="372"/>
      <c r="AH33" s="372"/>
      <c r="AI33" s="372"/>
      <c r="AJ33" s="373"/>
      <c r="AK33" s="374"/>
      <c r="AL33" s="372"/>
      <c r="AM33" s="372"/>
      <c r="AN33" s="372"/>
      <c r="AO33" s="371"/>
      <c r="AP33" s="375"/>
      <c r="AQ33" s="372"/>
      <c r="AR33" s="372"/>
      <c r="AS33" s="372"/>
      <c r="AT33" s="373"/>
      <c r="AU33" s="374"/>
      <c r="AV33" s="372"/>
      <c r="AW33" s="372"/>
      <c r="AX33" s="372"/>
      <c r="AY33" s="371"/>
      <c r="AZ33" s="375"/>
      <c r="BA33" s="372"/>
      <c r="BB33" s="372"/>
      <c r="BC33" s="372"/>
      <c r="BD33" s="373"/>
      <c r="BE33" s="374"/>
      <c r="BF33" s="372"/>
      <c r="BG33" s="372"/>
      <c r="BH33" s="372"/>
      <c r="BI33" s="371"/>
      <c r="BJ33" s="375"/>
      <c r="BK33" s="372"/>
      <c r="BL33" s="372"/>
      <c r="BM33" s="372"/>
      <c r="BN33" s="373"/>
      <c r="BO33" s="374"/>
      <c r="BP33" s="372"/>
      <c r="BQ33" s="372"/>
      <c r="BR33" s="372"/>
      <c r="BS33" s="371"/>
      <c r="BT33" s="375"/>
      <c r="BU33" s="372"/>
      <c r="BV33" s="372"/>
      <c r="BW33" s="372"/>
      <c r="BX33" s="373"/>
      <c r="BY33" s="374"/>
      <c r="BZ33" s="372"/>
      <c r="CA33" s="372"/>
      <c r="CB33" s="372"/>
      <c r="CC33" s="371"/>
      <c r="CD33" s="375"/>
      <c r="CE33" s="372"/>
      <c r="CF33" s="372"/>
      <c r="CG33" s="372"/>
      <c r="CH33" s="371"/>
      <c r="CI33" s="375"/>
      <c r="CJ33" s="372"/>
      <c r="CK33" s="372"/>
      <c r="CL33" s="372"/>
      <c r="CM33" s="373"/>
    </row>
    <row r="34" spans="1:91" ht="25.5" customHeight="1" thickBot="1">
      <c r="A34" s="411">
        <v>4327</v>
      </c>
      <c r="B34" s="412" t="s">
        <v>11</v>
      </c>
      <c r="C34" s="412" t="s">
        <v>44</v>
      </c>
      <c r="D34" s="412" t="s">
        <v>76</v>
      </c>
      <c r="E34" s="377" t="s">
        <v>53</v>
      </c>
      <c r="F34" s="412"/>
      <c r="G34" s="377" t="s">
        <v>1222</v>
      </c>
      <c r="H34" s="376" t="s">
        <v>54</v>
      </c>
      <c r="I34" s="380"/>
      <c r="J34" s="377"/>
      <c r="K34" s="378"/>
      <c r="L34" s="413" t="s">
        <v>78</v>
      </c>
      <c r="M34" s="412" t="s">
        <v>77</v>
      </c>
      <c r="N34" s="412"/>
      <c r="O34" s="412" t="s">
        <v>77</v>
      </c>
      <c r="P34" s="414" t="s">
        <v>77</v>
      </c>
      <c r="Q34" s="413"/>
      <c r="R34" s="412"/>
      <c r="S34" s="412"/>
      <c r="T34" s="412"/>
      <c r="U34" s="415" t="s">
        <v>80</v>
      </c>
      <c r="V34" s="411"/>
      <c r="W34" s="377"/>
      <c r="X34" s="377"/>
      <c r="Y34" s="377"/>
      <c r="Z34" s="378"/>
      <c r="AA34" s="379"/>
      <c r="AB34" s="377"/>
      <c r="AC34" s="377"/>
      <c r="AD34" s="377"/>
      <c r="AE34" s="376"/>
      <c r="AF34" s="380"/>
      <c r="AG34" s="377"/>
      <c r="AH34" s="377"/>
      <c r="AI34" s="377"/>
      <c r="AJ34" s="378"/>
      <c r="AK34" s="379"/>
      <c r="AL34" s="377"/>
      <c r="AM34" s="377"/>
      <c r="AN34" s="377"/>
      <c r="AO34" s="376"/>
      <c r="AP34" s="380"/>
      <c r="AQ34" s="377"/>
      <c r="AR34" s="377"/>
      <c r="AS34" s="377"/>
      <c r="AT34" s="378"/>
      <c r="AU34" s="379"/>
      <c r="AV34" s="377"/>
      <c r="AW34" s="377"/>
      <c r="AX34" s="377"/>
      <c r="AY34" s="376"/>
      <c r="AZ34" s="380"/>
      <c r="BA34" s="377"/>
      <c r="BB34" s="377"/>
      <c r="BC34" s="377"/>
      <c r="BD34" s="378"/>
      <c r="BE34" s="379"/>
      <c r="BF34" s="377"/>
      <c r="BG34" s="377"/>
      <c r="BH34" s="377"/>
      <c r="BI34" s="376"/>
      <c r="BJ34" s="380"/>
      <c r="BK34" s="377"/>
      <c r="BL34" s="377"/>
      <c r="BM34" s="377"/>
      <c r="BN34" s="378"/>
      <c r="BO34" s="379"/>
      <c r="BP34" s="377"/>
      <c r="BQ34" s="377"/>
      <c r="BR34" s="377"/>
      <c r="BS34" s="376"/>
      <c r="BT34" s="380"/>
      <c r="BU34" s="377"/>
      <c r="BV34" s="377"/>
      <c r="BW34" s="377"/>
      <c r="BX34" s="378"/>
      <c r="BY34" s="379"/>
      <c r="BZ34" s="377"/>
      <c r="CA34" s="377"/>
      <c r="CB34" s="377"/>
      <c r="CC34" s="376"/>
      <c r="CD34" s="380"/>
      <c r="CE34" s="377"/>
      <c r="CF34" s="377"/>
      <c r="CG34" s="377"/>
      <c r="CH34" s="376"/>
      <c r="CI34" s="380"/>
      <c r="CJ34" s="377"/>
      <c r="CK34" s="377"/>
      <c r="CL34" s="377"/>
      <c r="CM34" s="378"/>
    </row>
    <row r="35" spans="1:91" ht="25.5" customHeight="1">
      <c r="A35" s="416">
        <v>4328</v>
      </c>
      <c r="B35" s="417" t="s">
        <v>11</v>
      </c>
      <c r="C35" s="417" t="s">
        <v>44</v>
      </c>
      <c r="D35" s="417" t="s">
        <v>76</v>
      </c>
      <c r="E35" s="381" t="s">
        <v>53</v>
      </c>
      <c r="F35" s="417"/>
      <c r="G35" s="381" t="s">
        <v>1224</v>
      </c>
      <c r="H35" s="384" t="s">
        <v>54</v>
      </c>
      <c r="I35" s="385"/>
      <c r="J35" s="381"/>
      <c r="K35" s="382"/>
      <c r="L35" s="418" t="s">
        <v>78</v>
      </c>
      <c r="M35" s="417" t="s">
        <v>77</v>
      </c>
      <c r="N35" s="417"/>
      <c r="O35" s="417" t="s">
        <v>77</v>
      </c>
      <c r="P35" s="419" t="s">
        <v>77</v>
      </c>
      <c r="Q35" s="418"/>
      <c r="R35" s="417"/>
      <c r="S35" s="417"/>
      <c r="T35" s="417"/>
      <c r="U35" s="420" t="s">
        <v>80</v>
      </c>
      <c r="V35" s="416"/>
      <c r="W35" s="381"/>
      <c r="X35" s="381"/>
      <c r="Y35" s="381"/>
      <c r="Z35" s="382"/>
      <c r="AA35" s="383"/>
      <c r="AB35" s="381"/>
      <c r="AC35" s="381"/>
      <c r="AD35" s="381"/>
      <c r="AE35" s="384"/>
      <c r="AF35" s="385"/>
      <c r="AG35" s="381"/>
      <c r="AH35" s="381"/>
      <c r="AI35" s="381"/>
      <c r="AJ35" s="382"/>
      <c r="AK35" s="383"/>
      <c r="AL35" s="381"/>
      <c r="AM35" s="381"/>
      <c r="AN35" s="381"/>
      <c r="AO35" s="384"/>
      <c r="AP35" s="385"/>
      <c r="AQ35" s="381"/>
      <c r="AR35" s="381"/>
      <c r="AS35" s="381"/>
      <c r="AT35" s="382"/>
      <c r="AU35" s="383"/>
      <c r="AV35" s="381"/>
      <c r="AW35" s="381"/>
      <c r="AX35" s="381"/>
      <c r="AY35" s="384"/>
      <c r="AZ35" s="385"/>
      <c r="BA35" s="381"/>
      <c r="BB35" s="381"/>
      <c r="BC35" s="381"/>
      <c r="BD35" s="382"/>
      <c r="BE35" s="383"/>
      <c r="BF35" s="381"/>
      <c r="BG35" s="381"/>
      <c r="BH35" s="381"/>
      <c r="BI35" s="384"/>
      <c r="BJ35" s="385"/>
      <c r="BK35" s="381"/>
      <c r="BL35" s="381"/>
      <c r="BM35" s="381"/>
      <c r="BN35" s="382"/>
      <c r="BO35" s="383"/>
      <c r="BP35" s="381"/>
      <c r="BQ35" s="381"/>
      <c r="BR35" s="381"/>
      <c r="BS35" s="384"/>
      <c r="BT35" s="385"/>
      <c r="BU35" s="381"/>
      <c r="BV35" s="381"/>
      <c r="BW35" s="381"/>
      <c r="BX35" s="382"/>
      <c r="BY35" s="383"/>
      <c r="BZ35" s="381"/>
      <c r="CA35" s="381"/>
      <c r="CB35" s="381"/>
      <c r="CC35" s="384"/>
      <c r="CD35" s="385"/>
      <c r="CE35" s="381"/>
      <c r="CF35" s="381"/>
      <c r="CG35" s="381"/>
      <c r="CH35" s="384"/>
      <c r="CI35" s="385"/>
      <c r="CJ35" s="381"/>
      <c r="CK35" s="381"/>
      <c r="CL35" s="381"/>
      <c r="CM35" s="382"/>
    </row>
    <row r="36" spans="1:91" ht="25.5" customHeight="1">
      <c r="A36" s="386">
        <v>4329</v>
      </c>
      <c r="B36" s="387" t="s">
        <v>11</v>
      </c>
      <c r="C36" s="387" t="s">
        <v>44</v>
      </c>
      <c r="D36" s="387" t="s">
        <v>76</v>
      </c>
      <c r="E36" s="372" t="s">
        <v>53</v>
      </c>
      <c r="F36" s="387"/>
      <c r="G36" s="372" t="s">
        <v>1226</v>
      </c>
      <c r="H36" s="371" t="s">
        <v>54</v>
      </c>
      <c r="I36" s="375"/>
      <c r="J36" s="372"/>
      <c r="K36" s="373"/>
      <c r="L36" s="388" t="s">
        <v>78</v>
      </c>
      <c r="M36" s="387" t="s">
        <v>77</v>
      </c>
      <c r="N36" s="387"/>
      <c r="O36" s="387" t="s">
        <v>77</v>
      </c>
      <c r="P36" s="389" t="s">
        <v>77</v>
      </c>
      <c r="Q36" s="388"/>
      <c r="R36" s="387"/>
      <c r="S36" s="387"/>
      <c r="T36" s="387"/>
      <c r="U36" s="390" t="s">
        <v>80</v>
      </c>
      <c r="V36" s="386"/>
      <c r="W36" s="372"/>
      <c r="X36" s="372"/>
      <c r="Y36" s="372"/>
      <c r="Z36" s="373"/>
      <c r="AA36" s="374"/>
      <c r="AB36" s="372"/>
      <c r="AC36" s="372"/>
      <c r="AD36" s="372"/>
      <c r="AE36" s="371"/>
      <c r="AF36" s="375"/>
      <c r="AG36" s="372"/>
      <c r="AH36" s="372"/>
      <c r="AI36" s="372"/>
      <c r="AJ36" s="373"/>
      <c r="AK36" s="374"/>
      <c r="AL36" s="372"/>
      <c r="AM36" s="372"/>
      <c r="AN36" s="372"/>
      <c r="AO36" s="371"/>
      <c r="AP36" s="375"/>
      <c r="AQ36" s="372"/>
      <c r="AR36" s="372"/>
      <c r="AS36" s="372"/>
      <c r="AT36" s="373"/>
      <c r="AU36" s="374"/>
      <c r="AV36" s="372"/>
      <c r="AW36" s="372"/>
      <c r="AX36" s="372"/>
      <c r="AY36" s="371"/>
      <c r="AZ36" s="375"/>
      <c r="BA36" s="372"/>
      <c r="BB36" s="372"/>
      <c r="BC36" s="372"/>
      <c r="BD36" s="373"/>
      <c r="BE36" s="374"/>
      <c r="BF36" s="372"/>
      <c r="BG36" s="372"/>
      <c r="BH36" s="372"/>
      <c r="BI36" s="371"/>
      <c r="BJ36" s="375"/>
      <c r="BK36" s="372"/>
      <c r="BL36" s="372"/>
      <c r="BM36" s="372"/>
      <c r="BN36" s="373"/>
      <c r="BO36" s="374"/>
      <c r="BP36" s="372"/>
      <c r="BQ36" s="372"/>
      <c r="BR36" s="372"/>
      <c r="BS36" s="371"/>
      <c r="BT36" s="375"/>
      <c r="BU36" s="372"/>
      <c r="BV36" s="372"/>
      <c r="BW36" s="372"/>
      <c r="BX36" s="373"/>
      <c r="BY36" s="374"/>
      <c r="BZ36" s="372"/>
      <c r="CA36" s="372"/>
      <c r="CB36" s="372"/>
      <c r="CC36" s="371"/>
      <c r="CD36" s="375"/>
      <c r="CE36" s="372"/>
      <c r="CF36" s="372"/>
      <c r="CG36" s="372"/>
      <c r="CH36" s="371"/>
      <c r="CI36" s="375"/>
      <c r="CJ36" s="372"/>
      <c r="CK36" s="372"/>
      <c r="CL36" s="372"/>
      <c r="CM36" s="373"/>
    </row>
    <row r="37" spans="1:91" ht="25.5" customHeight="1">
      <c r="A37" s="386">
        <v>4330</v>
      </c>
      <c r="B37" s="387" t="s">
        <v>11</v>
      </c>
      <c r="C37" s="387" t="s">
        <v>44</v>
      </c>
      <c r="D37" s="387" t="s">
        <v>76</v>
      </c>
      <c r="E37" s="372" t="s">
        <v>53</v>
      </c>
      <c r="F37" s="387"/>
      <c r="G37" s="372" t="s">
        <v>1228</v>
      </c>
      <c r="H37" s="371" t="s">
        <v>54</v>
      </c>
      <c r="I37" s="375"/>
      <c r="J37" s="372"/>
      <c r="K37" s="373"/>
      <c r="L37" s="388" t="s">
        <v>78</v>
      </c>
      <c r="M37" s="387" t="s">
        <v>77</v>
      </c>
      <c r="N37" s="387"/>
      <c r="O37" s="387" t="s">
        <v>77</v>
      </c>
      <c r="P37" s="389" t="s">
        <v>77</v>
      </c>
      <c r="Q37" s="388"/>
      <c r="R37" s="387"/>
      <c r="S37" s="387"/>
      <c r="T37" s="387"/>
      <c r="U37" s="390" t="s">
        <v>80</v>
      </c>
      <c r="V37" s="386"/>
      <c r="W37" s="372"/>
      <c r="X37" s="372"/>
      <c r="Y37" s="372"/>
      <c r="Z37" s="373"/>
      <c r="AA37" s="374"/>
      <c r="AB37" s="372"/>
      <c r="AC37" s="372"/>
      <c r="AD37" s="372"/>
      <c r="AE37" s="371"/>
      <c r="AF37" s="375"/>
      <c r="AG37" s="372"/>
      <c r="AH37" s="372"/>
      <c r="AI37" s="372"/>
      <c r="AJ37" s="373"/>
      <c r="AK37" s="374"/>
      <c r="AL37" s="372"/>
      <c r="AM37" s="372"/>
      <c r="AN37" s="372"/>
      <c r="AO37" s="371"/>
      <c r="AP37" s="375"/>
      <c r="AQ37" s="372"/>
      <c r="AR37" s="372"/>
      <c r="AS37" s="372"/>
      <c r="AT37" s="373"/>
      <c r="AU37" s="374"/>
      <c r="AV37" s="372"/>
      <c r="AW37" s="372"/>
      <c r="AX37" s="372"/>
      <c r="AY37" s="371"/>
      <c r="AZ37" s="375"/>
      <c r="BA37" s="372"/>
      <c r="BB37" s="372"/>
      <c r="BC37" s="372"/>
      <c r="BD37" s="373"/>
      <c r="BE37" s="374"/>
      <c r="BF37" s="372"/>
      <c r="BG37" s="372"/>
      <c r="BH37" s="372"/>
      <c r="BI37" s="371"/>
      <c r="BJ37" s="375"/>
      <c r="BK37" s="372"/>
      <c r="BL37" s="372"/>
      <c r="BM37" s="372"/>
      <c r="BN37" s="373"/>
      <c r="BO37" s="374"/>
      <c r="BP37" s="372"/>
      <c r="BQ37" s="372"/>
      <c r="BR37" s="372"/>
      <c r="BS37" s="371"/>
      <c r="BT37" s="375"/>
      <c r="BU37" s="372"/>
      <c r="BV37" s="372"/>
      <c r="BW37" s="372"/>
      <c r="BX37" s="373"/>
      <c r="BY37" s="374"/>
      <c r="BZ37" s="372"/>
      <c r="CA37" s="372"/>
      <c r="CB37" s="372"/>
      <c r="CC37" s="371"/>
      <c r="CD37" s="375"/>
      <c r="CE37" s="372"/>
      <c r="CF37" s="372"/>
      <c r="CG37" s="372"/>
      <c r="CH37" s="371"/>
      <c r="CI37" s="375"/>
      <c r="CJ37" s="372"/>
      <c r="CK37" s="372"/>
      <c r="CL37" s="372"/>
      <c r="CM37" s="373"/>
    </row>
    <row r="38" spans="1:91" ht="25.5" customHeight="1">
      <c r="A38" s="386">
        <v>4331</v>
      </c>
      <c r="B38" s="387" t="s">
        <v>11</v>
      </c>
      <c r="C38" s="387" t="s">
        <v>44</v>
      </c>
      <c r="D38" s="387" t="s">
        <v>76</v>
      </c>
      <c r="E38" s="372" t="s">
        <v>53</v>
      </c>
      <c r="F38" s="387"/>
      <c r="G38" s="372" t="s">
        <v>1230</v>
      </c>
      <c r="H38" s="371" t="s">
        <v>54</v>
      </c>
      <c r="I38" s="375"/>
      <c r="J38" s="372"/>
      <c r="K38" s="373"/>
      <c r="L38" s="388" t="s">
        <v>78</v>
      </c>
      <c r="M38" s="387" t="s">
        <v>77</v>
      </c>
      <c r="N38" s="387"/>
      <c r="O38" s="387" t="s">
        <v>77</v>
      </c>
      <c r="P38" s="389" t="s">
        <v>77</v>
      </c>
      <c r="Q38" s="388"/>
      <c r="R38" s="387"/>
      <c r="S38" s="387"/>
      <c r="T38" s="387"/>
      <c r="U38" s="390" t="s">
        <v>80</v>
      </c>
      <c r="V38" s="386"/>
      <c r="W38" s="372"/>
      <c r="X38" s="372"/>
      <c r="Y38" s="372"/>
      <c r="Z38" s="373"/>
      <c r="AA38" s="374"/>
      <c r="AB38" s="372"/>
      <c r="AC38" s="372"/>
      <c r="AD38" s="372"/>
      <c r="AE38" s="371"/>
      <c r="AF38" s="375"/>
      <c r="AG38" s="372"/>
      <c r="AH38" s="372"/>
      <c r="AI38" s="372"/>
      <c r="AJ38" s="373"/>
      <c r="AK38" s="374"/>
      <c r="AL38" s="372"/>
      <c r="AM38" s="372"/>
      <c r="AN38" s="372"/>
      <c r="AO38" s="371"/>
      <c r="AP38" s="375"/>
      <c r="AQ38" s="372"/>
      <c r="AR38" s="372"/>
      <c r="AS38" s="372"/>
      <c r="AT38" s="373"/>
      <c r="AU38" s="374"/>
      <c r="AV38" s="372"/>
      <c r="AW38" s="372"/>
      <c r="AX38" s="372"/>
      <c r="AY38" s="371"/>
      <c r="AZ38" s="375"/>
      <c r="BA38" s="372"/>
      <c r="BB38" s="372"/>
      <c r="BC38" s="372"/>
      <c r="BD38" s="373"/>
      <c r="BE38" s="374"/>
      <c r="BF38" s="372"/>
      <c r="BG38" s="372"/>
      <c r="BH38" s="372"/>
      <c r="BI38" s="371"/>
      <c r="BJ38" s="375"/>
      <c r="BK38" s="372"/>
      <c r="BL38" s="372"/>
      <c r="BM38" s="372"/>
      <c r="BN38" s="373"/>
      <c r="BO38" s="374"/>
      <c r="BP38" s="372"/>
      <c r="BQ38" s="372"/>
      <c r="BR38" s="372"/>
      <c r="BS38" s="371"/>
      <c r="BT38" s="375"/>
      <c r="BU38" s="372"/>
      <c r="BV38" s="372"/>
      <c r="BW38" s="372"/>
      <c r="BX38" s="373"/>
      <c r="BY38" s="374"/>
      <c r="BZ38" s="372"/>
      <c r="CA38" s="372"/>
      <c r="CB38" s="372"/>
      <c r="CC38" s="371"/>
      <c r="CD38" s="375"/>
      <c r="CE38" s="372"/>
      <c r="CF38" s="372"/>
      <c r="CG38" s="372"/>
      <c r="CH38" s="371"/>
      <c r="CI38" s="375"/>
      <c r="CJ38" s="372"/>
      <c r="CK38" s="372"/>
      <c r="CL38" s="372"/>
      <c r="CM38" s="373"/>
    </row>
    <row r="39" spans="1:91" ht="25.5" customHeight="1" thickBot="1">
      <c r="A39" s="391">
        <v>4332</v>
      </c>
      <c r="B39" s="392" t="s">
        <v>11</v>
      </c>
      <c r="C39" s="392" t="s">
        <v>44</v>
      </c>
      <c r="D39" s="392" t="s">
        <v>76</v>
      </c>
      <c r="E39" s="393" t="s">
        <v>53</v>
      </c>
      <c r="F39" s="392"/>
      <c r="G39" s="393" t="s">
        <v>1232</v>
      </c>
      <c r="H39" s="394" t="s">
        <v>54</v>
      </c>
      <c r="I39" s="395"/>
      <c r="J39" s="393"/>
      <c r="K39" s="396"/>
      <c r="L39" s="397" t="s">
        <v>78</v>
      </c>
      <c r="M39" s="392" t="s">
        <v>77</v>
      </c>
      <c r="N39" s="392"/>
      <c r="O39" s="392" t="s">
        <v>77</v>
      </c>
      <c r="P39" s="398" t="s">
        <v>77</v>
      </c>
      <c r="Q39" s="397"/>
      <c r="R39" s="392"/>
      <c r="S39" s="392"/>
      <c r="T39" s="392"/>
      <c r="U39" s="399" t="s">
        <v>80</v>
      </c>
      <c r="V39" s="391"/>
      <c r="W39" s="393"/>
      <c r="X39" s="393"/>
      <c r="Y39" s="393"/>
      <c r="Z39" s="396"/>
      <c r="AA39" s="400"/>
      <c r="AB39" s="393"/>
      <c r="AC39" s="393"/>
      <c r="AD39" s="393"/>
      <c r="AE39" s="394"/>
      <c r="AF39" s="395"/>
      <c r="AG39" s="393"/>
      <c r="AH39" s="393"/>
      <c r="AI39" s="393"/>
      <c r="AJ39" s="396"/>
      <c r="AK39" s="400"/>
      <c r="AL39" s="393"/>
      <c r="AM39" s="393"/>
      <c r="AN39" s="393"/>
      <c r="AO39" s="394"/>
      <c r="AP39" s="395"/>
      <c r="AQ39" s="393"/>
      <c r="AR39" s="393"/>
      <c r="AS39" s="393"/>
      <c r="AT39" s="396"/>
      <c r="AU39" s="400"/>
      <c r="AV39" s="393"/>
      <c r="AW39" s="393"/>
      <c r="AX39" s="393"/>
      <c r="AY39" s="394"/>
      <c r="AZ39" s="395"/>
      <c r="BA39" s="393"/>
      <c r="BB39" s="393"/>
      <c r="BC39" s="393"/>
      <c r="BD39" s="396"/>
      <c r="BE39" s="400"/>
      <c r="BF39" s="393"/>
      <c r="BG39" s="393"/>
      <c r="BH39" s="393"/>
      <c r="BI39" s="394"/>
      <c r="BJ39" s="395"/>
      <c r="BK39" s="393"/>
      <c r="BL39" s="393"/>
      <c r="BM39" s="393"/>
      <c r="BN39" s="396"/>
      <c r="BO39" s="400"/>
      <c r="BP39" s="393"/>
      <c r="BQ39" s="393"/>
      <c r="BR39" s="393"/>
      <c r="BS39" s="394"/>
      <c r="BT39" s="395"/>
      <c r="BU39" s="393"/>
      <c r="BV39" s="393"/>
      <c r="BW39" s="393"/>
      <c r="BX39" s="396"/>
      <c r="BY39" s="400"/>
      <c r="BZ39" s="393"/>
      <c r="CA39" s="393"/>
      <c r="CB39" s="393"/>
      <c r="CC39" s="394"/>
      <c r="CD39" s="395"/>
      <c r="CE39" s="393"/>
      <c r="CF39" s="393"/>
      <c r="CG39" s="393"/>
      <c r="CH39" s="394"/>
      <c r="CI39" s="395"/>
      <c r="CJ39" s="393"/>
      <c r="CK39" s="393"/>
      <c r="CL39" s="393"/>
      <c r="CM39" s="396"/>
    </row>
    <row r="40" spans="1:91" ht="25.5" customHeight="1">
      <c r="A40" s="401">
        <v>4333</v>
      </c>
      <c r="B40" s="402" t="s">
        <v>11</v>
      </c>
      <c r="C40" s="402" t="s">
        <v>44</v>
      </c>
      <c r="D40" s="402" t="s">
        <v>76</v>
      </c>
      <c r="E40" s="403" t="s">
        <v>53</v>
      </c>
      <c r="F40" s="402"/>
      <c r="G40" s="403" t="s">
        <v>1234</v>
      </c>
      <c r="H40" s="404" t="s">
        <v>54</v>
      </c>
      <c r="I40" s="405"/>
      <c r="J40" s="403"/>
      <c r="K40" s="406"/>
      <c r="L40" s="407" t="s">
        <v>78</v>
      </c>
      <c r="M40" s="402" t="s">
        <v>77</v>
      </c>
      <c r="N40" s="402"/>
      <c r="O40" s="402" t="s">
        <v>77</v>
      </c>
      <c r="P40" s="408" t="s">
        <v>77</v>
      </c>
      <c r="Q40" s="407"/>
      <c r="R40" s="402"/>
      <c r="S40" s="402"/>
      <c r="T40" s="402"/>
      <c r="U40" s="409" t="s">
        <v>80</v>
      </c>
      <c r="V40" s="401"/>
      <c r="W40" s="403"/>
      <c r="X40" s="403"/>
      <c r="Y40" s="403"/>
      <c r="Z40" s="406"/>
      <c r="AA40" s="410"/>
      <c r="AB40" s="403"/>
      <c r="AC40" s="403"/>
      <c r="AD40" s="403"/>
      <c r="AE40" s="404"/>
      <c r="AF40" s="405"/>
      <c r="AG40" s="403"/>
      <c r="AH40" s="403"/>
      <c r="AI40" s="403"/>
      <c r="AJ40" s="406"/>
      <c r="AK40" s="410"/>
      <c r="AL40" s="403"/>
      <c r="AM40" s="403"/>
      <c r="AN40" s="403"/>
      <c r="AO40" s="404"/>
      <c r="AP40" s="405"/>
      <c r="AQ40" s="403"/>
      <c r="AR40" s="403"/>
      <c r="AS40" s="403"/>
      <c r="AT40" s="406"/>
      <c r="AU40" s="410"/>
      <c r="AV40" s="403"/>
      <c r="AW40" s="403"/>
      <c r="AX40" s="403"/>
      <c r="AY40" s="404"/>
      <c r="AZ40" s="405"/>
      <c r="BA40" s="403"/>
      <c r="BB40" s="403"/>
      <c r="BC40" s="403"/>
      <c r="BD40" s="406"/>
      <c r="BE40" s="410"/>
      <c r="BF40" s="403"/>
      <c r="BG40" s="403"/>
      <c r="BH40" s="403"/>
      <c r="BI40" s="404"/>
      <c r="BJ40" s="405"/>
      <c r="BK40" s="403"/>
      <c r="BL40" s="403"/>
      <c r="BM40" s="403"/>
      <c r="BN40" s="406"/>
      <c r="BO40" s="410"/>
      <c r="BP40" s="403"/>
      <c r="BQ40" s="403"/>
      <c r="BR40" s="403"/>
      <c r="BS40" s="404"/>
      <c r="BT40" s="405"/>
      <c r="BU40" s="403"/>
      <c r="BV40" s="403"/>
      <c r="BW40" s="403"/>
      <c r="BX40" s="406"/>
      <c r="BY40" s="410"/>
      <c r="BZ40" s="403"/>
      <c r="CA40" s="403"/>
      <c r="CB40" s="403"/>
      <c r="CC40" s="404"/>
      <c r="CD40" s="405"/>
      <c r="CE40" s="403"/>
      <c r="CF40" s="403"/>
      <c r="CG40" s="403"/>
      <c r="CH40" s="404"/>
      <c r="CI40" s="405"/>
      <c r="CJ40" s="403"/>
      <c r="CK40" s="403"/>
      <c r="CL40" s="403"/>
      <c r="CM40" s="406"/>
    </row>
    <row r="41" spans="1:91" ht="25.5" customHeight="1">
      <c r="A41" s="386">
        <v>4334</v>
      </c>
      <c r="B41" s="387" t="s">
        <v>11</v>
      </c>
      <c r="C41" s="387" t="s">
        <v>44</v>
      </c>
      <c r="D41" s="387" t="s">
        <v>76</v>
      </c>
      <c r="E41" s="372" t="s">
        <v>53</v>
      </c>
      <c r="F41" s="387"/>
      <c r="G41" s="372" t="s">
        <v>1236</v>
      </c>
      <c r="H41" s="371" t="s">
        <v>54</v>
      </c>
      <c r="I41" s="375"/>
      <c r="J41" s="372"/>
      <c r="K41" s="373"/>
      <c r="L41" s="388" t="s">
        <v>78</v>
      </c>
      <c r="M41" s="387" t="s">
        <v>77</v>
      </c>
      <c r="N41" s="387"/>
      <c r="O41" s="387" t="s">
        <v>77</v>
      </c>
      <c r="P41" s="389" t="s">
        <v>77</v>
      </c>
      <c r="Q41" s="388"/>
      <c r="R41" s="387"/>
      <c r="S41" s="387"/>
      <c r="T41" s="387"/>
      <c r="U41" s="390" t="s">
        <v>80</v>
      </c>
      <c r="V41" s="386"/>
      <c r="W41" s="372"/>
      <c r="X41" s="372"/>
      <c r="Y41" s="372"/>
      <c r="Z41" s="373"/>
      <c r="AA41" s="374"/>
      <c r="AB41" s="372"/>
      <c r="AC41" s="372"/>
      <c r="AD41" s="372"/>
      <c r="AE41" s="371"/>
      <c r="AF41" s="375"/>
      <c r="AG41" s="372"/>
      <c r="AH41" s="372"/>
      <c r="AI41" s="372"/>
      <c r="AJ41" s="373"/>
      <c r="AK41" s="374"/>
      <c r="AL41" s="372"/>
      <c r="AM41" s="372"/>
      <c r="AN41" s="372"/>
      <c r="AO41" s="371"/>
      <c r="AP41" s="375"/>
      <c r="AQ41" s="372"/>
      <c r="AR41" s="372"/>
      <c r="AS41" s="372"/>
      <c r="AT41" s="373"/>
      <c r="AU41" s="374"/>
      <c r="AV41" s="372"/>
      <c r="AW41" s="372"/>
      <c r="AX41" s="372"/>
      <c r="AY41" s="371"/>
      <c r="AZ41" s="375"/>
      <c r="BA41" s="372"/>
      <c r="BB41" s="372"/>
      <c r="BC41" s="372"/>
      <c r="BD41" s="373"/>
      <c r="BE41" s="374"/>
      <c r="BF41" s="372"/>
      <c r="BG41" s="372"/>
      <c r="BH41" s="372"/>
      <c r="BI41" s="371"/>
      <c r="BJ41" s="375"/>
      <c r="BK41" s="372"/>
      <c r="BL41" s="372"/>
      <c r="BM41" s="372"/>
      <c r="BN41" s="373"/>
      <c r="BO41" s="374"/>
      <c r="BP41" s="372"/>
      <c r="BQ41" s="372"/>
      <c r="BR41" s="372"/>
      <c r="BS41" s="371"/>
      <c r="BT41" s="375"/>
      <c r="BU41" s="372"/>
      <c r="BV41" s="372"/>
      <c r="BW41" s="372"/>
      <c r="BX41" s="373"/>
      <c r="BY41" s="374"/>
      <c r="BZ41" s="372"/>
      <c r="CA41" s="372"/>
      <c r="CB41" s="372"/>
      <c r="CC41" s="371"/>
      <c r="CD41" s="375"/>
      <c r="CE41" s="372"/>
      <c r="CF41" s="372"/>
      <c r="CG41" s="372"/>
      <c r="CH41" s="371"/>
      <c r="CI41" s="375"/>
      <c r="CJ41" s="372"/>
      <c r="CK41" s="372"/>
      <c r="CL41" s="372"/>
      <c r="CM41" s="373"/>
    </row>
    <row r="42" spans="1:91" ht="25.5" customHeight="1">
      <c r="A42" s="386">
        <v>4335</v>
      </c>
      <c r="B42" s="387" t="s">
        <v>11</v>
      </c>
      <c r="C42" s="387" t="s">
        <v>44</v>
      </c>
      <c r="D42" s="387" t="s">
        <v>76</v>
      </c>
      <c r="E42" s="372" t="s">
        <v>53</v>
      </c>
      <c r="F42" s="387"/>
      <c r="G42" s="372" t="s">
        <v>1238</v>
      </c>
      <c r="H42" s="371" t="s">
        <v>54</v>
      </c>
      <c r="I42" s="375"/>
      <c r="J42" s="372"/>
      <c r="K42" s="373"/>
      <c r="L42" s="388" t="s">
        <v>78</v>
      </c>
      <c r="M42" s="387" t="s">
        <v>77</v>
      </c>
      <c r="N42" s="387"/>
      <c r="O42" s="387" t="s">
        <v>77</v>
      </c>
      <c r="P42" s="389" t="s">
        <v>77</v>
      </c>
      <c r="Q42" s="388"/>
      <c r="R42" s="387"/>
      <c r="S42" s="387"/>
      <c r="T42" s="387"/>
      <c r="U42" s="390" t="s">
        <v>80</v>
      </c>
      <c r="V42" s="386"/>
      <c r="W42" s="372"/>
      <c r="X42" s="372"/>
      <c r="Y42" s="372"/>
      <c r="Z42" s="373"/>
      <c r="AA42" s="374"/>
      <c r="AB42" s="372"/>
      <c r="AC42" s="372"/>
      <c r="AD42" s="372"/>
      <c r="AE42" s="371"/>
      <c r="AF42" s="375"/>
      <c r="AG42" s="372"/>
      <c r="AH42" s="372"/>
      <c r="AI42" s="372"/>
      <c r="AJ42" s="373"/>
      <c r="AK42" s="374"/>
      <c r="AL42" s="372"/>
      <c r="AM42" s="372"/>
      <c r="AN42" s="372"/>
      <c r="AO42" s="371"/>
      <c r="AP42" s="375"/>
      <c r="AQ42" s="372"/>
      <c r="AR42" s="372"/>
      <c r="AS42" s="372"/>
      <c r="AT42" s="373"/>
      <c r="AU42" s="374"/>
      <c r="AV42" s="372"/>
      <c r="AW42" s="372"/>
      <c r="AX42" s="372"/>
      <c r="AY42" s="371"/>
      <c r="AZ42" s="375"/>
      <c r="BA42" s="372"/>
      <c r="BB42" s="372"/>
      <c r="BC42" s="372"/>
      <c r="BD42" s="373"/>
      <c r="BE42" s="374"/>
      <c r="BF42" s="372"/>
      <c r="BG42" s="372"/>
      <c r="BH42" s="372"/>
      <c r="BI42" s="371"/>
      <c r="BJ42" s="375"/>
      <c r="BK42" s="372"/>
      <c r="BL42" s="372"/>
      <c r="BM42" s="372"/>
      <c r="BN42" s="373"/>
      <c r="BO42" s="374"/>
      <c r="BP42" s="372"/>
      <c r="BQ42" s="372"/>
      <c r="BR42" s="372"/>
      <c r="BS42" s="371"/>
      <c r="BT42" s="375"/>
      <c r="BU42" s="372"/>
      <c r="BV42" s="372"/>
      <c r="BW42" s="372"/>
      <c r="BX42" s="373"/>
      <c r="BY42" s="374"/>
      <c r="BZ42" s="372"/>
      <c r="CA42" s="372"/>
      <c r="CB42" s="372"/>
      <c r="CC42" s="371"/>
      <c r="CD42" s="375"/>
      <c r="CE42" s="372"/>
      <c r="CF42" s="372"/>
      <c r="CG42" s="372"/>
      <c r="CH42" s="371"/>
      <c r="CI42" s="375"/>
      <c r="CJ42" s="372"/>
      <c r="CK42" s="372"/>
      <c r="CL42" s="372"/>
      <c r="CM42" s="373"/>
    </row>
    <row r="43" spans="1:91" ht="25.5" customHeight="1">
      <c r="A43" s="386">
        <v>4336</v>
      </c>
      <c r="B43" s="387" t="s">
        <v>11</v>
      </c>
      <c r="C43" s="387" t="s">
        <v>44</v>
      </c>
      <c r="D43" s="387" t="s">
        <v>76</v>
      </c>
      <c r="E43" s="372" t="s">
        <v>53</v>
      </c>
      <c r="F43" s="387"/>
      <c r="G43" s="372" t="s">
        <v>1240</v>
      </c>
      <c r="H43" s="371" t="s">
        <v>54</v>
      </c>
      <c r="I43" s="375"/>
      <c r="J43" s="372"/>
      <c r="K43" s="373"/>
      <c r="L43" s="388" t="s">
        <v>78</v>
      </c>
      <c r="M43" s="387" t="s">
        <v>77</v>
      </c>
      <c r="N43" s="387"/>
      <c r="O43" s="387" t="s">
        <v>77</v>
      </c>
      <c r="P43" s="389" t="s">
        <v>77</v>
      </c>
      <c r="Q43" s="388"/>
      <c r="R43" s="387"/>
      <c r="S43" s="387"/>
      <c r="T43" s="387"/>
      <c r="U43" s="390" t="s">
        <v>80</v>
      </c>
      <c r="V43" s="386"/>
      <c r="W43" s="372"/>
      <c r="X43" s="372"/>
      <c r="Y43" s="372"/>
      <c r="Z43" s="373"/>
      <c r="AA43" s="374"/>
      <c r="AB43" s="372"/>
      <c r="AC43" s="372"/>
      <c r="AD43" s="372"/>
      <c r="AE43" s="371"/>
      <c r="AF43" s="375"/>
      <c r="AG43" s="372"/>
      <c r="AH43" s="372"/>
      <c r="AI43" s="372"/>
      <c r="AJ43" s="373"/>
      <c r="AK43" s="374"/>
      <c r="AL43" s="372"/>
      <c r="AM43" s="372"/>
      <c r="AN43" s="372"/>
      <c r="AO43" s="371"/>
      <c r="AP43" s="375"/>
      <c r="AQ43" s="372"/>
      <c r="AR43" s="372"/>
      <c r="AS43" s="372"/>
      <c r="AT43" s="373"/>
      <c r="AU43" s="374"/>
      <c r="AV43" s="372"/>
      <c r="AW43" s="372"/>
      <c r="AX43" s="372"/>
      <c r="AY43" s="371"/>
      <c r="AZ43" s="375"/>
      <c r="BA43" s="372"/>
      <c r="BB43" s="372"/>
      <c r="BC43" s="372"/>
      <c r="BD43" s="373"/>
      <c r="BE43" s="374"/>
      <c r="BF43" s="372"/>
      <c r="BG43" s="372"/>
      <c r="BH43" s="372"/>
      <c r="BI43" s="371"/>
      <c r="BJ43" s="375"/>
      <c r="BK43" s="372"/>
      <c r="BL43" s="372"/>
      <c r="BM43" s="372"/>
      <c r="BN43" s="373"/>
      <c r="BO43" s="374"/>
      <c r="BP43" s="372"/>
      <c r="BQ43" s="372"/>
      <c r="BR43" s="372"/>
      <c r="BS43" s="371"/>
      <c r="BT43" s="375"/>
      <c r="BU43" s="372"/>
      <c r="BV43" s="372"/>
      <c r="BW43" s="372"/>
      <c r="BX43" s="373"/>
      <c r="BY43" s="374"/>
      <c r="BZ43" s="372"/>
      <c r="CA43" s="372"/>
      <c r="CB43" s="372"/>
      <c r="CC43" s="371"/>
      <c r="CD43" s="375"/>
      <c r="CE43" s="372"/>
      <c r="CF43" s="372"/>
      <c r="CG43" s="372"/>
      <c r="CH43" s="371"/>
      <c r="CI43" s="375"/>
      <c r="CJ43" s="372"/>
      <c r="CK43" s="372"/>
      <c r="CL43" s="372"/>
      <c r="CM43" s="373"/>
    </row>
    <row r="44" spans="1:91" ht="25.5" customHeight="1" thickBot="1">
      <c r="A44" s="411">
        <v>4337</v>
      </c>
      <c r="B44" s="412" t="s">
        <v>11</v>
      </c>
      <c r="C44" s="412" t="s">
        <v>44</v>
      </c>
      <c r="D44" s="412" t="s">
        <v>76</v>
      </c>
      <c r="E44" s="377" t="s">
        <v>53</v>
      </c>
      <c r="F44" s="412"/>
      <c r="G44" s="377" t="s">
        <v>1242</v>
      </c>
      <c r="H44" s="376" t="s">
        <v>54</v>
      </c>
      <c r="I44" s="380"/>
      <c r="J44" s="377"/>
      <c r="K44" s="378"/>
      <c r="L44" s="413" t="s">
        <v>78</v>
      </c>
      <c r="M44" s="412" t="s">
        <v>77</v>
      </c>
      <c r="N44" s="412"/>
      <c r="O44" s="412" t="s">
        <v>77</v>
      </c>
      <c r="P44" s="414" t="s">
        <v>77</v>
      </c>
      <c r="Q44" s="413"/>
      <c r="R44" s="412"/>
      <c r="S44" s="412"/>
      <c r="T44" s="412"/>
      <c r="U44" s="415" t="s">
        <v>80</v>
      </c>
      <c r="V44" s="411"/>
      <c r="W44" s="377"/>
      <c r="X44" s="377"/>
      <c r="Y44" s="377"/>
      <c r="Z44" s="378"/>
      <c r="AA44" s="379"/>
      <c r="AB44" s="377"/>
      <c r="AC44" s="377"/>
      <c r="AD44" s="377"/>
      <c r="AE44" s="376"/>
      <c r="AF44" s="380"/>
      <c r="AG44" s="377"/>
      <c r="AH44" s="377"/>
      <c r="AI44" s="377"/>
      <c r="AJ44" s="378"/>
      <c r="AK44" s="379"/>
      <c r="AL44" s="377"/>
      <c r="AM44" s="377"/>
      <c r="AN44" s="377"/>
      <c r="AO44" s="376"/>
      <c r="AP44" s="380"/>
      <c r="AQ44" s="377"/>
      <c r="AR44" s="377"/>
      <c r="AS44" s="377"/>
      <c r="AT44" s="378"/>
      <c r="AU44" s="379"/>
      <c r="AV44" s="377"/>
      <c r="AW44" s="377"/>
      <c r="AX44" s="377"/>
      <c r="AY44" s="376"/>
      <c r="AZ44" s="380"/>
      <c r="BA44" s="377"/>
      <c r="BB44" s="377"/>
      <c r="BC44" s="377"/>
      <c r="BD44" s="378"/>
      <c r="BE44" s="379"/>
      <c r="BF44" s="377"/>
      <c r="BG44" s="377"/>
      <c r="BH44" s="377"/>
      <c r="BI44" s="376"/>
      <c r="BJ44" s="380"/>
      <c r="BK44" s="377"/>
      <c r="BL44" s="377"/>
      <c r="BM44" s="377"/>
      <c r="BN44" s="378"/>
      <c r="BO44" s="379"/>
      <c r="BP44" s="377"/>
      <c r="BQ44" s="377"/>
      <c r="BR44" s="377"/>
      <c r="BS44" s="376"/>
      <c r="BT44" s="380"/>
      <c r="BU44" s="377"/>
      <c r="BV44" s="377"/>
      <c r="BW44" s="377"/>
      <c r="BX44" s="378"/>
      <c r="BY44" s="379"/>
      <c r="BZ44" s="377"/>
      <c r="CA44" s="377"/>
      <c r="CB44" s="377"/>
      <c r="CC44" s="376"/>
      <c r="CD44" s="380"/>
      <c r="CE44" s="377"/>
      <c r="CF44" s="377"/>
      <c r="CG44" s="377"/>
      <c r="CH44" s="376"/>
      <c r="CI44" s="380"/>
      <c r="CJ44" s="377"/>
      <c r="CK44" s="377"/>
      <c r="CL44" s="377"/>
      <c r="CM44" s="378"/>
    </row>
    <row r="45" spans="1:91" ht="25.5" customHeight="1">
      <c r="A45" s="416">
        <v>4338</v>
      </c>
      <c r="B45" s="417" t="s">
        <v>11</v>
      </c>
      <c r="C45" s="417" t="s">
        <v>44</v>
      </c>
      <c r="D45" s="417" t="s">
        <v>76</v>
      </c>
      <c r="E45" s="381" t="s">
        <v>53</v>
      </c>
      <c r="F45" s="417"/>
      <c r="G45" s="381" t="s">
        <v>1244</v>
      </c>
      <c r="H45" s="384" t="s">
        <v>54</v>
      </c>
      <c r="I45" s="385"/>
      <c r="J45" s="381"/>
      <c r="K45" s="382"/>
      <c r="L45" s="418" t="s">
        <v>78</v>
      </c>
      <c r="M45" s="417" t="s">
        <v>77</v>
      </c>
      <c r="N45" s="417"/>
      <c r="O45" s="417" t="s">
        <v>77</v>
      </c>
      <c r="P45" s="419" t="s">
        <v>77</v>
      </c>
      <c r="Q45" s="418"/>
      <c r="R45" s="417"/>
      <c r="S45" s="417"/>
      <c r="T45" s="417"/>
      <c r="U45" s="420" t="s">
        <v>80</v>
      </c>
      <c r="V45" s="416"/>
      <c r="W45" s="381"/>
      <c r="X45" s="381"/>
      <c r="Y45" s="381"/>
      <c r="Z45" s="382"/>
      <c r="AA45" s="383"/>
      <c r="AB45" s="381"/>
      <c r="AC45" s="381"/>
      <c r="AD45" s="381"/>
      <c r="AE45" s="384"/>
      <c r="AF45" s="385"/>
      <c r="AG45" s="381"/>
      <c r="AH45" s="381"/>
      <c r="AI45" s="381"/>
      <c r="AJ45" s="382"/>
      <c r="AK45" s="383"/>
      <c r="AL45" s="381"/>
      <c r="AM45" s="381"/>
      <c r="AN45" s="381"/>
      <c r="AO45" s="384"/>
      <c r="AP45" s="385"/>
      <c r="AQ45" s="381"/>
      <c r="AR45" s="381"/>
      <c r="AS45" s="381"/>
      <c r="AT45" s="382"/>
      <c r="AU45" s="383"/>
      <c r="AV45" s="381"/>
      <c r="AW45" s="381"/>
      <c r="AX45" s="381"/>
      <c r="AY45" s="384"/>
      <c r="AZ45" s="385"/>
      <c r="BA45" s="381"/>
      <c r="BB45" s="381"/>
      <c r="BC45" s="381"/>
      <c r="BD45" s="382"/>
      <c r="BE45" s="383"/>
      <c r="BF45" s="381"/>
      <c r="BG45" s="381"/>
      <c r="BH45" s="381"/>
      <c r="BI45" s="384"/>
      <c r="BJ45" s="385"/>
      <c r="BK45" s="381"/>
      <c r="BL45" s="381"/>
      <c r="BM45" s="381"/>
      <c r="BN45" s="382"/>
      <c r="BO45" s="383"/>
      <c r="BP45" s="381"/>
      <c r="BQ45" s="381"/>
      <c r="BR45" s="381"/>
      <c r="BS45" s="384"/>
      <c r="BT45" s="385"/>
      <c r="BU45" s="381"/>
      <c r="BV45" s="381"/>
      <c r="BW45" s="381"/>
      <c r="BX45" s="382"/>
      <c r="BY45" s="383"/>
      <c r="BZ45" s="381"/>
      <c r="CA45" s="381"/>
      <c r="CB45" s="381"/>
      <c r="CC45" s="384"/>
      <c r="CD45" s="385"/>
      <c r="CE45" s="381"/>
      <c r="CF45" s="381"/>
      <c r="CG45" s="381"/>
      <c r="CH45" s="384"/>
      <c r="CI45" s="385"/>
      <c r="CJ45" s="381"/>
      <c r="CK45" s="381"/>
      <c r="CL45" s="381"/>
      <c r="CM45" s="382"/>
    </row>
    <row r="46" spans="1:91" ht="25.5" customHeight="1">
      <c r="A46" s="386">
        <v>4339</v>
      </c>
      <c r="B46" s="387" t="s">
        <v>11</v>
      </c>
      <c r="C46" s="387" t="s">
        <v>44</v>
      </c>
      <c r="D46" s="387" t="s">
        <v>76</v>
      </c>
      <c r="E46" s="372" t="s">
        <v>53</v>
      </c>
      <c r="F46" s="387"/>
      <c r="G46" s="372" t="s">
        <v>1246</v>
      </c>
      <c r="H46" s="371" t="s">
        <v>54</v>
      </c>
      <c r="I46" s="375"/>
      <c r="J46" s="372"/>
      <c r="K46" s="373"/>
      <c r="L46" s="388" t="s">
        <v>78</v>
      </c>
      <c r="M46" s="387" t="s">
        <v>77</v>
      </c>
      <c r="N46" s="387"/>
      <c r="O46" s="387" t="s">
        <v>77</v>
      </c>
      <c r="P46" s="389" t="s">
        <v>77</v>
      </c>
      <c r="Q46" s="388"/>
      <c r="R46" s="387"/>
      <c r="S46" s="387"/>
      <c r="T46" s="387"/>
      <c r="U46" s="390" t="s">
        <v>80</v>
      </c>
      <c r="V46" s="386"/>
      <c r="W46" s="372"/>
      <c r="X46" s="372"/>
      <c r="Y46" s="372"/>
      <c r="Z46" s="373"/>
      <c r="AA46" s="374"/>
      <c r="AB46" s="372"/>
      <c r="AC46" s="372"/>
      <c r="AD46" s="372"/>
      <c r="AE46" s="371"/>
      <c r="AF46" s="375"/>
      <c r="AG46" s="372"/>
      <c r="AH46" s="372"/>
      <c r="AI46" s="372"/>
      <c r="AJ46" s="373"/>
      <c r="AK46" s="374"/>
      <c r="AL46" s="372"/>
      <c r="AM46" s="372"/>
      <c r="AN46" s="372"/>
      <c r="AO46" s="371"/>
      <c r="AP46" s="375"/>
      <c r="AQ46" s="372"/>
      <c r="AR46" s="372"/>
      <c r="AS46" s="372"/>
      <c r="AT46" s="373"/>
      <c r="AU46" s="374"/>
      <c r="AV46" s="372"/>
      <c r="AW46" s="372"/>
      <c r="AX46" s="372"/>
      <c r="AY46" s="371"/>
      <c r="AZ46" s="375"/>
      <c r="BA46" s="372"/>
      <c r="BB46" s="372"/>
      <c r="BC46" s="372"/>
      <c r="BD46" s="373"/>
      <c r="BE46" s="374"/>
      <c r="BF46" s="372"/>
      <c r="BG46" s="372"/>
      <c r="BH46" s="372"/>
      <c r="BI46" s="371"/>
      <c r="BJ46" s="375"/>
      <c r="BK46" s="372"/>
      <c r="BL46" s="372"/>
      <c r="BM46" s="372"/>
      <c r="BN46" s="373"/>
      <c r="BO46" s="374"/>
      <c r="BP46" s="372"/>
      <c r="BQ46" s="372"/>
      <c r="BR46" s="372"/>
      <c r="BS46" s="371"/>
      <c r="BT46" s="375"/>
      <c r="BU46" s="372"/>
      <c r="BV46" s="372"/>
      <c r="BW46" s="372"/>
      <c r="BX46" s="373"/>
      <c r="BY46" s="374"/>
      <c r="BZ46" s="372"/>
      <c r="CA46" s="372"/>
      <c r="CB46" s="372"/>
      <c r="CC46" s="371"/>
      <c r="CD46" s="375"/>
      <c r="CE46" s="372"/>
      <c r="CF46" s="372"/>
      <c r="CG46" s="372"/>
      <c r="CH46" s="371"/>
      <c r="CI46" s="375"/>
      <c r="CJ46" s="372"/>
      <c r="CK46" s="372"/>
      <c r="CL46" s="372"/>
      <c r="CM46" s="373"/>
    </row>
    <row r="47" spans="1:91" ht="25.5" customHeight="1">
      <c r="A47" s="386">
        <v>4340</v>
      </c>
      <c r="B47" s="387" t="s">
        <v>11</v>
      </c>
      <c r="C47" s="387" t="s">
        <v>44</v>
      </c>
      <c r="D47" s="387" t="s">
        <v>76</v>
      </c>
      <c r="E47" s="372" t="s">
        <v>53</v>
      </c>
      <c r="F47" s="387"/>
      <c r="G47" s="372" t="s">
        <v>1248</v>
      </c>
      <c r="H47" s="371" t="s">
        <v>54</v>
      </c>
      <c r="I47" s="375"/>
      <c r="J47" s="372"/>
      <c r="K47" s="373"/>
      <c r="L47" s="388" t="s">
        <v>78</v>
      </c>
      <c r="M47" s="387" t="s">
        <v>77</v>
      </c>
      <c r="N47" s="387"/>
      <c r="O47" s="387" t="s">
        <v>77</v>
      </c>
      <c r="P47" s="389" t="s">
        <v>77</v>
      </c>
      <c r="Q47" s="388"/>
      <c r="R47" s="387"/>
      <c r="S47" s="387"/>
      <c r="T47" s="387"/>
      <c r="U47" s="390" t="s">
        <v>80</v>
      </c>
      <c r="V47" s="386"/>
      <c r="W47" s="372"/>
      <c r="X47" s="372"/>
      <c r="Y47" s="372"/>
      <c r="Z47" s="373"/>
      <c r="AA47" s="374"/>
      <c r="AB47" s="372"/>
      <c r="AC47" s="372"/>
      <c r="AD47" s="372"/>
      <c r="AE47" s="371"/>
      <c r="AF47" s="375"/>
      <c r="AG47" s="372"/>
      <c r="AH47" s="372"/>
      <c r="AI47" s="372"/>
      <c r="AJ47" s="373"/>
      <c r="AK47" s="374"/>
      <c r="AL47" s="372"/>
      <c r="AM47" s="372"/>
      <c r="AN47" s="372"/>
      <c r="AO47" s="371"/>
      <c r="AP47" s="375"/>
      <c r="AQ47" s="372"/>
      <c r="AR47" s="372"/>
      <c r="AS47" s="372"/>
      <c r="AT47" s="373"/>
      <c r="AU47" s="374"/>
      <c r="AV47" s="372"/>
      <c r="AW47" s="372"/>
      <c r="AX47" s="372"/>
      <c r="AY47" s="371"/>
      <c r="AZ47" s="375"/>
      <c r="BA47" s="372"/>
      <c r="BB47" s="372"/>
      <c r="BC47" s="372"/>
      <c r="BD47" s="373"/>
      <c r="BE47" s="374"/>
      <c r="BF47" s="372"/>
      <c r="BG47" s="372"/>
      <c r="BH47" s="372"/>
      <c r="BI47" s="371"/>
      <c r="BJ47" s="375"/>
      <c r="BK47" s="372"/>
      <c r="BL47" s="372"/>
      <c r="BM47" s="372"/>
      <c r="BN47" s="373"/>
      <c r="BO47" s="374"/>
      <c r="BP47" s="372"/>
      <c r="BQ47" s="372"/>
      <c r="BR47" s="372"/>
      <c r="BS47" s="371"/>
      <c r="BT47" s="375"/>
      <c r="BU47" s="372"/>
      <c r="BV47" s="372"/>
      <c r="BW47" s="372"/>
      <c r="BX47" s="373"/>
      <c r="BY47" s="374"/>
      <c r="BZ47" s="372"/>
      <c r="CA47" s="372"/>
      <c r="CB47" s="372"/>
      <c r="CC47" s="371"/>
      <c r="CD47" s="375"/>
      <c r="CE47" s="372"/>
      <c r="CF47" s="372"/>
      <c r="CG47" s="372"/>
      <c r="CH47" s="371"/>
      <c r="CI47" s="375"/>
      <c r="CJ47" s="372"/>
      <c r="CK47" s="372"/>
      <c r="CL47" s="372"/>
      <c r="CM47" s="373"/>
    </row>
    <row r="48" spans="1:91" ht="25.5" customHeight="1">
      <c r="A48" s="386">
        <v>4341</v>
      </c>
      <c r="B48" s="387" t="s">
        <v>11</v>
      </c>
      <c r="C48" s="387" t="s">
        <v>44</v>
      </c>
      <c r="D48" s="387" t="s">
        <v>76</v>
      </c>
      <c r="E48" s="372" t="s">
        <v>53</v>
      </c>
      <c r="F48" s="387"/>
      <c r="G48" s="372" t="s">
        <v>1250</v>
      </c>
      <c r="H48" s="371" t="s">
        <v>54</v>
      </c>
      <c r="I48" s="375"/>
      <c r="J48" s="372"/>
      <c r="K48" s="373"/>
      <c r="L48" s="388" t="s">
        <v>78</v>
      </c>
      <c r="M48" s="387" t="s">
        <v>77</v>
      </c>
      <c r="N48" s="387"/>
      <c r="O48" s="387" t="s">
        <v>77</v>
      </c>
      <c r="P48" s="389" t="s">
        <v>77</v>
      </c>
      <c r="Q48" s="388"/>
      <c r="R48" s="387"/>
      <c r="S48" s="387"/>
      <c r="T48" s="387"/>
      <c r="U48" s="390" t="s">
        <v>80</v>
      </c>
      <c r="V48" s="386"/>
      <c r="W48" s="372"/>
      <c r="X48" s="372"/>
      <c r="Y48" s="372"/>
      <c r="Z48" s="373"/>
      <c r="AA48" s="374"/>
      <c r="AB48" s="372"/>
      <c r="AC48" s="372"/>
      <c r="AD48" s="372"/>
      <c r="AE48" s="371"/>
      <c r="AF48" s="375"/>
      <c r="AG48" s="372"/>
      <c r="AH48" s="372"/>
      <c r="AI48" s="372"/>
      <c r="AJ48" s="373"/>
      <c r="AK48" s="374"/>
      <c r="AL48" s="372"/>
      <c r="AM48" s="372"/>
      <c r="AN48" s="372"/>
      <c r="AO48" s="371"/>
      <c r="AP48" s="375"/>
      <c r="AQ48" s="372"/>
      <c r="AR48" s="372"/>
      <c r="AS48" s="372"/>
      <c r="AT48" s="373"/>
      <c r="AU48" s="374"/>
      <c r="AV48" s="372"/>
      <c r="AW48" s="372"/>
      <c r="AX48" s="372"/>
      <c r="AY48" s="371"/>
      <c r="AZ48" s="375"/>
      <c r="BA48" s="372"/>
      <c r="BB48" s="372"/>
      <c r="BC48" s="372"/>
      <c r="BD48" s="373"/>
      <c r="BE48" s="374"/>
      <c r="BF48" s="372"/>
      <c r="BG48" s="372"/>
      <c r="BH48" s="372"/>
      <c r="BI48" s="371"/>
      <c r="BJ48" s="375"/>
      <c r="BK48" s="372"/>
      <c r="BL48" s="372"/>
      <c r="BM48" s="372"/>
      <c r="BN48" s="373"/>
      <c r="BO48" s="374"/>
      <c r="BP48" s="372"/>
      <c r="BQ48" s="372"/>
      <c r="BR48" s="372"/>
      <c r="BS48" s="371"/>
      <c r="BT48" s="375"/>
      <c r="BU48" s="372"/>
      <c r="BV48" s="372"/>
      <c r="BW48" s="372"/>
      <c r="BX48" s="373"/>
      <c r="BY48" s="374"/>
      <c r="BZ48" s="372"/>
      <c r="CA48" s="372"/>
      <c r="CB48" s="372"/>
      <c r="CC48" s="371"/>
      <c r="CD48" s="375"/>
      <c r="CE48" s="372"/>
      <c r="CF48" s="372"/>
      <c r="CG48" s="372"/>
      <c r="CH48" s="371"/>
      <c r="CI48" s="375"/>
      <c r="CJ48" s="372"/>
      <c r="CK48" s="372"/>
      <c r="CL48" s="372"/>
      <c r="CM48" s="373"/>
    </row>
    <row r="49" spans="1:91" ht="25.5" customHeight="1" thickBot="1">
      <c r="A49" s="391">
        <v>4342</v>
      </c>
      <c r="B49" s="392" t="s">
        <v>11</v>
      </c>
      <c r="C49" s="392" t="s">
        <v>44</v>
      </c>
      <c r="D49" s="392" t="s">
        <v>76</v>
      </c>
      <c r="E49" s="393" t="s">
        <v>53</v>
      </c>
      <c r="F49" s="392"/>
      <c r="G49" s="393" t="s">
        <v>1252</v>
      </c>
      <c r="H49" s="394" t="s">
        <v>54</v>
      </c>
      <c r="I49" s="395"/>
      <c r="J49" s="393"/>
      <c r="K49" s="396"/>
      <c r="L49" s="397" t="s">
        <v>78</v>
      </c>
      <c r="M49" s="392" t="s">
        <v>77</v>
      </c>
      <c r="N49" s="392"/>
      <c r="O49" s="392" t="s">
        <v>77</v>
      </c>
      <c r="P49" s="398" t="s">
        <v>77</v>
      </c>
      <c r="Q49" s="397"/>
      <c r="R49" s="392"/>
      <c r="S49" s="392"/>
      <c r="T49" s="392"/>
      <c r="U49" s="399" t="s">
        <v>80</v>
      </c>
      <c r="V49" s="391"/>
      <c r="W49" s="393"/>
      <c r="X49" s="393"/>
      <c r="Y49" s="393"/>
      <c r="Z49" s="396"/>
      <c r="AA49" s="400"/>
      <c r="AB49" s="393"/>
      <c r="AC49" s="393"/>
      <c r="AD49" s="393"/>
      <c r="AE49" s="394"/>
      <c r="AF49" s="395"/>
      <c r="AG49" s="393"/>
      <c r="AH49" s="393"/>
      <c r="AI49" s="393"/>
      <c r="AJ49" s="396"/>
      <c r="AK49" s="400"/>
      <c r="AL49" s="393"/>
      <c r="AM49" s="393"/>
      <c r="AN49" s="393"/>
      <c r="AO49" s="394"/>
      <c r="AP49" s="395"/>
      <c r="AQ49" s="393"/>
      <c r="AR49" s="393"/>
      <c r="AS49" s="393"/>
      <c r="AT49" s="396"/>
      <c r="AU49" s="400"/>
      <c r="AV49" s="393"/>
      <c r="AW49" s="393"/>
      <c r="AX49" s="393"/>
      <c r="AY49" s="394"/>
      <c r="AZ49" s="395"/>
      <c r="BA49" s="393"/>
      <c r="BB49" s="393"/>
      <c r="BC49" s="393"/>
      <c r="BD49" s="396"/>
      <c r="BE49" s="400"/>
      <c r="BF49" s="393"/>
      <c r="BG49" s="393"/>
      <c r="BH49" s="393"/>
      <c r="BI49" s="394"/>
      <c r="BJ49" s="395"/>
      <c r="BK49" s="393"/>
      <c r="BL49" s="393"/>
      <c r="BM49" s="393"/>
      <c r="BN49" s="396"/>
      <c r="BO49" s="400"/>
      <c r="BP49" s="393"/>
      <c r="BQ49" s="393"/>
      <c r="BR49" s="393"/>
      <c r="BS49" s="394"/>
      <c r="BT49" s="395"/>
      <c r="BU49" s="393"/>
      <c r="BV49" s="393"/>
      <c r="BW49" s="393"/>
      <c r="BX49" s="396"/>
      <c r="BY49" s="400"/>
      <c r="BZ49" s="393"/>
      <c r="CA49" s="393"/>
      <c r="CB49" s="393"/>
      <c r="CC49" s="394"/>
      <c r="CD49" s="395"/>
      <c r="CE49" s="393"/>
      <c r="CF49" s="393"/>
      <c r="CG49" s="393"/>
      <c r="CH49" s="394"/>
      <c r="CI49" s="395"/>
      <c r="CJ49" s="393"/>
      <c r="CK49" s="393"/>
      <c r="CL49" s="393"/>
      <c r="CM49" s="396"/>
    </row>
    <row r="50" spans="1:91" ht="25.5" customHeight="1">
      <c r="A50" s="401">
        <v>4343</v>
      </c>
      <c r="B50" s="402" t="s">
        <v>11</v>
      </c>
      <c r="C50" s="402" t="s">
        <v>44</v>
      </c>
      <c r="D50" s="402" t="s">
        <v>76</v>
      </c>
      <c r="E50" s="403" t="s">
        <v>53</v>
      </c>
      <c r="F50" s="402"/>
      <c r="G50" s="403" t="s">
        <v>1254</v>
      </c>
      <c r="H50" s="404" t="s">
        <v>54</v>
      </c>
      <c r="I50" s="405"/>
      <c r="J50" s="403"/>
      <c r="K50" s="406"/>
      <c r="L50" s="407" t="s">
        <v>78</v>
      </c>
      <c r="M50" s="402" t="s">
        <v>77</v>
      </c>
      <c r="N50" s="402"/>
      <c r="O50" s="402" t="s">
        <v>77</v>
      </c>
      <c r="P50" s="408" t="s">
        <v>77</v>
      </c>
      <c r="Q50" s="407"/>
      <c r="R50" s="402"/>
      <c r="S50" s="402"/>
      <c r="T50" s="402"/>
      <c r="U50" s="409" t="s">
        <v>80</v>
      </c>
      <c r="V50" s="401"/>
      <c r="W50" s="403"/>
      <c r="X50" s="403"/>
      <c r="Y50" s="403"/>
      <c r="Z50" s="406"/>
      <c r="AA50" s="410"/>
      <c r="AB50" s="403"/>
      <c r="AC50" s="403"/>
      <c r="AD50" s="403"/>
      <c r="AE50" s="404"/>
      <c r="AF50" s="405"/>
      <c r="AG50" s="403"/>
      <c r="AH50" s="403"/>
      <c r="AI50" s="403"/>
      <c r="AJ50" s="406"/>
      <c r="AK50" s="410"/>
      <c r="AL50" s="403"/>
      <c r="AM50" s="403"/>
      <c r="AN50" s="403"/>
      <c r="AO50" s="404"/>
      <c r="AP50" s="405"/>
      <c r="AQ50" s="403"/>
      <c r="AR50" s="403"/>
      <c r="AS50" s="403"/>
      <c r="AT50" s="406"/>
      <c r="AU50" s="410"/>
      <c r="AV50" s="403"/>
      <c r="AW50" s="403"/>
      <c r="AX50" s="403"/>
      <c r="AY50" s="404"/>
      <c r="AZ50" s="405"/>
      <c r="BA50" s="403"/>
      <c r="BB50" s="403"/>
      <c r="BC50" s="403"/>
      <c r="BD50" s="406"/>
      <c r="BE50" s="410"/>
      <c r="BF50" s="403"/>
      <c r="BG50" s="403"/>
      <c r="BH50" s="403"/>
      <c r="BI50" s="404"/>
      <c r="BJ50" s="405"/>
      <c r="BK50" s="403"/>
      <c r="BL50" s="403"/>
      <c r="BM50" s="403"/>
      <c r="BN50" s="406"/>
      <c r="BO50" s="410"/>
      <c r="BP50" s="403"/>
      <c r="BQ50" s="403"/>
      <c r="BR50" s="403"/>
      <c r="BS50" s="404"/>
      <c r="BT50" s="405"/>
      <c r="BU50" s="403"/>
      <c r="BV50" s="403"/>
      <c r="BW50" s="403"/>
      <c r="BX50" s="406"/>
      <c r="BY50" s="410"/>
      <c r="BZ50" s="403"/>
      <c r="CA50" s="403"/>
      <c r="CB50" s="403"/>
      <c r="CC50" s="404"/>
      <c r="CD50" s="405"/>
      <c r="CE50" s="403"/>
      <c r="CF50" s="403"/>
      <c r="CG50" s="403"/>
      <c r="CH50" s="404"/>
      <c r="CI50" s="405"/>
      <c r="CJ50" s="403"/>
      <c r="CK50" s="403"/>
      <c r="CL50" s="403"/>
      <c r="CM50" s="406"/>
    </row>
    <row r="51" spans="1:91" ht="25.5" customHeight="1">
      <c r="A51" s="386">
        <v>4344</v>
      </c>
      <c r="B51" s="387" t="s">
        <v>11</v>
      </c>
      <c r="C51" s="387" t="s">
        <v>44</v>
      </c>
      <c r="D51" s="387" t="s">
        <v>76</v>
      </c>
      <c r="E51" s="372" t="s">
        <v>53</v>
      </c>
      <c r="F51" s="387"/>
      <c r="G51" s="372" t="s">
        <v>1256</v>
      </c>
      <c r="H51" s="371" t="s">
        <v>54</v>
      </c>
      <c r="I51" s="375"/>
      <c r="J51" s="372"/>
      <c r="K51" s="373"/>
      <c r="L51" s="388" t="s">
        <v>78</v>
      </c>
      <c r="M51" s="387" t="s">
        <v>77</v>
      </c>
      <c r="N51" s="387"/>
      <c r="O51" s="387" t="s">
        <v>77</v>
      </c>
      <c r="P51" s="389" t="s">
        <v>77</v>
      </c>
      <c r="Q51" s="388"/>
      <c r="R51" s="387"/>
      <c r="S51" s="387"/>
      <c r="T51" s="387"/>
      <c r="U51" s="390" t="s">
        <v>80</v>
      </c>
      <c r="V51" s="386"/>
      <c r="W51" s="372"/>
      <c r="X51" s="372"/>
      <c r="Y51" s="372"/>
      <c r="Z51" s="373"/>
      <c r="AA51" s="374"/>
      <c r="AB51" s="372"/>
      <c r="AC51" s="372"/>
      <c r="AD51" s="372"/>
      <c r="AE51" s="371"/>
      <c r="AF51" s="375"/>
      <c r="AG51" s="372"/>
      <c r="AH51" s="372"/>
      <c r="AI51" s="372"/>
      <c r="AJ51" s="373"/>
      <c r="AK51" s="374"/>
      <c r="AL51" s="372"/>
      <c r="AM51" s="372"/>
      <c r="AN51" s="372"/>
      <c r="AO51" s="371"/>
      <c r="AP51" s="375"/>
      <c r="AQ51" s="372"/>
      <c r="AR51" s="372"/>
      <c r="AS51" s="372"/>
      <c r="AT51" s="373"/>
      <c r="AU51" s="374"/>
      <c r="AV51" s="372"/>
      <c r="AW51" s="372"/>
      <c r="AX51" s="372"/>
      <c r="AY51" s="371"/>
      <c r="AZ51" s="375"/>
      <c r="BA51" s="372"/>
      <c r="BB51" s="372"/>
      <c r="BC51" s="372"/>
      <c r="BD51" s="373"/>
      <c r="BE51" s="374"/>
      <c r="BF51" s="372"/>
      <c r="BG51" s="372"/>
      <c r="BH51" s="372"/>
      <c r="BI51" s="371"/>
      <c r="BJ51" s="375"/>
      <c r="BK51" s="372"/>
      <c r="BL51" s="372"/>
      <c r="BM51" s="372"/>
      <c r="BN51" s="373"/>
      <c r="BO51" s="374"/>
      <c r="BP51" s="372"/>
      <c r="BQ51" s="372"/>
      <c r="BR51" s="372"/>
      <c r="BS51" s="371"/>
      <c r="BT51" s="375"/>
      <c r="BU51" s="372"/>
      <c r="BV51" s="372"/>
      <c r="BW51" s="372"/>
      <c r="BX51" s="373"/>
      <c r="BY51" s="374"/>
      <c r="BZ51" s="372"/>
      <c r="CA51" s="372"/>
      <c r="CB51" s="372"/>
      <c r="CC51" s="371"/>
      <c r="CD51" s="375"/>
      <c r="CE51" s="372"/>
      <c r="CF51" s="372"/>
      <c r="CG51" s="372"/>
      <c r="CH51" s="371"/>
      <c r="CI51" s="375"/>
      <c r="CJ51" s="372"/>
      <c r="CK51" s="372"/>
      <c r="CL51" s="372"/>
      <c r="CM51" s="373"/>
    </row>
    <row r="52" spans="1:91" ht="25.5" customHeight="1">
      <c r="A52" s="386">
        <v>4345</v>
      </c>
      <c r="B52" s="387" t="s">
        <v>11</v>
      </c>
      <c r="C52" s="387" t="s">
        <v>44</v>
      </c>
      <c r="D52" s="387" t="s">
        <v>76</v>
      </c>
      <c r="E52" s="372" t="s">
        <v>53</v>
      </c>
      <c r="F52" s="387"/>
      <c r="G52" s="372" t="s">
        <v>1258</v>
      </c>
      <c r="H52" s="371" t="s">
        <v>54</v>
      </c>
      <c r="I52" s="375"/>
      <c r="J52" s="372"/>
      <c r="K52" s="373"/>
      <c r="L52" s="388" t="s">
        <v>78</v>
      </c>
      <c r="M52" s="387" t="s">
        <v>77</v>
      </c>
      <c r="N52" s="387"/>
      <c r="O52" s="387" t="s">
        <v>77</v>
      </c>
      <c r="P52" s="389" t="s">
        <v>77</v>
      </c>
      <c r="Q52" s="388"/>
      <c r="R52" s="387"/>
      <c r="S52" s="387"/>
      <c r="T52" s="387"/>
      <c r="U52" s="390" t="s">
        <v>80</v>
      </c>
      <c r="V52" s="386"/>
      <c r="W52" s="372"/>
      <c r="X52" s="372"/>
      <c r="Y52" s="372"/>
      <c r="Z52" s="373"/>
      <c r="AA52" s="374"/>
      <c r="AB52" s="372"/>
      <c r="AC52" s="372"/>
      <c r="AD52" s="372"/>
      <c r="AE52" s="371"/>
      <c r="AF52" s="375"/>
      <c r="AG52" s="372"/>
      <c r="AH52" s="372"/>
      <c r="AI52" s="372"/>
      <c r="AJ52" s="373"/>
      <c r="AK52" s="374"/>
      <c r="AL52" s="372"/>
      <c r="AM52" s="372"/>
      <c r="AN52" s="372"/>
      <c r="AO52" s="371"/>
      <c r="AP52" s="375"/>
      <c r="AQ52" s="372"/>
      <c r="AR52" s="372"/>
      <c r="AS52" s="372"/>
      <c r="AT52" s="373"/>
      <c r="AU52" s="374"/>
      <c r="AV52" s="372"/>
      <c r="AW52" s="372"/>
      <c r="AX52" s="372"/>
      <c r="AY52" s="371"/>
      <c r="AZ52" s="375"/>
      <c r="BA52" s="372"/>
      <c r="BB52" s="372"/>
      <c r="BC52" s="372"/>
      <c r="BD52" s="373"/>
      <c r="BE52" s="374"/>
      <c r="BF52" s="372"/>
      <c r="BG52" s="372"/>
      <c r="BH52" s="372"/>
      <c r="BI52" s="371"/>
      <c r="BJ52" s="375"/>
      <c r="BK52" s="372"/>
      <c r="BL52" s="372"/>
      <c r="BM52" s="372"/>
      <c r="BN52" s="373"/>
      <c r="BO52" s="374"/>
      <c r="BP52" s="372"/>
      <c r="BQ52" s="372"/>
      <c r="BR52" s="372"/>
      <c r="BS52" s="371"/>
      <c r="BT52" s="375"/>
      <c r="BU52" s="372"/>
      <c r="BV52" s="372"/>
      <c r="BW52" s="372"/>
      <c r="BX52" s="373"/>
      <c r="BY52" s="374"/>
      <c r="BZ52" s="372"/>
      <c r="CA52" s="372"/>
      <c r="CB52" s="372"/>
      <c r="CC52" s="371"/>
      <c r="CD52" s="375"/>
      <c r="CE52" s="372"/>
      <c r="CF52" s="372"/>
      <c r="CG52" s="372"/>
      <c r="CH52" s="371"/>
      <c r="CI52" s="375"/>
      <c r="CJ52" s="372"/>
      <c r="CK52" s="372"/>
      <c r="CL52" s="372"/>
      <c r="CM52" s="373"/>
    </row>
    <row r="53" spans="1:91" ht="25.5" customHeight="1">
      <c r="A53" s="386">
        <v>4346</v>
      </c>
      <c r="B53" s="387" t="s">
        <v>11</v>
      </c>
      <c r="C53" s="387" t="s">
        <v>44</v>
      </c>
      <c r="D53" s="387" t="s">
        <v>76</v>
      </c>
      <c r="E53" s="372" t="s">
        <v>53</v>
      </c>
      <c r="F53" s="387"/>
      <c r="G53" s="372" t="s">
        <v>1260</v>
      </c>
      <c r="H53" s="371" t="s">
        <v>54</v>
      </c>
      <c r="I53" s="375"/>
      <c r="J53" s="372"/>
      <c r="K53" s="373"/>
      <c r="L53" s="388" t="s">
        <v>78</v>
      </c>
      <c r="M53" s="387" t="s">
        <v>77</v>
      </c>
      <c r="N53" s="387"/>
      <c r="O53" s="387" t="s">
        <v>77</v>
      </c>
      <c r="P53" s="389" t="s">
        <v>77</v>
      </c>
      <c r="Q53" s="388"/>
      <c r="R53" s="387"/>
      <c r="S53" s="387"/>
      <c r="T53" s="387"/>
      <c r="U53" s="390" t="s">
        <v>80</v>
      </c>
      <c r="V53" s="386"/>
      <c r="W53" s="372"/>
      <c r="X53" s="372"/>
      <c r="Y53" s="372"/>
      <c r="Z53" s="373"/>
      <c r="AA53" s="374"/>
      <c r="AB53" s="372"/>
      <c r="AC53" s="372"/>
      <c r="AD53" s="372"/>
      <c r="AE53" s="371"/>
      <c r="AF53" s="375"/>
      <c r="AG53" s="372"/>
      <c r="AH53" s="372"/>
      <c r="AI53" s="372"/>
      <c r="AJ53" s="373"/>
      <c r="AK53" s="374"/>
      <c r="AL53" s="372"/>
      <c r="AM53" s="372"/>
      <c r="AN53" s="372"/>
      <c r="AO53" s="371"/>
      <c r="AP53" s="375"/>
      <c r="AQ53" s="372"/>
      <c r="AR53" s="372"/>
      <c r="AS53" s="372"/>
      <c r="AT53" s="373"/>
      <c r="AU53" s="374"/>
      <c r="AV53" s="372"/>
      <c r="AW53" s="372"/>
      <c r="AX53" s="372"/>
      <c r="AY53" s="371"/>
      <c r="AZ53" s="375"/>
      <c r="BA53" s="372"/>
      <c r="BB53" s="372"/>
      <c r="BC53" s="372"/>
      <c r="BD53" s="373"/>
      <c r="BE53" s="374"/>
      <c r="BF53" s="372"/>
      <c r="BG53" s="372"/>
      <c r="BH53" s="372"/>
      <c r="BI53" s="371"/>
      <c r="BJ53" s="375"/>
      <c r="BK53" s="372"/>
      <c r="BL53" s="372"/>
      <c r="BM53" s="372"/>
      <c r="BN53" s="373"/>
      <c r="BO53" s="374"/>
      <c r="BP53" s="372"/>
      <c r="BQ53" s="372"/>
      <c r="BR53" s="372"/>
      <c r="BS53" s="371"/>
      <c r="BT53" s="375"/>
      <c r="BU53" s="372"/>
      <c r="BV53" s="372"/>
      <c r="BW53" s="372"/>
      <c r="BX53" s="373"/>
      <c r="BY53" s="374"/>
      <c r="BZ53" s="372"/>
      <c r="CA53" s="372"/>
      <c r="CB53" s="372"/>
      <c r="CC53" s="371"/>
      <c r="CD53" s="375"/>
      <c r="CE53" s="372"/>
      <c r="CF53" s="372"/>
      <c r="CG53" s="372"/>
      <c r="CH53" s="371"/>
      <c r="CI53" s="375"/>
      <c r="CJ53" s="372"/>
      <c r="CK53" s="372"/>
      <c r="CL53" s="372"/>
      <c r="CM53" s="373"/>
    </row>
    <row r="54" spans="1:91" ht="25.5" customHeight="1" thickBot="1">
      <c r="A54" s="411">
        <v>4347</v>
      </c>
      <c r="B54" s="412" t="s">
        <v>11</v>
      </c>
      <c r="C54" s="412" t="s">
        <v>44</v>
      </c>
      <c r="D54" s="412" t="s">
        <v>76</v>
      </c>
      <c r="E54" s="377" t="s">
        <v>53</v>
      </c>
      <c r="F54" s="412"/>
      <c r="G54" s="377" t="s">
        <v>1262</v>
      </c>
      <c r="H54" s="376" t="s">
        <v>54</v>
      </c>
      <c r="I54" s="380"/>
      <c r="J54" s="377"/>
      <c r="K54" s="378"/>
      <c r="L54" s="413" t="s">
        <v>78</v>
      </c>
      <c r="M54" s="412" t="s">
        <v>77</v>
      </c>
      <c r="N54" s="412"/>
      <c r="O54" s="412" t="s">
        <v>77</v>
      </c>
      <c r="P54" s="414" t="s">
        <v>77</v>
      </c>
      <c r="Q54" s="413"/>
      <c r="R54" s="412"/>
      <c r="S54" s="412"/>
      <c r="T54" s="412"/>
      <c r="U54" s="415" t="s">
        <v>80</v>
      </c>
      <c r="V54" s="411"/>
      <c r="W54" s="377"/>
      <c r="X54" s="377"/>
      <c r="Y54" s="377"/>
      <c r="Z54" s="378"/>
      <c r="AA54" s="379"/>
      <c r="AB54" s="377"/>
      <c r="AC54" s="377"/>
      <c r="AD54" s="377"/>
      <c r="AE54" s="376"/>
      <c r="AF54" s="380"/>
      <c r="AG54" s="377"/>
      <c r="AH54" s="377"/>
      <c r="AI54" s="377"/>
      <c r="AJ54" s="378"/>
      <c r="AK54" s="379"/>
      <c r="AL54" s="377"/>
      <c r="AM54" s="377"/>
      <c r="AN54" s="377"/>
      <c r="AO54" s="376"/>
      <c r="AP54" s="380"/>
      <c r="AQ54" s="377"/>
      <c r="AR54" s="377"/>
      <c r="AS54" s="377"/>
      <c r="AT54" s="378"/>
      <c r="AU54" s="379"/>
      <c r="AV54" s="377"/>
      <c r="AW54" s="377"/>
      <c r="AX54" s="377"/>
      <c r="AY54" s="376"/>
      <c r="AZ54" s="380"/>
      <c r="BA54" s="377"/>
      <c r="BB54" s="377"/>
      <c r="BC54" s="377"/>
      <c r="BD54" s="378"/>
      <c r="BE54" s="379"/>
      <c r="BF54" s="377"/>
      <c r="BG54" s="377"/>
      <c r="BH54" s="377"/>
      <c r="BI54" s="376"/>
      <c r="BJ54" s="380"/>
      <c r="BK54" s="377"/>
      <c r="BL54" s="377"/>
      <c r="BM54" s="377"/>
      <c r="BN54" s="378"/>
      <c r="BO54" s="379"/>
      <c r="BP54" s="377"/>
      <c r="BQ54" s="377"/>
      <c r="BR54" s="377"/>
      <c r="BS54" s="376"/>
      <c r="BT54" s="380"/>
      <c r="BU54" s="377"/>
      <c r="BV54" s="377"/>
      <c r="BW54" s="377"/>
      <c r="BX54" s="378"/>
      <c r="BY54" s="379"/>
      <c r="BZ54" s="377"/>
      <c r="CA54" s="377"/>
      <c r="CB54" s="377"/>
      <c r="CC54" s="376"/>
      <c r="CD54" s="380"/>
      <c r="CE54" s="377"/>
      <c r="CF54" s="377"/>
      <c r="CG54" s="377"/>
      <c r="CH54" s="376"/>
      <c r="CI54" s="380"/>
      <c r="CJ54" s="377"/>
      <c r="CK54" s="377"/>
      <c r="CL54" s="377"/>
      <c r="CM54" s="378"/>
    </row>
    <row r="55" spans="1:91" ht="25.5" customHeight="1">
      <c r="A55" s="416">
        <v>4348</v>
      </c>
      <c r="B55" s="417" t="s">
        <v>11</v>
      </c>
      <c r="C55" s="417" t="s">
        <v>44</v>
      </c>
      <c r="D55" s="417" t="s">
        <v>76</v>
      </c>
      <c r="E55" s="381" t="s">
        <v>53</v>
      </c>
      <c r="F55" s="417"/>
      <c r="G55" s="381" t="s">
        <v>1264</v>
      </c>
      <c r="H55" s="384" t="s">
        <v>54</v>
      </c>
      <c r="I55" s="385"/>
      <c r="J55" s="381"/>
      <c r="K55" s="382"/>
      <c r="L55" s="418" t="s">
        <v>78</v>
      </c>
      <c r="M55" s="417" t="s">
        <v>77</v>
      </c>
      <c r="N55" s="417"/>
      <c r="O55" s="417" t="s">
        <v>77</v>
      </c>
      <c r="P55" s="419" t="s">
        <v>77</v>
      </c>
      <c r="Q55" s="418"/>
      <c r="R55" s="417"/>
      <c r="S55" s="417"/>
      <c r="T55" s="417"/>
      <c r="U55" s="420" t="s">
        <v>80</v>
      </c>
      <c r="V55" s="416"/>
      <c r="W55" s="381"/>
      <c r="X55" s="381"/>
      <c r="Y55" s="381"/>
      <c r="Z55" s="382"/>
      <c r="AA55" s="383"/>
      <c r="AB55" s="381"/>
      <c r="AC55" s="381"/>
      <c r="AD55" s="381"/>
      <c r="AE55" s="384"/>
      <c r="AF55" s="385"/>
      <c r="AG55" s="381"/>
      <c r="AH55" s="381"/>
      <c r="AI55" s="381"/>
      <c r="AJ55" s="382"/>
      <c r="AK55" s="383"/>
      <c r="AL55" s="381"/>
      <c r="AM55" s="381"/>
      <c r="AN55" s="381"/>
      <c r="AO55" s="384"/>
      <c r="AP55" s="385"/>
      <c r="AQ55" s="381"/>
      <c r="AR55" s="381"/>
      <c r="AS55" s="381"/>
      <c r="AT55" s="382"/>
      <c r="AU55" s="383"/>
      <c r="AV55" s="381"/>
      <c r="AW55" s="381"/>
      <c r="AX55" s="381"/>
      <c r="AY55" s="384"/>
      <c r="AZ55" s="385"/>
      <c r="BA55" s="381"/>
      <c r="BB55" s="381"/>
      <c r="BC55" s="381"/>
      <c r="BD55" s="382"/>
      <c r="BE55" s="383"/>
      <c r="BF55" s="381"/>
      <c r="BG55" s="381"/>
      <c r="BH55" s="381"/>
      <c r="BI55" s="384"/>
      <c r="BJ55" s="385"/>
      <c r="BK55" s="381"/>
      <c r="BL55" s="381"/>
      <c r="BM55" s="381"/>
      <c r="BN55" s="382"/>
      <c r="BO55" s="383"/>
      <c r="BP55" s="381"/>
      <c r="BQ55" s="381"/>
      <c r="BR55" s="381"/>
      <c r="BS55" s="384"/>
      <c r="BT55" s="385"/>
      <c r="BU55" s="381"/>
      <c r="BV55" s="381"/>
      <c r="BW55" s="381"/>
      <c r="BX55" s="382"/>
      <c r="BY55" s="383"/>
      <c r="BZ55" s="381"/>
      <c r="CA55" s="381"/>
      <c r="CB55" s="381"/>
      <c r="CC55" s="384"/>
      <c r="CD55" s="385"/>
      <c r="CE55" s="381"/>
      <c r="CF55" s="381"/>
      <c r="CG55" s="381"/>
      <c r="CH55" s="384"/>
      <c r="CI55" s="385"/>
      <c r="CJ55" s="381"/>
      <c r="CK55" s="381"/>
      <c r="CL55" s="381"/>
      <c r="CM55" s="382"/>
    </row>
    <row r="56" spans="1:91" ht="25.5" customHeight="1">
      <c r="A56" s="386">
        <v>4349</v>
      </c>
      <c r="B56" s="387" t="s">
        <v>11</v>
      </c>
      <c r="C56" s="387" t="s">
        <v>44</v>
      </c>
      <c r="D56" s="387" t="s">
        <v>76</v>
      </c>
      <c r="E56" s="372" t="s">
        <v>53</v>
      </c>
      <c r="F56" s="387"/>
      <c r="G56" s="372" t="s">
        <v>1266</v>
      </c>
      <c r="H56" s="371" t="s">
        <v>54</v>
      </c>
      <c r="I56" s="375"/>
      <c r="J56" s="372"/>
      <c r="K56" s="373"/>
      <c r="L56" s="388" t="s">
        <v>78</v>
      </c>
      <c r="M56" s="387" t="s">
        <v>77</v>
      </c>
      <c r="N56" s="387"/>
      <c r="O56" s="387" t="s">
        <v>77</v>
      </c>
      <c r="P56" s="389" t="s">
        <v>77</v>
      </c>
      <c r="Q56" s="388"/>
      <c r="R56" s="387"/>
      <c r="S56" s="387"/>
      <c r="T56" s="387"/>
      <c r="U56" s="390" t="s">
        <v>80</v>
      </c>
      <c r="V56" s="386"/>
      <c r="W56" s="372"/>
      <c r="X56" s="372"/>
      <c r="Y56" s="372"/>
      <c r="Z56" s="373"/>
      <c r="AA56" s="374"/>
      <c r="AB56" s="372"/>
      <c r="AC56" s="372"/>
      <c r="AD56" s="372"/>
      <c r="AE56" s="371"/>
      <c r="AF56" s="375"/>
      <c r="AG56" s="372"/>
      <c r="AH56" s="372"/>
      <c r="AI56" s="372"/>
      <c r="AJ56" s="373"/>
      <c r="AK56" s="374"/>
      <c r="AL56" s="372"/>
      <c r="AM56" s="372"/>
      <c r="AN56" s="372"/>
      <c r="AO56" s="371"/>
      <c r="AP56" s="375"/>
      <c r="AQ56" s="372"/>
      <c r="AR56" s="372"/>
      <c r="AS56" s="372"/>
      <c r="AT56" s="373"/>
      <c r="AU56" s="374"/>
      <c r="AV56" s="372"/>
      <c r="AW56" s="372"/>
      <c r="AX56" s="372"/>
      <c r="AY56" s="371"/>
      <c r="AZ56" s="375"/>
      <c r="BA56" s="372"/>
      <c r="BB56" s="372"/>
      <c r="BC56" s="372"/>
      <c r="BD56" s="373"/>
      <c r="BE56" s="374"/>
      <c r="BF56" s="372"/>
      <c r="BG56" s="372"/>
      <c r="BH56" s="372"/>
      <c r="BI56" s="371"/>
      <c r="BJ56" s="375"/>
      <c r="BK56" s="372"/>
      <c r="BL56" s="372"/>
      <c r="BM56" s="372"/>
      <c r="BN56" s="373"/>
      <c r="BO56" s="374"/>
      <c r="BP56" s="372"/>
      <c r="BQ56" s="372"/>
      <c r="BR56" s="372"/>
      <c r="BS56" s="371"/>
      <c r="BT56" s="375"/>
      <c r="BU56" s="372"/>
      <c r="BV56" s="372"/>
      <c r="BW56" s="372"/>
      <c r="BX56" s="373"/>
      <c r="BY56" s="374"/>
      <c r="BZ56" s="372"/>
      <c r="CA56" s="372"/>
      <c r="CB56" s="372"/>
      <c r="CC56" s="371"/>
      <c r="CD56" s="375"/>
      <c r="CE56" s="372"/>
      <c r="CF56" s="372"/>
      <c r="CG56" s="372"/>
      <c r="CH56" s="371"/>
      <c r="CI56" s="375"/>
      <c r="CJ56" s="372"/>
      <c r="CK56" s="372"/>
      <c r="CL56" s="372"/>
      <c r="CM56" s="373"/>
    </row>
    <row r="57" spans="1:91" ht="25.5" customHeight="1">
      <c r="A57" s="386">
        <v>4350</v>
      </c>
      <c r="B57" s="387" t="s">
        <v>11</v>
      </c>
      <c r="C57" s="387" t="s">
        <v>44</v>
      </c>
      <c r="D57" s="387" t="s">
        <v>76</v>
      </c>
      <c r="E57" s="372" t="s">
        <v>53</v>
      </c>
      <c r="F57" s="387"/>
      <c r="G57" s="372" t="s">
        <v>1268</v>
      </c>
      <c r="H57" s="371" t="s">
        <v>54</v>
      </c>
      <c r="I57" s="375"/>
      <c r="J57" s="372"/>
      <c r="K57" s="373"/>
      <c r="L57" s="388" t="s">
        <v>78</v>
      </c>
      <c r="M57" s="387" t="s">
        <v>77</v>
      </c>
      <c r="N57" s="387"/>
      <c r="O57" s="387" t="s">
        <v>77</v>
      </c>
      <c r="P57" s="389" t="s">
        <v>77</v>
      </c>
      <c r="Q57" s="388"/>
      <c r="R57" s="387"/>
      <c r="S57" s="387"/>
      <c r="T57" s="387"/>
      <c r="U57" s="390" t="s">
        <v>80</v>
      </c>
      <c r="V57" s="386"/>
      <c r="W57" s="372"/>
      <c r="X57" s="372"/>
      <c r="Y57" s="372"/>
      <c r="Z57" s="373"/>
      <c r="AA57" s="374"/>
      <c r="AB57" s="372"/>
      <c r="AC57" s="372"/>
      <c r="AD57" s="372"/>
      <c r="AE57" s="371"/>
      <c r="AF57" s="375"/>
      <c r="AG57" s="372"/>
      <c r="AH57" s="372"/>
      <c r="AI57" s="372"/>
      <c r="AJ57" s="373"/>
      <c r="AK57" s="374"/>
      <c r="AL57" s="372"/>
      <c r="AM57" s="372"/>
      <c r="AN57" s="372"/>
      <c r="AO57" s="371"/>
      <c r="AP57" s="375"/>
      <c r="AQ57" s="372"/>
      <c r="AR57" s="372"/>
      <c r="AS57" s="372"/>
      <c r="AT57" s="373"/>
      <c r="AU57" s="374"/>
      <c r="AV57" s="372"/>
      <c r="AW57" s="372"/>
      <c r="AX57" s="372"/>
      <c r="AY57" s="371"/>
      <c r="AZ57" s="375"/>
      <c r="BA57" s="372"/>
      <c r="BB57" s="372"/>
      <c r="BC57" s="372"/>
      <c r="BD57" s="373"/>
      <c r="BE57" s="374"/>
      <c r="BF57" s="372"/>
      <c r="BG57" s="372"/>
      <c r="BH57" s="372"/>
      <c r="BI57" s="371"/>
      <c r="BJ57" s="375"/>
      <c r="BK57" s="372"/>
      <c r="BL57" s="372"/>
      <c r="BM57" s="372"/>
      <c r="BN57" s="373"/>
      <c r="BO57" s="374"/>
      <c r="BP57" s="372"/>
      <c r="BQ57" s="372"/>
      <c r="BR57" s="372"/>
      <c r="BS57" s="371"/>
      <c r="BT57" s="375"/>
      <c r="BU57" s="372"/>
      <c r="BV57" s="372"/>
      <c r="BW57" s="372"/>
      <c r="BX57" s="373"/>
      <c r="BY57" s="374"/>
      <c r="BZ57" s="372"/>
      <c r="CA57" s="372"/>
      <c r="CB57" s="372"/>
      <c r="CC57" s="371"/>
      <c r="CD57" s="375"/>
      <c r="CE57" s="372"/>
      <c r="CF57" s="372"/>
      <c r="CG57" s="372"/>
      <c r="CH57" s="371"/>
      <c r="CI57" s="375"/>
      <c r="CJ57" s="372"/>
      <c r="CK57" s="372"/>
      <c r="CL57" s="372"/>
      <c r="CM57" s="373"/>
    </row>
    <row r="58" spans="1:91" ht="25.5" customHeight="1">
      <c r="A58" s="386">
        <v>4351</v>
      </c>
      <c r="B58" s="387" t="s">
        <v>11</v>
      </c>
      <c r="C58" s="387" t="s">
        <v>44</v>
      </c>
      <c r="D58" s="387" t="s">
        <v>76</v>
      </c>
      <c r="E58" s="372" t="s">
        <v>53</v>
      </c>
      <c r="F58" s="387"/>
      <c r="G58" s="372" t="s">
        <v>1270</v>
      </c>
      <c r="H58" s="371" t="s">
        <v>54</v>
      </c>
      <c r="I58" s="375"/>
      <c r="J58" s="372"/>
      <c r="K58" s="373"/>
      <c r="L58" s="388" t="s">
        <v>78</v>
      </c>
      <c r="M58" s="387" t="s">
        <v>77</v>
      </c>
      <c r="N58" s="387"/>
      <c r="O58" s="387" t="s">
        <v>77</v>
      </c>
      <c r="P58" s="389" t="s">
        <v>77</v>
      </c>
      <c r="Q58" s="388"/>
      <c r="R58" s="387"/>
      <c r="S58" s="387"/>
      <c r="T58" s="387"/>
      <c r="U58" s="390" t="s">
        <v>80</v>
      </c>
      <c r="V58" s="386"/>
      <c r="W58" s="372"/>
      <c r="X58" s="372"/>
      <c r="Y58" s="372"/>
      <c r="Z58" s="373"/>
      <c r="AA58" s="374"/>
      <c r="AB58" s="372"/>
      <c r="AC58" s="372"/>
      <c r="AD58" s="372"/>
      <c r="AE58" s="371"/>
      <c r="AF58" s="375"/>
      <c r="AG58" s="372"/>
      <c r="AH58" s="372"/>
      <c r="AI58" s="372"/>
      <c r="AJ58" s="373"/>
      <c r="AK58" s="374"/>
      <c r="AL58" s="372"/>
      <c r="AM58" s="372"/>
      <c r="AN58" s="372"/>
      <c r="AO58" s="371"/>
      <c r="AP58" s="375"/>
      <c r="AQ58" s="372"/>
      <c r="AR58" s="372"/>
      <c r="AS58" s="372"/>
      <c r="AT58" s="373"/>
      <c r="AU58" s="374"/>
      <c r="AV58" s="372"/>
      <c r="AW58" s="372"/>
      <c r="AX58" s="372"/>
      <c r="AY58" s="371"/>
      <c r="AZ58" s="375"/>
      <c r="BA58" s="372"/>
      <c r="BB58" s="372"/>
      <c r="BC58" s="372"/>
      <c r="BD58" s="373"/>
      <c r="BE58" s="374"/>
      <c r="BF58" s="372"/>
      <c r="BG58" s="372"/>
      <c r="BH58" s="372"/>
      <c r="BI58" s="371"/>
      <c r="BJ58" s="375"/>
      <c r="BK58" s="372"/>
      <c r="BL58" s="372"/>
      <c r="BM58" s="372"/>
      <c r="BN58" s="373"/>
      <c r="BO58" s="374"/>
      <c r="BP58" s="372"/>
      <c r="BQ58" s="372"/>
      <c r="BR58" s="372"/>
      <c r="BS58" s="371"/>
      <c r="BT58" s="375"/>
      <c r="BU58" s="372"/>
      <c r="BV58" s="372"/>
      <c r="BW58" s="372"/>
      <c r="BX58" s="373"/>
      <c r="BY58" s="374"/>
      <c r="BZ58" s="372"/>
      <c r="CA58" s="372"/>
      <c r="CB58" s="372"/>
      <c r="CC58" s="371"/>
      <c r="CD58" s="375"/>
      <c r="CE58" s="372"/>
      <c r="CF58" s="372"/>
      <c r="CG58" s="372"/>
      <c r="CH58" s="371"/>
      <c r="CI58" s="375"/>
      <c r="CJ58" s="372"/>
      <c r="CK58" s="372"/>
      <c r="CL58" s="372"/>
      <c r="CM58" s="373"/>
    </row>
    <row r="59" spans="1:91" ht="25.5" customHeight="1" thickBot="1">
      <c r="A59" s="411">
        <v>4352</v>
      </c>
      <c r="B59" s="412" t="s">
        <v>11</v>
      </c>
      <c r="C59" s="412" t="s">
        <v>44</v>
      </c>
      <c r="D59" s="412" t="s">
        <v>76</v>
      </c>
      <c r="E59" s="377" t="s">
        <v>53</v>
      </c>
      <c r="F59" s="412"/>
      <c r="G59" s="377" t="s">
        <v>1272</v>
      </c>
      <c r="H59" s="376" t="s">
        <v>54</v>
      </c>
      <c r="I59" s="380"/>
      <c r="J59" s="377"/>
      <c r="K59" s="378"/>
      <c r="L59" s="413" t="s">
        <v>78</v>
      </c>
      <c r="M59" s="412" t="s">
        <v>77</v>
      </c>
      <c r="N59" s="412"/>
      <c r="O59" s="412" t="s">
        <v>77</v>
      </c>
      <c r="P59" s="414" t="s">
        <v>77</v>
      </c>
      <c r="Q59" s="413"/>
      <c r="R59" s="412"/>
      <c r="S59" s="412"/>
      <c r="T59" s="412"/>
      <c r="U59" s="415" t="s">
        <v>80</v>
      </c>
      <c r="V59" s="411"/>
      <c r="W59" s="377"/>
      <c r="X59" s="377"/>
      <c r="Y59" s="377"/>
      <c r="Z59" s="378"/>
      <c r="AA59" s="379"/>
      <c r="AB59" s="377"/>
      <c r="AC59" s="377"/>
      <c r="AD59" s="377"/>
      <c r="AE59" s="376"/>
      <c r="AF59" s="380"/>
      <c r="AG59" s="377"/>
      <c r="AH59" s="377"/>
      <c r="AI59" s="377"/>
      <c r="AJ59" s="378"/>
      <c r="AK59" s="379"/>
      <c r="AL59" s="377"/>
      <c r="AM59" s="377"/>
      <c r="AN59" s="377"/>
      <c r="AO59" s="376"/>
      <c r="AP59" s="380"/>
      <c r="AQ59" s="377"/>
      <c r="AR59" s="377"/>
      <c r="AS59" s="377"/>
      <c r="AT59" s="378"/>
      <c r="AU59" s="379"/>
      <c r="AV59" s="377"/>
      <c r="AW59" s="377"/>
      <c r="AX59" s="377"/>
      <c r="AY59" s="376"/>
      <c r="AZ59" s="380"/>
      <c r="BA59" s="377"/>
      <c r="BB59" s="377"/>
      <c r="BC59" s="377"/>
      <c r="BD59" s="378"/>
      <c r="BE59" s="379"/>
      <c r="BF59" s="377"/>
      <c r="BG59" s="377"/>
      <c r="BH59" s="377"/>
      <c r="BI59" s="376"/>
      <c r="BJ59" s="380"/>
      <c r="BK59" s="377"/>
      <c r="BL59" s="377"/>
      <c r="BM59" s="377"/>
      <c r="BN59" s="378"/>
      <c r="BO59" s="379"/>
      <c r="BP59" s="377"/>
      <c r="BQ59" s="377"/>
      <c r="BR59" s="377"/>
      <c r="BS59" s="376"/>
      <c r="BT59" s="380"/>
      <c r="BU59" s="377"/>
      <c r="BV59" s="377"/>
      <c r="BW59" s="377"/>
      <c r="BX59" s="378"/>
      <c r="BY59" s="379"/>
      <c r="BZ59" s="377"/>
      <c r="CA59" s="377"/>
      <c r="CB59" s="377"/>
      <c r="CC59" s="376"/>
      <c r="CD59" s="380"/>
      <c r="CE59" s="377"/>
      <c r="CF59" s="377"/>
      <c r="CG59" s="377"/>
      <c r="CH59" s="376"/>
      <c r="CI59" s="380"/>
      <c r="CJ59" s="377"/>
      <c r="CK59" s="377"/>
      <c r="CL59" s="377"/>
      <c r="CM59" s="378"/>
    </row>
    <row r="60" spans="1:91" ht="15" customHeight="1" thickBot="1">
      <c r="A60" s="48"/>
      <c r="B60" s="179"/>
      <c r="C60" s="180"/>
      <c r="D60" s="181"/>
      <c r="E60" s="17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50"/>
      <c r="CH60" s="50"/>
      <c r="CI60" s="50"/>
      <c r="CJ60" s="50"/>
      <c r="CK60" s="50"/>
      <c r="CL60" s="50"/>
      <c r="CM60" s="51"/>
    </row>
    <row r="61" spans="1:91" ht="25.5" customHeight="1" thickBot="1">
      <c r="A61" s="275" t="s">
        <v>31</v>
      </c>
      <c r="B61" s="276"/>
      <c r="C61" s="277"/>
      <c r="D61" s="192"/>
      <c r="E61" s="278" t="s">
        <v>32</v>
      </c>
      <c r="F61" s="276"/>
      <c r="G61" s="277"/>
      <c r="H61" s="193" t="s">
        <v>8</v>
      </c>
      <c r="I61" s="192" t="s">
        <v>9</v>
      </c>
      <c r="J61" s="192" t="s">
        <v>33</v>
      </c>
      <c r="K61" s="192" t="s">
        <v>10</v>
      </c>
      <c r="L61" s="291"/>
      <c r="M61" s="292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  <c r="AA61" s="292"/>
      <c r="AB61" s="292"/>
      <c r="AC61" s="292"/>
      <c r="AD61" s="292"/>
      <c r="AE61" s="292"/>
      <c r="AF61" s="292"/>
      <c r="AG61" s="292"/>
      <c r="AH61" s="292"/>
      <c r="AI61" s="292"/>
      <c r="AJ61" s="292"/>
      <c r="AK61" s="292"/>
      <c r="AL61" s="292"/>
      <c r="AM61" s="292"/>
      <c r="AN61" s="292"/>
      <c r="AO61" s="292"/>
      <c r="AP61" s="292"/>
      <c r="AQ61" s="292"/>
      <c r="AR61" s="292"/>
      <c r="AS61" s="292"/>
      <c r="AT61" s="292"/>
      <c r="AU61" s="292"/>
      <c r="AV61" s="292"/>
      <c r="AW61" s="292"/>
      <c r="AX61" s="292"/>
      <c r="AY61" s="292"/>
      <c r="AZ61" s="292"/>
      <c r="BA61" s="292"/>
      <c r="BB61" s="292"/>
      <c r="BC61" s="292"/>
      <c r="BD61" s="292"/>
      <c r="BE61" s="293"/>
      <c r="BF61" s="300"/>
      <c r="BG61" s="300"/>
      <c r="BH61" s="300"/>
      <c r="BI61" s="300"/>
      <c r="BJ61" s="300"/>
      <c r="BK61" s="300"/>
      <c r="BL61" s="300"/>
      <c r="BM61" s="300"/>
      <c r="BN61" s="300"/>
      <c r="BO61" s="300"/>
      <c r="BP61" s="300"/>
      <c r="BQ61" s="300"/>
      <c r="BR61" s="300"/>
      <c r="BS61" s="300"/>
      <c r="BT61" s="300"/>
      <c r="BU61" s="301"/>
      <c r="BV61" s="291"/>
      <c r="BW61" s="247"/>
      <c r="BX61" s="247"/>
      <c r="BY61" s="247"/>
      <c r="BZ61" s="247"/>
      <c r="CA61" s="247"/>
      <c r="CB61" s="247"/>
      <c r="CC61" s="247"/>
      <c r="CD61" s="247"/>
      <c r="CE61" s="247"/>
      <c r="CF61" s="247"/>
      <c r="CG61" s="247"/>
      <c r="CH61" s="247"/>
      <c r="CI61" s="247"/>
      <c r="CJ61" s="247"/>
      <c r="CK61" s="247"/>
      <c r="CL61" s="247"/>
      <c r="CM61" s="248"/>
    </row>
    <row r="62" spans="1:91" ht="25.5" customHeight="1">
      <c r="A62" s="288"/>
      <c r="B62" s="289"/>
      <c r="C62" s="289"/>
      <c r="D62" s="52"/>
      <c r="E62" s="290"/>
      <c r="F62" s="290"/>
      <c r="G62" s="290"/>
      <c r="H62" s="53"/>
      <c r="I62" s="53"/>
      <c r="J62" s="53"/>
      <c r="K62" s="54"/>
      <c r="L62" s="294"/>
      <c r="M62" s="295"/>
      <c r="N62" s="295"/>
      <c r="O62" s="295"/>
      <c r="P62" s="295"/>
      <c r="Q62" s="295"/>
      <c r="R62" s="295"/>
      <c r="S62" s="295"/>
      <c r="T62" s="295"/>
      <c r="U62" s="295"/>
      <c r="V62" s="295"/>
      <c r="W62" s="295"/>
      <c r="X62" s="295"/>
      <c r="Y62" s="295"/>
      <c r="Z62" s="295"/>
      <c r="AA62" s="295"/>
      <c r="AB62" s="295"/>
      <c r="AC62" s="295"/>
      <c r="AD62" s="295"/>
      <c r="AE62" s="295"/>
      <c r="AF62" s="295"/>
      <c r="AG62" s="295"/>
      <c r="AH62" s="295"/>
      <c r="AI62" s="295"/>
      <c r="AJ62" s="295"/>
      <c r="AK62" s="295"/>
      <c r="AL62" s="295"/>
      <c r="AM62" s="295"/>
      <c r="AN62" s="295"/>
      <c r="AO62" s="295"/>
      <c r="AP62" s="295"/>
      <c r="AQ62" s="295"/>
      <c r="AR62" s="295"/>
      <c r="AS62" s="295"/>
      <c r="AT62" s="295"/>
      <c r="AU62" s="295"/>
      <c r="AV62" s="295"/>
      <c r="AW62" s="295"/>
      <c r="AX62" s="295"/>
      <c r="AY62" s="295"/>
      <c r="AZ62" s="295"/>
      <c r="BA62" s="295"/>
      <c r="BB62" s="295"/>
      <c r="BC62" s="295"/>
      <c r="BD62" s="295"/>
      <c r="BE62" s="296"/>
      <c r="BF62" s="302"/>
      <c r="BG62" s="302"/>
      <c r="BH62" s="302"/>
      <c r="BI62" s="302"/>
      <c r="BJ62" s="302"/>
      <c r="BK62" s="302"/>
      <c r="BL62" s="302"/>
      <c r="BM62" s="302"/>
      <c r="BN62" s="302"/>
      <c r="BO62" s="302"/>
      <c r="BP62" s="302"/>
      <c r="BQ62" s="302"/>
      <c r="BR62" s="302"/>
      <c r="BS62" s="302"/>
      <c r="BT62" s="302"/>
      <c r="BU62" s="303"/>
      <c r="BV62" s="306"/>
      <c r="BW62" s="249"/>
      <c r="BX62" s="249"/>
      <c r="BY62" s="249"/>
      <c r="BZ62" s="249"/>
      <c r="CA62" s="249"/>
      <c r="CB62" s="249"/>
      <c r="CC62" s="249"/>
      <c r="CD62" s="249"/>
      <c r="CE62" s="249"/>
      <c r="CF62" s="249"/>
      <c r="CG62" s="249"/>
      <c r="CH62" s="249"/>
      <c r="CI62" s="249"/>
      <c r="CJ62" s="249"/>
      <c r="CK62" s="249"/>
      <c r="CL62" s="249"/>
      <c r="CM62" s="250"/>
    </row>
    <row r="63" spans="1:91" ht="25.5" customHeight="1" thickBot="1">
      <c r="A63" s="288"/>
      <c r="B63" s="289"/>
      <c r="C63" s="289"/>
      <c r="D63" s="52"/>
      <c r="E63" s="290"/>
      <c r="F63" s="290"/>
      <c r="G63" s="290"/>
      <c r="H63" s="53"/>
      <c r="I63" s="53"/>
      <c r="J63" s="53"/>
      <c r="K63" s="54"/>
      <c r="L63" s="294"/>
      <c r="M63" s="295"/>
      <c r="N63" s="295"/>
      <c r="O63" s="295"/>
      <c r="P63" s="295"/>
      <c r="Q63" s="295"/>
      <c r="R63" s="295"/>
      <c r="S63" s="295"/>
      <c r="T63" s="295"/>
      <c r="U63" s="295"/>
      <c r="V63" s="295"/>
      <c r="W63" s="295"/>
      <c r="X63" s="295"/>
      <c r="Y63" s="295"/>
      <c r="Z63" s="295"/>
      <c r="AA63" s="295"/>
      <c r="AB63" s="295"/>
      <c r="AC63" s="295"/>
      <c r="AD63" s="295"/>
      <c r="AE63" s="295"/>
      <c r="AF63" s="295"/>
      <c r="AG63" s="295"/>
      <c r="AH63" s="295"/>
      <c r="AI63" s="295"/>
      <c r="AJ63" s="295"/>
      <c r="AK63" s="295"/>
      <c r="AL63" s="295"/>
      <c r="AM63" s="295"/>
      <c r="AN63" s="295"/>
      <c r="AO63" s="295"/>
      <c r="AP63" s="295"/>
      <c r="AQ63" s="295"/>
      <c r="AR63" s="295"/>
      <c r="AS63" s="295"/>
      <c r="AT63" s="295"/>
      <c r="AU63" s="295"/>
      <c r="AV63" s="295"/>
      <c r="AW63" s="295"/>
      <c r="AX63" s="295"/>
      <c r="AY63" s="295"/>
      <c r="AZ63" s="295"/>
      <c r="BA63" s="295"/>
      <c r="BB63" s="295"/>
      <c r="BC63" s="295"/>
      <c r="BD63" s="295"/>
      <c r="BE63" s="296"/>
      <c r="BF63" s="304"/>
      <c r="BG63" s="304"/>
      <c r="BH63" s="304"/>
      <c r="BI63" s="304"/>
      <c r="BJ63" s="304"/>
      <c r="BK63" s="304"/>
      <c r="BL63" s="304"/>
      <c r="BM63" s="304"/>
      <c r="BN63" s="304"/>
      <c r="BO63" s="304"/>
      <c r="BP63" s="304"/>
      <c r="BQ63" s="304"/>
      <c r="BR63" s="304"/>
      <c r="BS63" s="304"/>
      <c r="BT63" s="304"/>
      <c r="BU63" s="305"/>
      <c r="BV63" s="263"/>
      <c r="BW63" s="251"/>
      <c r="BX63" s="251"/>
      <c r="BY63" s="251"/>
      <c r="BZ63" s="251"/>
      <c r="CA63" s="251"/>
      <c r="CB63" s="251"/>
      <c r="CC63" s="251"/>
      <c r="CD63" s="251"/>
      <c r="CE63" s="251"/>
      <c r="CF63" s="251"/>
      <c r="CG63" s="251"/>
      <c r="CH63" s="251"/>
      <c r="CI63" s="251"/>
      <c r="CJ63" s="251"/>
      <c r="CK63" s="251"/>
      <c r="CL63" s="251"/>
      <c r="CM63" s="252"/>
    </row>
    <row r="64" spans="1:91" ht="27" customHeight="1">
      <c r="A64" s="288"/>
      <c r="B64" s="289"/>
      <c r="C64" s="289"/>
      <c r="D64" s="52"/>
      <c r="E64" s="290"/>
      <c r="F64" s="290"/>
      <c r="G64" s="290"/>
      <c r="H64" s="53"/>
      <c r="I64" s="53"/>
      <c r="J64" s="53"/>
      <c r="K64" s="54"/>
      <c r="L64" s="294"/>
      <c r="M64" s="295"/>
      <c r="N64" s="295"/>
      <c r="O64" s="295"/>
      <c r="P64" s="295"/>
      <c r="Q64" s="295"/>
      <c r="R64" s="295"/>
      <c r="S64" s="295"/>
      <c r="T64" s="295"/>
      <c r="U64" s="295"/>
      <c r="V64" s="295"/>
      <c r="W64" s="295"/>
      <c r="X64" s="295"/>
      <c r="Y64" s="295"/>
      <c r="Z64" s="295"/>
      <c r="AA64" s="295"/>
      <c r="AB64" s="295"/>
      <c r="AC64" s="295"/>
      <c r="AD64" s="295"/>
      <c r="AE64" s="295"/>
      <c r="AF64" s="295"/>
      <c r="AG64" s="295"/>
      <c r="AH64" s="295"/>
      <c r="AI64" s="295"/>
      <c r="AJ64" s="295"/>
      <c r="AK64" s="295"/>
      <c r="AL64" s="295"/>
      <c r="AM64" s="295"/>
      <c r="AN64" s="295"/>
      <c r="AO64" s="295"/>
      <c r="AP64" s="295"/>
      <c r="AQ64" s="295"/>
      <c r="AR64" s="295"/>
      <c r="AS64" s="295"/>
      <c r="AT64" s="295"/>
      <c r="AU64" s="295"/>
      <c r="AV64" s="295"/>
      <c r="AW64" s="295"/>
      <c r="AX64" s="295"/>
      <c r="AY64" s="295"/>
      <c r="AZ64" s="295"/>
      <c r="BA64" s="295"/>
      <c r="BB64" s="295"/>
      <c r="BC64" s="295"/>
      <c r="BD64" s="295"/>
      <c r="BE64" s="296"/>
      <c r="BF64" s="247" t="s">
        <v>89</v>
      </c>
      <c r="BG64" s="247"/>
      <c r="BH64" s="247"/>
      <c r="BI64" s="247"/>
      <c r="BJ64" s="247"/>
      <c r="BK64" s="247"/>
      <c r="BL64" s="247"/>
      <c r="BM64" s="247"/>
      <c r="BN64" s="247"/>
      <c r="BO64" s="247"/>
      <c r="BP64" s="247"/>
      <c r="BQ64" s="247"/>
      <c r="BR64" s="247"/>
      <c r="BS64" s="247"/>
      <c r="BT64" s="247"/>
      <c r="BU64" s="248"/>
      <c r="BV64" s="279" t="s">
        <v>90</v>
      </c>
      <c r="BW64" s="280"/>
      <c r="BX64" s="280"/>
      <c r="BY64" s="280"/>
      <c r="BZ64" s="280"/>
      <c r="CA64" s="280"/>
      <c r="CB64" s="280"/>
      <c r="CC64" s="280"/>
      <c r="CD64" s="280"/>
      <c r="CE64" s="280"/>
      <c r="CF64" s="280"/>
      <c r="CG64" s="280"/>
      <c r="CH64" s="280"/>
      <c r="CI64" s="280"/>
      <c r="CJ64" s="280"/>
      <c r="CK64" s="280"/>
      <c r="CL64" s="280"/>
      <c r="CM64" s="281"/>
    </row>
    <row r="65" spans="1:91" ht="25.5" customHeight="1">
      <c r="A65" s="288"/>
      <c r="B65" s="289"/>
      <c r="C65" s="289"/>
      <c r="D65" s="52"/>
      <c r="E65" s="290"/>
      <c r="F65" s="290"/>
      <c r="G65" s="290"/>
      <c r="H65" s="53"/>
      <c r="I65" s="53"/>
      <c r="J65" s="53"/>
      <c r="K65" s="54"/>
      <c r="L65" s="294"/>
      <c r="M65" s="295"/>
      <c r="N65" s="295"/>
      <c r="O65" s="295"/>
      <c r="P65" s="295"/>
      <c r="Q65" s="295"/>
      <c r="R65" s="295"/>
      <c r="S65" s="295"/>
      <c r="T65" s="295"/>
      <c r="U65" s="295"/>
      <c r="V65" s="295"/>
      <c r="W65" s="295"/>
      <c r="X65" s="295"/>
      <c r="Y65" s="295"/>
      <c r="Z65" s="295"/>
      <c r="AA65" s="295"/>
      <c r="AB65" s="295"/>
      <c r="AC65" s="295"/>
      <c r="AD65" s="295"/>
      <c r="AE65" s="295"/>
      <c r="AF65" s="295"/>
      <c r="AG65" s="295"/>
      <c r="AH65" s="295"/>
      <c r="AI65" s="295"/>
      <c r="AJ65" s="295"/>
      <c r="AK65" s="295"/>
      <c r="AL65" s="295"/>
      <c r="AM65" s="295"/>
      <c r="AN65" s="295"/>
      <c r="AO65" s="295"/>
      <c r="AP65" s="295"/>
      <c r="AQ65" s="295"/>
      <c r="AR65" s="295"/>
      <c r="AS65" s="295"/>
      <c r="AT65" s="295"/>
      <c r="AU65" s="295"/>
      <c r="AV65" s="295"/>
      <c r="AW65" s="295"/>
      <c r="AX65" s="295"/>
      <c r="AY65" s="295"/>
      <c r="AZ65" s="295"/>
      <c r="BA65" s="295"/>
      <c r="BB65" s="295"/>
      <c r="BC65" s="295"/>
      <c r="BD65" s="295"/>
      <c r="BE65" s="296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50"/>
      <c r="BV65" s="282"/>
      <c r="BW65" s="283"/>
      <c r="BX65" s="283"/>
      <c r="BY65" s="283"/>
      <c r="BZ65" s="283"/>
      <c r="CA65" s="283"/>
      <c r="CB65" s="283"/>
      <c r="CC65" s="283"/>
      <c r="CD65" s="283"/>
      <c r="CE65" s="283"/>
      <c r="CF65" s="283"/>
      <c r="CG65" s="283"/>
      <c r="CH65" s="283"/>
      <c r="CI65" s="283"/>
      <c r="CJ65" s="283"/>
      <c r="CK65" s="283"/>
      <c r="CL65" s="283"/>
      <c r="CM65" s="284"/>
    </row>
    <row r="66" spans="1:91" ht="25.5" customHeight="1" thickBot="1">
      <c r="A66" s="288"/>
      <c r="B66" s="289"/>
      <c r="C66" s="289"/>
      <c r="D66" s="52"/>
      <c r="E66" s="290"/>
      <c r="F66" s="290"/>
      <c r="G66" s="290"/>
      <c r="H66" s="53"/>
      <c r="I66" s="53"/>
      <c r="J66" s="53"/>
      <c r="K66" s="54"/>
      <c r="L66" s="294"/>
      <c r="M66" s="295"/>
      <c r="N66" s="295"/>
      <c r="O66" s="295"/>
      <c r="P66" s="295"/>
      <c r="Q66" s="295"/>
      <c r="R66" s="295"/>
      <c r="S66" s="295"/>
      <c r="T66" s="295"/>
      <c r="U66" s="295"/>
      <c r="V66" s="295"/>
      <c r="W66" s="295"/>
      <c r="X66" s="295"/>
      <c r="Y66" s="295"/>
      <c r="Z66" s="295"/>
      <c r="AA66" s="295"/>
      <c r="AB66" s="295"/>
      <c r="AC66" s="295"/>
      <c r="AD66" s="295"/>
      <c r="AE66" s="295"/>
      <c r="AF66" s="295"/>
      <c r="AG66" s="295"/>
      <c r="AH66" s="295"/>
      <c r="AI66" s="295"/>
      <c r="AJ66" s="295"/>
      <c r="AK66" s="295"/>
      <c r="AL66" s="295"/>
      <c r="AM66" s="295"/>
      <c r="AN66" s="295"/>
      <c r="AO66" s="295"/>
      <c r="AP66" s="295"/>
      <c r="AQ66" s="295"/>
      <c r="AR66" s="295"/>
      <c r="AS66" s="295"/>
      <c r="AT66" s="295"/>
      <c r="AU66" s="295"/>
      <c r="AV66" s="295"/>
      <c r="AW66" s="295"/>
      <c r="AX66" s="295"/>
      <c r="AY66" s="295"/>
      <c r="AZ66" s="295"/>
      <c r="BA66" s="295"/>
      <c r="BB66" s="295"/>
      <c r="BC66" s="295"/>
      <c r="BD66" s="295"/>
      <c r="BE66" s="296"/>
      <c r="BF66" s="251"/>
      <c r="BG66" s="251"/>
      <c r="BH66" s="251"/>
      <c r="BI66" s="251"/>
      <c r="BJ66" s="251"/>
      <c r="BK66" s="251"/>
      <c r="BL66" s="251"/>
      <c r="BM66" s="251"/>
      <c r="BN66" s="251"/>
      <c r="BO66" s="251"/>
      <c r="BP66" s="251"/>
      <c r="BQ66" s="251"/>
      <c r="BR66" s="251"/>
      <c r="BS66" s="251"/>
      <c r="BT66" s="251"/>
      <c r="BU66" s="252"/>
      <c r="BV66" s="285"/>
      <c r="BW66" s="286"/>
      <c r="BX66" s="286"/>
      <c r="BY66" s="286"/>
      <c r="BZ66" s="286"/>
      <c r="CA66" s="286"/>
      <c r="CB66" s="286"/>
      <c r="CC66" s="286"/>
      <c r="CD66" s="286"/>
      <c r="CE66" s="286"/>
      <c r="CF66" s="286"/>
      <c r="CG66" s="286"/>
      <c r="CH66" s="286"/>
      <c r="CI66" s="286"/>
      <c r="CJ66" s="286"/>
      <c r="CK66" s="286"/>
      <c r="CL66" s="286"/>
      <c r="CM66" s="287"/>
    </row>
    <row r="67" spans="1:91" ht="25.5" customHeight="1">
      <c r="A67" s="255" t="e">
        <f>IF(#REF!&lt;&gt;"",#REF!,"")</f>
        <v>#REF!</v>
      </c>
      <c r="B67" s="256"/>
      <c r="C67" s="256"/>
      <c r="D67" s="185"/>
      <c r="E67" s="257" t="e">
        <f>IF(#REF!&lt;&gt;"",#REF!,"")</f>
        <v>#REF!</v>
      </c>
      <c r="F67" s="257"/>
      <c r="G67" s="257"/>
      <c r="H67" s="186" t="e">
        <f>IF(#REF!&lt;&gt;"",#REF!,"")</f>
        <v>#REF!</v>
      </c>
      <c r="I67" s="186" t="e">
        <f>IF(#REF!&lt;&gt;"",#REF!,"")</f>
        <v>#REF!</v>
      </c>
      <c r="J67" s="186" t="e">
        <f>IF(#REF!&lt;&gt;"",#REF!,"")</f>
        <v>#REF!</v>
      </c>
      <c r="K67" s="187" t="e">
        <f>IF(#REF!&lt;&gt;"",#REF!,"")</f>
        <v>#REF!</v>
      </c>
      <c r="L67" s="294"/>
      <c r="M67" s="295"/>
      <c r="N67" s="295"/>
      <c r="O67" s="295"/>
      <c r="P67" s="295"/>
      <c r="Q67" s="295"/>
      <c r="R67" s="295"/>
      <c r="S67" s="295"/>
      <c r="T67" s="295"/>
      <c r="U67" s="295"/>
      <c r="V67" s="295"/>
      <c r="W67" s="295"/>
      <c r="X67" s="295"/>
      <c r="Y67" s="295"/>
      <c r="Z67" s="295"/>
      <c r="AA67" s="295"/>
      <c r="AB67" s="295"/>
      <c r="AC67" s="295"/>
      <c r="AD67" s="295"/>
      <c r="AE67" s="295"/>
      <c r="AF67" s="295"/>
      <c r="AG67" s="295"/>
      <c r="AH67" s="295"/>
      <c r="AI67" s="295"/>
      <c r="AJ67" s="295"/>
      <c r="AK67" s="295"/>
      <c r="AL67" s="295"/>
      <c r="AM67" s="295"/>
      <c r="AN67" s="295"/>
      <c r="AO67" s="295"/>
      <c r="AP67" s="295"/>
      <c r="AQ67" s="295"/>
      <c r="AR67" s="295"/>
      <c r="AS67" s="295"/>
      <c r="AT67" s="295"/>
      <c r="AU67" s="295"/>
      <c r="AV67" s="295"/>
      <c r="AW67" s="295"/>
      <c r="AX67" s="295"/>
      <c r="AY67" s="295"/>
      <c r="AZ67" s="295"/>
      <c r="BA67" s="295"/>
      <c r="BB67" s="295"/>
      <c r="BC67" s="295"/>
      <c r="BD67" s="295"/>
      <c r="BE67" s="296"/>
      <c r="BF67" s="272" t="s">
        <v>34</v>
      </c>
      <c r="BG67" s="272"/>
      <c r="BH67" s="272"/>
      <c r="BI67" s="272"/>
      <c r="BJ67" s="272"/>
      <c r="BK67" s="272"/>
      <c r="BL67" s="272"/>
      <c r="BM67" s="272"/>
      <c r="BN67" s="272"/>
      <c r="BO67" s="272"/>
      <c r="BP67" s="272"/>
      <c r="BQ67" s="272"/>
      <c r="BR67" s="272"/>
      <c r="BS67" s="272"/>
      <c r="BT67" s="272"/>
      <c r="BU67" s="254"/>
      <c r="BV67" s="273" t="s">
        <v>35</v>
      </c>
      <c r="BW67" s="272"/>
      <c r="BX67" s="274"/>
      <c r="BY67" s="253" t="s">
        <v>36</v>
      </c>
      <c r="BZ67" s="272"/>
      <c r="CA67" s="272"/>
      <c r="CB67" s="272"/>
      <c r="CC67" s="272"/>
      <c r="CD67" s="272"/>
      <c r="CE67" s="272"/>
      <c r="CF67" s="272"/>
      <c r="CG67" s="272"/>
      <c r="CH67" s="272"/>
      <c r="CI67" s="272"/>
      <c r="CJ67" s="272"/>
      <c r="CK67" s="274"/>
      <c r="CL67" s="253" t="s">
        <v>37</v>
      </c>
      <c r="CM67" s="254"/>
    </row>
    <row r="68" spans="1:91" ht="25.5" customHeight="1">
      <c r="A68" s="255" t="e">
        <f>IF(#REF!&lt;&gt;"",#REF!,"")</f>
        <v>#REF!</v>
      </c>
      <c r="B68" s="256"/>
      <c r="C68" s="256"/>
      <c r="D68" s="185"/>
      <c r="E68" s="257" t="e">
        <f>IF(#REF!&lt;&gt;"",#REF!,"")</f>
        <v>#REF!</v>
      </c>
      <c r="F68" s="257"/>
      <c r="G68" s="257"/>
      <c r="H68" s="186" t="e">
        <f>IF(#REF!&lt;&gt;"",#REF!,"")</f>
        <v>#REF!</v>
      </c>
      <c r="I68" s="186" t="e">
        <f>IF(#REF!&lt;&gt;"",#REF!,"")</f>
        <v>#REF!</v>
      </c>
      <c r="J68" s="186" t="e">
        <f>IF(#REF!&lt;&gt;"",#REF!,"")</f>
        <v>#REF!</v>
      </c>
      <c r="K68" s="187" t="e">
        <f>IF(#REF!&lt;&gt;"",#REF!,"")</f>
        <v>#REF!</v>
      </c>
      <c r="L68" s="294"/>
      <c r="M68" s="295"/>
      <c r="N68" s="295"/>
      <c r="O68" s="295"/>
      <c r="P68" s="295"/>
      <c r="Q68" s="295"/>
      <c r="R68" s="295"/>
      <c r="S68" s="295"/>
      <c r="T68" s="295"/>
      <c r="U68" s="295"/>
      <c r="V68" s="295"/>
      <c r="W68" s="295"/>
      <c r="X68" s="295"/>
      <c r="Y68" s="295"/>
      <c r="Z68" s="295"/>
      <c r="AA68" s="295"/>
      <c r="AB68" s="295"/>
      <c r="AC68" s="295"/>
      <c r="AD68" s="295"/>
      <c r="AE68" s="295"/>
      <c r="AF68" s="295"/>
      <c r="AG68" s="295"/>
      <c r="AH68" s="295"/>
      <c r="AI68" s="295"/>
      <c r="AJ68" s="295"/>
      <c r="AK68" s="295"/>
      <c r="AL68" s="295"/>
      <c r="AM68" s="295"/>
      <c r="AN68" s="295"/>
      <c r="AO68" s="295"/>
      <c r="AP68" s="295"/>
      <c r="AQ68" s="295"/>
      <c r="AR68" s="295"/>
      <c r="AS68" s="295"/>
      <c r="AT68" s="295"/>
      <c r="AU68" s="295"/>
      <c r="AV68" s="295"/>
      <c r="AW68" s="295"/>
      <c r="AX68" s="295"/>
      <c r="AY68" s="295"/>
      <c r="AZ68" s="295"/>
      <c r="BA68" s="295"/>
      <c r="BB68" s="295"/>
      <c r="BC68" s="295"/>
      <c r="BD68" s="295"/>
      <c r="BE68" s="296"/>
      <c r="BF68" s="258" t="s">
        <v>5</v>
      </c>
      <c r="BG68" s="259"/>
      <c r="BH68" s="259"/>
      <c r="BI68" s="259"/>
      <c r="BJ68" s="259"/>
      <c r="BK68" s="259"/>
      <c r="BL68" s="259"/>
      <c r="BM68" s="259"/>
      <c r="BN68" s="259"/>
      <c r="BO68" s="259"/>
      <c r="BP68" s="259"/>
      <c r="BQ68" s="259"/>
      <c r="BR68" s="259"/>
      <c r="BS68" s="259"/>
      <c r="BT68" s="259"/>
      <c r="BU68" s="260"/>
      <c r="BV68" s="261" t="s">
        <v>12</v>
      </c>
      <c r="BW68" s="259"/>
      <c r="BX68" s="262"/>
      <c r="BY68" s="265" t="s">
        <v>1701</v>
      </c>
      <c r="BZ68" s="266"/>
      <c r="CA68" s="266"/>
      <c r="CB68" s="266"/>
      <c r="CC68" s="266"/>
      <c r="CD68" s="266"/>
      <c r="CE68" s="266"/>
      <c r="CF68" s="266"/>
      <c r="CG68" s="266"/>
      <c r="CH68" s="266"/>
      <c r="CI68" s="266"/>
      <c r="CJ68" s="266"/>
      <c r="CK68" s="267"/>
      <c r="CL68" s="227" t="s">
        <v>11</v>
      </c>
      <c r="CM68" s="260"/>
    </row>
    <row r="69" spans="1:91" ht="25.5" customHeight="1" thickBot="1">
      <c r="A69" s="255" t="e">
        <f>IF(#REF!&lt;&gt;"",#REF!,"")</f>
        <v>#REF!</v>
      </c>
      <c r="B69" s="256"/>
      <c r="C69" s="256"/>
      <c r="D69" s="185"/>
      <c r="E69" s="257" t="e">
        <f>IF(#REF!&lt;&gt;"",#REF!,"")</f>
        <v>#REF!</v>
      </c>
      <c r="F69" s="257"/>
      <c r="G69" s="257"/>
      <c r="H69" s="186" t="e">
        <f>IF(#REF!&lt;&gt;"",#REF!,"")</f>
        <v>#REF!</v>
      </c>
      <c r="I69" s="186" t="e">
        <f>IF(#REF!&lt;&gt;"",#REF!,"")</f>
        <v>#REF!</v>
      </c>
      <c r="J69" s="186" t="e">
        <f>IF(#REF!&lt;&gt;"",#REF!,"")</f>
        <v>#REF!</v>
      </c>
      <c r="K69" s="187" t="e">
        <f>IF(#REF!&lt;&gt;"",#REF!,"")</f>
        <v>#REF!</v>
      </c>
      <c r="L69" s="297"/>
      <c r="M69" s="298"/>
      <c r="N69" s="298"/>
      <c r="O69" s="298"/>
      <c r="P69" s="298"/>
      <c r="Q69" s="298"/>
      <c r="R69" s="298"/>
      <c r="S69" s="298"/>
      <c r="T69" s="298"/>
      <c r="U69" s="298"/>
      <c r="V69" s="298"/>
      <c r="W69" s="298"/>
      <c r="X69" s="298"/>
      <c r="Y69" s="298"/>
      <c r="Z69" s="298"/>
      <c r="AA69" s="298"/>
      <c r="AB69" s="298"/>
      <c r="AC69" s="298"/>
      <c r="AD69" s="298"/>
      <c r="AE69" s="298"/>
      <c r="AF69" s="298"/>
      <c r="AG69" s="298"/>
      <c r="AH69" s="298"/>
      <c r="AI69" s="298"/>
      <c r="AJ69" s="298"/>
      <c r="AK69" s="298"/>
      <c r="AL69" s="298"/>
      <c r="AM69" s="298"/>
      <c r="AN69" s="298"/>
      <c r="AO69" s="298"/>
      <c r="AP69" s="298"/>
      <c r="AQ69" s="298"/>
      <c r="AR69" s="298"/>
      <c r="AS69" s="298"/>
      <c r="AT69" s="298"/>
      <c r="AU69" s="298"/>
      <c r="AV69" s="298"/>
      <c r="AW69" s="298"/>
      <c r="AX69" s="298"/>
      <c r="AY69" s="298"/>
      <c r="AZ69" s="298"/>
      <c r="BA69" s="298"/>
      <c r="BB69" s="298"/>
      <c r="BC69" s="298"/>
      <c r="BD69" s="298"/>
      <c r="BE69" s="299"/>
      <c r="BF69" s="251"/>
      <c r="BG69" s="251"/>
      <c r="BH69" s="251"/>
      <c r="BI69" s="251"/>
      <c r="BJ69" s="251"/>
      <c r="BK69" s="251"/>
      <c r="BL69" s="251"/>
      <c r="BM69" s="251"/>
      <c r="BN69" s="251"/>
      <c r="BO69" s="251"/>
      <c r="BP69" s="251"/>
      <c r="BQ69" s="251"/>
      <c r="BR69" s="251"/>
      <c r="BS69" s="251"/>
      <c r="BT69" s="251"/>
      <c r="BU69" s="252"/>
      <c r="BV69" s="263"/>
      <c r="BW69" s="251"/>
      <c r="BX69" s="264"/>
      <c r="BY69" s="268"/>
      <c r="BZ69" s="269"/>
      <c r="CA69" s="269"/>
      <c r="CB69" s="269"/>
      <c r="CC69" s="269"/>
      <c r="CD69" s="269"/>
      <c r="CE69" s="269"/>
      <c r="CF69" s="269"/>
      <c r="CG69" s="269"/>
      <c r="CH69" s="269"/>
      <c r="CI69" s="269"/>
      <c r="CJ69" s="269"/>
      <c r="CK69" s="270"/>
      <c r="CL69" s="271"/>
      <c r="CM69" s="252"/>
    </row>
    <row r="70" spans="1:91" ht="12" customHeight="1">
      <c r="A70" s="55"/>
      <c r="B70" s="56"/>
      <c r="C70" s="56"/>
      <c r="D70" s="56"/>
      <c r="E70" s="57"/>
      <c r="F70" s="58"/>
      <c r="G70" s="58"/>
      <c r="H70" s="58"/>
      <c r="I70" s="59"/>
      <c r="BL70" s="17"/>
      <c r="BM70" s="17"/>
      <c r="BN70" s="17"/>
      <c r="BO70" s="17"/>
      <c r="BP70" s="17"/>
      <c r="BQ70" s="17"/>
      <c r="BR70" s="17"/>
      <c r="BS70" s="17"/>
      <c r="BT70" s="61"/>
      <c r="CD70" s="57"/>
      <c r="CE70" s="57"/>
      <c r="CF70" s="57"/>
      <c r="CG70" s="57"/>
      <c r="CH70" s="57"/>
      <c r="CI70" s="57"/>
      <c r="CJ70" s="57"/>
      <c r="CK70" s="57"/>
      <c r="CL70" s="57"/>
      <c r="CM70" s="57"/>
    </row>
  </sheetData>
  <mergeCells count="45"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BV64:CM66"/>
    <mergeCell ref="A65:C65"/>
    <mergeCell ref="E65:G65"/>
    <mergeCell ref="A66:C66"/>
    <mergeCell ref="E66:G66"/>
    <mergeCell ref="A67:C67"/>
    <mergeCell ref="E67:G67"/>
    <mergeCell ref="BF67:BU67"/>
    <mergeCell ref="BV67:BX67"/>
    <mergeCell ref="BY67:CK67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BF64:BU66"/>
    <mergeCell ref="G7:G9"/>
    <mergeCell ref="H7:H9"/>
    <mergeCell ref="I7:K7"/>
    <mergeCell ref="J8:K8"/>
    <mergeCell ref="A61:C61"/>
    <mergeCell ref="E61:G61"/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29" orientation="landscape" r:id="rId1"/>
  <headerFooter alignWithMargins="0">
    <oddFooter xml:space="preserve">&amp;L&amp;Z&amp;F&amp;C&amp;D&amp;RConcise DesignShutdown Key 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DQ70"/>
  <sheetViews>
    <sheetView showGridLines="0" view="pageBreakPreview" topLeftCell="C1" zoomScale="50" zoomScaleNormal="50" zoomScaleSheetLayoutView="50" zoomScalePageLayoutView="50" workbookViewId="0">
      <selection activeCell="I1" sqref="I1:K9"/>
    </sheetView>
  </sheetViews>
  <sheetFormatPr defaultColWidth="12.7109375" defaultRowHeight="12" customHeight="1"/>
  <cols>
    <col min="1" max="1" width="8.7109375" style="21" hidden="1" customWidth="1"/>
    <col min="2" max="2" width="7.42578125" style="21" hidden="1" customWidth="1"/>
    <col min="3" max="3" width="19" style="21" customWidth="1"/>
    <col min="4" max="4" width="25.42578125" style="21" hidden="1" customWidth="1"/>
    <col min="5" max="5" width="95.85546875" style="27" bestFit="1" customWidth="1"/>
    <col min="6" max="6" width="18.42578125" style="196" hidden="1" customWidth="1"/>
    <col min="7" max="7" width="31.5703125" style="196" bestFit="1" customWidth="1"/>
    <col min="8" max="8" width="33" style="196" bestFit="1" customWidth="1"/>
    <col min="9" max="10" width="8.42578125" style="41" customWidth="1"/>
    <col min="11" max="11" width="10.85546875" style="41" bestFit="1" customWidth="1"/>
    <col min="12" max="12" width="6.140625" style="60" hidden="1" customWidth="1"/>
    <col min="13" max="14" width="6.140625" style="27" customWidth="1"/>
    <col min="15" max="16" width="6.140625" style="27" hidden="1" customWidth="1"/>
    <col min="17" max="21" width="6.140625" style="27" customWidth="1"/>
    <col min="22" max="22" width="6.140625" style="60" customWidth="1"/>
    <col min="23" max="31" width="6.140625" style="27" customWidth="1"/>
    <col min="32" max="32" width="6.140625" style="60" customWidth="1"/>
    <col min="33" max="41" width="6.140625" style="27" customWidth="1"/>
    <col min="42" max="42" width="6.140625" style="60" customWidth="1"/>
    <col min="43" max="51" width="6.140625" style="27" customWidth="1"/>
    <col min="52" max="52" width="6.140625" style="60" customWidth="1"/>
    <col min="53" max="61" width="6.140625" style="27" customWidth="1"/>
    <col min="62" max="62" width="6.140625" style="60" customWidth="1"/>
    <col min="63" max="71" width="6.140625" style="27" customWidth="1"/>
    <col min="72" max="72" width="6.140625" style="60" customWidth="1"/>
    <col min="73" max="80" width="6.140625" style="27" customWidth="1"/>
    <col min="81" max="81" width="6.140625" style="62" customWidth="1"/>
    <col min="82" max="91" width="6.140625" style="27" customWidth="1"/>
    <col min="92" max="16384" width="12.7109375" style="27"/>
  </cols>
  <sheetData>
    <row r="1" spans="1:121" s="194" customFormat="1" ht="20.25" customHeight="1">
      <c r="A1" s="15"/>
      <c r="B1" s="16"/>
      <c r="C1" s="16"/>
      <c r="D1" s="16"/>
      <c r="E1" s="17"/>
      <c r="F1" s="195"/>
      <c r="G1" s="195"/>
      <c r="H1" s="195"/>
      <c r="I1" s="18"/>
      <c r="J1" s="19" t="s">
        <v>13</v>
      </c>
      <c r="K1" s="20"/>
      <c r="L1" s="407">
        <v>1</v>
      </c>
      <c r="M1" s="402">
        <v>2</v>
      </c>
      <c r="N1" s="402">
        <v>3</v>
      </c>
      <c r="O1" s="402">
        <v>4</v>
      </c>
      <c r="P1" s="408">
        <v>6</v>
      </c>
      <c r="Q1" s="407">
        <v>7</v>
      </c>
      <c r="R1" s="402">
        <v>238</v>
      </c>
      <c r="S1" s="402">
        <v>889</v>
      </c>
      <c r="T1" s="402">
        <v>887</v>
      </c>
      <c r="U1" s="409">
        <v>888</v>
      </c>
      <c r="V1" s="401">
        <v>231</v>
      </c>
      <c r="W1" s="403">
        <v>7777</v>
      </c>
      <c r="X1" s="403"/>
      <c r="Y1" s="403"/>
      <c r="Z1" s="406"/>
      <c r="AA1" s="410"/>
      <c r="AB1" s="403"/>
      <c r="AC1" s="403"/>
      <c r="AD1" s="403"/>
      <c r="AE1" s="404"/>
      <c r="AF1" s="405"/>
      <c r="AG1" s="403"/>
      <c r="AH1" s="403"/>
      <c r="AI1" s="403"/>
      <c r="AJ1" s="406"/>
      <c r="AK1" s="410"/>
      <c r="AL1" s="403"/>
      <c r="AM1" s="403"/>
      <c r="AN1" s="403"/>
      <c r="AO1" s="404"/>
      <c r="AP1" s="405"/>
      <c r="AQ1" s="403"/>
      <c r="AR1" s="403"/>
      <c r="AS1" s="403"/>
      <c r="AT1" s="406"/>
      <c r="AU1" s="410"/>
      <c r="AV1" s="403"/>
      <c r="AW1" s="403"/>
      <c r="AX1" s="403"/>
      <c r="AY1" s="404"/>
      <c r="AZ1" s="405"/>
      <c r="BA1" s="403"/>
      <c r="BB1" s="403"/>
      <c r="BC1" s="403"/>
      <c r="BD1" s="406"/>
      <c r="BE1" s="410"/>
      <c r="BF1" s="403"/>
      <c r="BG1" s="403"/>
      <c r="BH1" s="403"/>
      <c r="BI1" s="404"/>
      <c r="BJ1" s="405"/>
      <c r="BK1" s="403"/>
      <c r="BL1" s="403"/>
      <c r="BM1" s="403"/>
      <c r="BN1" s="406"/>
      <c r="BO1" s="410"/>
      <c r="BP1" s="403"/>
      <c r="BQ1" s="403"/>
      <c r="BR1" s="403"/>
      <c r="BS1" s="404"/>
      <c r="BT1" s="405"/>
      <c r="BU1" s="403"/>
      <c r="BV1" s="403"/>
      <c r="BW1" s="403"/>
      <c r="BX1" s="406"/>
      <c r="BY1" s="410"/>
      <c r="BZ1" s="403"/>
      <c r="CA1" s="403"/>
      <c r="CB1" s="403"/>
      <c r="CC1" s="404"/>
      <c r="CD1" s="405"/>
      <c r="CE1" s="403"/>
      <c r="CF1" s="403"/>
      <c r="CG1" s="403"/>
      <c r="CH1" s="404"/>
      <c r="CI1" s="405"/>
      <c r="CJ1" s="403"/>
      <c r="CK1" s="403"/>
      <c r="CL1" s="403"/>
      <c r="CM1" s="406"/>
      <c r="CN1" s="21"/>
      <c r="CO1" s="21"/>
      <c r="CP1" s="21"/>
      <c r="CQ1" s="21"/>
      <c r="CR1" s="21"/>
      <c r="CS1" s="21"/>
      <c r="CT1" s="21"/>
      <c r="CU1" s="21"/>
      <c r="CV1" s="21"/>
      <c r="CW1" s="21"/>
      <c r="CX1" s="21"/>
      <c r="CY1" s="21"/>
      <c r="CZ1" s="21"/>
      <c r="DA1" s="21"/>
      <c r="DB1" s="21"/>
      <c r="DC1" s="21"/>
      <c r="DD1" s="21"/>
      <c r="DE1" s="21"/>
      <c r="DF1" s="21"/>
      <c r="DG1" s="21"/>
      <c r="DH1" s="21"/>
      <c r="DI1" s="21"/>
      <c r="DJ1" s="21"/>
      <c r="DK1" s="21"/>
      <c r="DL1" s="21"/>
      <c r="DM1" s="21"/>
      <c r="DN1" s="21"/>
      <c r="DO1" s="21"/>
      <c r="DP1" s="21"/>
      <c r="DQ1" s="21"/>
    </row>
    <row r="2" spans="1:121" s="194" customFormat="1" ht="24" customHeight="1" thickBot="1">
      <c r="A2" s="22"/>
      <c r="B2" s="21"/>
      <c r="C2" s="21"/>
      <c r="D2" s="21"/>
      <c r="F2" s="196"/>
      <c r="G2" s="196"/>
      <c r="H2" s="196"/>
      <c r="I2" s="23"/>
      <c r="J2" s="24" t="s">
        <v>14</v>
      </c>
      <c r="K2" s="25"/>
      <c r="L2" s="388" t="s">
        <v>11</v>
      </c>
      <c r="M2" s="387" t="s">
        <v>11</v>
      </c>
      <c r="N2" s="387" t="s">
        <v>11</v>
      </c>
      <c r="O2" s="387" t="s">
        <v>11</v>
      </c>
      <c r="P2" s="389" t="s">
        <v>11</v>
      </c>
      <c r="Q2" s="388" t="s">
        <v>77</v>
      </c>
      <c r="R2" s="387" t="s">
        <v>11</v>
      </c>
      <c r="S2" s="387" t="s">
        <v>11</v>
      </c>
      <c r="T2" s="387" t="s">
        <v>11</v>
      </c>
      <c r="U2" s="390" t="s">
        <v>11</v>
      </c>
      <c r="V2" s="386" t="s">
        <v>11</v>
      </c>
      <c r="W2" s="372" t="s">
        <v>11</v>
      </c>
      <c r="X2" s="372"/>
      <c r="Y2" s="372"/>
      <c r="Z2" s="373"/>
      <c r="AA2" s="374"/>
      <c r="AB2" s="372"/>
      <c r="AC2" s="372"/>
      <c r="AD2" s="372"/>
      <c r="AE2" s="371"/>
      <c r="AF2" s="375"/>
      <c r="AG2" s="372"/>
      <c r="AH2" s="372"/>
      <c r="AI2" s="372"/>
      <c r="AJ2" s="373"/>
      <c r="AK2" s="374"/>
      <c r="AL2" s="372"/>
      <c r="AM2" s="372"/>
      <c r="AN2" s="372"/>
      <c r="AO2" s="371"/>
      <c r="AP2" s="375"/>
      <c r="AQ2" s="372"/>
      <c r="AR2" s="372"/>
      <c r="AS2" s="372"/>
      <c r="AT2" s="373"/>
      <c r="AU2" s="374"/>
      <c r="AV2" s="372"/>
      <c r="AW2" s="372"/>
      <c r="AX2" s="372"/>
      <c r="AY2" s="371"/>
      <c r="AZ2" s="375"/>
      <c r="BA2" s="372"/>
      <c r="BB2" s="372"/>
      <c r="BC2" s="372"/>
      <c r="BD2" s="373"/>
      <c r="BE2" s="374"/>
      <c r="BF2" s="372"/>
      <c r="BG2" s="372"/>
      <c r="BH2" s="372"/>
      <c r="BI2" s="371"/>
      <c r="BJ2" s="375"/>
      <c r="BK2" s="372"/>
      <c r="BL2" s="372"/>
      <c r="BM2" s="372"/>
      <c r="BN2" s="373"/>
      <c r="BO2" s="374"/>
      <c r="BP2" s="372"/>
      <c r="BQ2" s="372"/>
      <c r="BR2" s="372"/>
      <c r="BS2" s="371"/>
      <c r="BT2" s="375"/>
      <c r="BU2" s="372"/>
      <c r="BV2" s="372"/>
      <c r="BW2" s="372"/>
      <c r="BX2" s="373"/>
      <c r="BY2" s="374"/>
      <c r="BZ2" s="372"/>
      <c r="CA2" s="372"/>
      <c r="CB2" s="372"/>
      <c r="CC2" s="371"/>
      <c r="CD2" s="375"/>
      <c r="CE2" s="372"/>
      <c r="CF2" s="372"/>
      <c r="CG2" s="372"/>
      <c r="CH2" s="371"/>
      <c r="CI2" s="375"/>
      <c r="CJ2" s="372"/>
      <c r="CK2" s="372"/>
      <c r="CL2" s="372"/>
      <c r="CM2" s="373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  <c r="DO2" s="26"/>
      <c r="DP2" s="26"/>
      <c r="DQ2" s="21"/>
    </row>
    <row r="3" spans="1:121" ht="111" customHeight="1">
      <c r="A3" s="22"/>
      <c r="I3" s="307" t="s">
        <v>15</v>
      </c>
      <c r="J3" s="308"/>
      <c r="K3" s="309"/>
      <c r="L3" s="421" t="s">
        <v>76</v>
      </c>
      <c r="M3" s="422" t="s">
        <v>76</v>
      </c>
      <c r="N3" s="422" t="s">
        <v>76</v>
      </c>
      <c r="O3" s="422" t="s">
        <v>76</v>
      </c>
      <c r="P3" s="423" t="s">
        <v>76</v>
      </c>
      <c r="Q3" s="421"/>
      <c r="R3" s="422" t="s">
        <v>16</v>
      </c>
      <c r="S3" s="422" t="s">
        <v>44</v>
      </c>
      <c r="T3" s="422" t="s">
        <v>44</v>
      </c>
      <c r="U3" s="424" t="s">
        <v>44</v>
      </c>
      <c r="V3" s="425" t="s">
        <v>44</v>
      </c>
      <c r="W3" s="372" t="s">
        <v>93</v>
      </c>
      <c r="X3" s="372"/>
      <c r="Y3" s="372"/>
      <c r="Z3" s="373"/>
      <c r="AA3" s="374"/>
      <c r="AB3" s="372"/>
      <c r="AC3" s="372"/>
      <c r="AD3" s="372"/>
      <c r="AE3" s="371"/>
      <c r="AF3" s="375"/>
      <c r="AG3" s="372"/>
      <c r="AH3" s="372"/>
      <c r="AI3" s="372"/>
      <c r="AJ3" s="373"/>
      <c r="AK3" s="374"/>
      <c r="AL3" s="372"/>
      <c r="AM3" s="372"/>
      <c r="AN3" s="372"/>
      <c r="AO3" s="371"/>
      <c r="AP3" s="375"/>
      <c r="AQ3" s="372"/>
      <c r="AR3" s="372"/>
      <c r="AS3" s="372"/>
      <c r="AT3" s="373"/>
      <c r="AU3" s="374"/>
      <c r="AV3" s="372"/>
      <c r="AW3" s="372"/>
      <c r="AX3" s="372"/>
      <c r="AY3" s="371"/>
      <c r="AZ3" s="375"/>
      <c r="BA3" s="372"/>
      <c r="BB3" s="372"/>
      <c r="BC3" s="372"/>
      <c r="BD3" s="373"/>
      <c r="BE3" s="374"/>
      <c r="BF3" s="372"/>
      <c r="BG3" s="372"/>
      <c r="BH3" s="372"/>
      <c r="BI3" s="371"/>
      <c r="BJ3" s="375"/>
      <c r="BK3" s="372"/>
      <c r="BL3" s="372"/>
      <c r="BM3" s="372"/>
      <c r="BN3" s="373"/>
      <c r="BO3" s="374"/>
      <c r="BP3" s="372"/>
      <c r="BQ3" s="372"/>
      <c r="BR3" s="372"/>
      <c r="BS3" s="371"/>
      <c r="BT3" s="375"/>
      <c r="BU3" s="372"/>
      <c r="BV3" s="372"/>
      <c r="BW3" s="372"/>
      <c r="BX3" s="373"/>
      <c r="BY3" s="374"/>
      <c r="BZ3" s="372"/>
      <c r="CA3" s="372"/>
      <c r="CB3" s="372"/>
      <c r="CC3" s="371"/>
      <c r="CD3" s="375"/>
      <c r="CE3" s="372"/>
      <c r="CF3" s="372"/>
      <c r="CG3" s="372"/>
      <c r="CH3" s="371"/>
      <c r="CI3" s="375"/>
      <c r="CJ3" s="372"/>
      <c r="CK3" s="372"/>
      <c r="CL3" s="372"/>
      <c r="CM3" s="373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</row>
    <row r="4" spans="1:121" s="29" customFormat="1" ht="156.75" customHeight="1">
      <c r="A4" s="22"/>
      <c r="B4" s="21"/>
      <c r="C4" s="21"/>
      <c r="D4" s="21"/>
      <c r="F4" s="21"/>
      <c r="G4" s="21"/>
      <c r="H4" s="30"/>
      <c r="I4" s="310" t="s">
        <v>17</v>
      </c>
      <c r="J4" s="311"/>
      <c r="K4" s="312"/>
      <c r="L4" s="421" t="s">
        <v>76</v>
      </c>
      <c r="M4" s="422" t="s">
        <v>76</v>
      </c>
      <c r="N4" s="422" t="s">
        <v>76</v>
      </c>
      <c r="O4" s="422" t="s">
        <v>76</v>
      </c>
      <c r="P4" s="423" t="s">
        <v>76</v>
      </c>
      <c r="Q4" s="421" t="s">
        <v>77</v>
      </c>
      <c r="R4" s="422" t="s">
        <v>76</v>
      </c>
      <c r="S4" s="422" t="s">
        <v>76</v>
      </c>
      <c r="T4" s="422" t="s">
        <v>76</v>
      </c>
      <c r="U4" s="424" t="s">
        <v>76</v>
      </c>
      <c r="V4" s="425" t="s">
        <v>76</v>
      </c>
      <c r="W4" s="372" t="s">
        <v>93</v>
      </c>
      <c r="X4" s="372"/>
      <c r="Y4" s="372"/>
      <c r="Z4" s="373"/>
      <c r="AA4" s="374"/>
      <c r="AB4" s="372"/>
      <c r="AC4" s="372"/>
      <c r="AD4" s="372"/>
      <c r="AE4" s="371"/>
      <c r="AF4" s="375"/>
      <c r="AG4" s="372"/>
      <c r="AH4" s="372"/>
      <c r="AI4" s="372"/>
      <c r="AJ4" s="373"/>
      <c r="AK4" s="374"/>
      <c r="AL4" s="372"/>
      <c r="AM4" s="372"/>
      <c r="AN4" s="372"/>
      <c r="AO4" s="371"/>
      <c r="AP4" s="375"/>
      <c r="AQ4" s="372"/>
      <c r="AR4" s="372"/>
      <c r="AS4" s="372"/>
      <c r="AT4" s="373"/>
      <c r="AU4" s="374"/>
      <c r="AV4" s="372"/>
      <c r="AW4" s="372"/>
      <c r="AX4" s="372"/>
      <c r="AY4" s="371"/>
      <c r="AZ4" s="375"/>
      <c r="BA4" s="372"/>
      <c r="BB4" s="372"/>
      <c r="BC4" s="372"/>
      <c r="BD4" s="373"/>
      <c r="BE4" s="374"/>
      <c r="BF4" s="372"/>
      <c r="BG4" s="372"/>
      <c r="BH4" s="372"/>
      <c r="BI4" s="371"/>
      <c r="BJ4" s="375"/>
      <c r="BK4" s="372"/>
      <c r="BL4" s="372"/>
      <c r="BM4" s="372"/>
      <c r="BN4" s="373"/>
      <c r="BO4" s="374"/>
      <c r="BP4" s="372"/>
      <c r="BQ4" s="372"/>
      <c r="BR4" s="372"/>
      <c r="BS4" s="371"/>
      <c r="BT4" s="375"/>
      <c r="BU4" s="372"/>
      <c r="BV4" s="372"/>
      <c r="BW4" s="372"/>
      <c r="BX4" s="373"/>
      <c r="BY4" s="374"/>
      <c r="BZ4" s="372"/>
      <c r="CA4" s="372"/>
      <c r="CB4" s="372"/>
      <c r="CC4" s="371"/>
      <c r="CD4" s="375"/>
      <c r="CE4" s="372"/>
      <c r="CF4" s="372"/>
      <c r="CG4" s="372"/>
      <c r="CH4" s="371"/>
      <c r="CI4" s="375"/>
      <c r="CJ4" s="372"/>
      <c r="CK4" s="372"/>
      <c r="CL4" s="372"/>
      <c r="CM4" s="373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6"/>
      <c r="DF4" s="28"/>
      <c r="DG4" s="26"/>
      <c r="DH4" s="28"/>
      <c r="DI4" s="26"/>
      <c r="DJ4" s="28"/>
      <c r="DK4" s="26"/>
      <c r="DL4" s="28"/>
      <c r="DM4" s="26"/>
      <c r="DN4" s="28"/>
      <c r="DO4" s="26"/>
      <c r="DP4" s="28"/>
      <c r="DQ4" s="28"/>
    </row>
    <row r="5" spans="1:121" s="21" customFormat="1" ht="408" customHeight="1">
      <c r="A5" s="22"/>
      <c r="H5" s="30" t="s">
        <v>18</v>
      </c>
      <c r="I5" s="203" t="s">
        <v>7</v>
      </c>
      <c r="J5" s="204"/>
      <c r="K5" s="313"/>
      <c r="L5" s="426" t="s">
        <v>69</v>
      </c>
      <c r="M5" s="427" t="s">
        <v>72</v>
      </c>
      <c r="N5" s="427" t="s">
        <v>71</v>
      </c>
      <c r="O5" s="427" t="s">
        <v>83</v>
      </c>
      <c r="P5" s="428" t="s">
        <v>82</v>
      </c>
      <c r="Q5" s="426"/>
      <c r="R5" s="427" t="s">
        <v>56</v>
      </c>
      <c r="S5" s="427" t="s">
        <v>59</v>
      </c>
      <c r="T5" s="427" t="s">
        <v>57</v>
      </c>
      <c r="U5" s="429" t="s">
        <v>58</v>
      </c>
      <c r="V5" s="430" t="s">
        <v>55</v>
      </c>
      <c r="W5" s="372" t="s">
        <v>93</v>
      </c>
      <c r="X5" s="372"/>
      <c r="Y5" s="372"/>
      <c r="Z5" s="373"/>
      <c r="AA5" s="374"/>
      <c r="AB5" s="372"/>
      <c r="AC5" s="372"/>
      <c r="AD5" s="372"/>
      <c r="AE5" s="371"/>
      <c r="AF5" s="375"/>
      <c r="AG5" s="372"/>
      <c r="AH5" s="372"/>
      <c r="AI5" s="372"/>
      <c r="AJ5" s="373"/>
      <c r="AK5" s="374"/>
      <c r="AL5" s="372"/>
      <c r="AM5" s="372"/>
      <c r="AN5" s="372"/>
      <c r="AO5" s="371"/>
      <c r="AP5" s="375"/>
      <c r="AQ5" s="372"/>
      <c r="AR5" s="372"/>
      <c r="AS5" s="372"/>
      <c r="AT5" s="373"/>
      <c r="AU5" s="374"/>
      <c r="AV5" s="372"/>
      <c r="AW5" s="372"/>
      <c r="AX5" s="372"/>
      <c r="AY5" s="371"/>
      <c r="AZ5" s="375"/>
      <c r="BA5" s="372"/>
      <c r="BB5" s="372"/>
      <c r="BC5" s="372"/>
      <c r="BD5" s="373"/>
      <c r="BE5" s="374"/>
      <c r="BF5" s="372"/>
      <c r="BG5" s="372"/>
      <c r="BH5" s="372"/>
      <c r="BI5" s="371"/>
      <c r="BJ5" s="375"/>
      <c r="BK5" s="372"/>
      <c r="BL5" s="372"/>
      <c r="BM5" s="372"/>
      <c r="BN5" s="373"/>
      <c r="BO5" s="374"/>
      <c r="BP5" s="372"/>
      <c r="BQ5" s="372"/>
      <c r="BR5" s="372"/>
      <c r="BS5" s="371"/>
      <c r="BT5" s="375"/>
      <c r="BU5" s="372"/>
      <c r="BV5" s="372"/>
      <c r="BW5" s="372"/>
      <c r="BX5" s="373"/>
      <c r="BY5" s="374"/>
      <c r="BZ5" s="372"/>
      <c r="CA5" s="372"/>
      <c r="CB5" s="372"/>
      <c r="CC5" s="371"/>
      <c r="CD5" s="375"/>
      <c r="CE5" s="372"/>
      <c r="CF5" s="372"/>
      <c r="CG5" s="372"/>
      <c r="CH5" s="371"/>
      <c r="CI5" s="375"/>
      <c r="CJ5" s="372"/>
      <c r="CK5" s="372"/>
      <c r="CL5" s="372"/>
      <c r="CM5" s="373"/>
      <c r="CN5" s="31"/>
      <c r="CO5" s="32"/>
      <c r="CP5" s="31"/>
      <c r="CQ5" s="32"/>
      <c r="CR5" s="31"/>
      <c r="CS5" s="32"/>
      <c r="CT5" s="31"/>
      <c r="CU5" s="32"/>
      <c r="CV5" s="31"/>
      <c r="CW5" s="33"/>
      <c r="CX5" s="31"/>
      <c r="CY5" s="33"/>
      <c r="CZ5" s="31"/>
      <c r="DA5" s="31"/>
      <c r="DB5" s="31"/>
      <c r="DC5" s="32"/>
      <c r="DD5" s="31"/>
      <c r="DE5" s="31"/>
      <c r="DF5" s="31"/>
      <c r="DG5" s="31"/>
      <c r="DH5" s="31"/>
      <c r="DI5" s="31"/>
      <c r="DJ5" s="31"/>
      <c r="DK5" s="32"/>
      <c r="DL5" s="31"/>
      <c r="DM5" s="33"/>
      <c r="DN5" s="31"/>
      <c r="DO5" s="31"/>
      <c r="DP5" s="31"/>
      <c r="DQ5" s="33"/>
    </row>
    <row r="6" spans="1:121" s="21" customFormat="1" ht="140.25" customHeight="1" thickBot="1">
      <c r="A6" s="22"/>
      <c r="D6" s="197"/>
      <c r="E6" s="197" t="s">
        <v>19</v>
      </c>
      <c r="I6" s="232" t="s">
        <v>20</v>
      </c>
      <c r="J6" s="233"/>
      <c r="K6" s="314"/>
      <c r="L6" s="431" t="s">
        <v>66</v>
      </c>
      <c r="M6" s="432" t="s">
        <v>64</v>
      </c>
      <c r="N6" s="432" t="s">
        <v>65</v>
      </c>
      <c r="O6" s="432" t="s">
        <v>67</v>
      </c>
      <c r="P6" s="433" t="s">
        <v>68</v>
      </c>
      <c r="Q6" s="431"/>
      <c r="R6" s="432" t="s">
        <v>21</v>
      </c>
      <c r="S6" s="432" t="s">
        <v>63</v>
      </c>
      <c r="T6" s="432" t="s">
        <v>61</v>
      </c>
      <c r="U6" s="434" t="s">
        <v>62</v>
      </c>
      <c r="V6" s="435" t="s">
        <v>60</v>
      </c>
      <c r="W6" s="393" t="s">
        <v>92</v>
      </c>
      <c r="X6" s="393"/>
      <c r="Y6" s="393"/>
      <c r="Z6" s="396"/>
      <c r="AA6" s="400"/>
      <c r="AB6" s="393"/>
      <c r="AC6" s="393"/>
      <c r="AD6" s="393"/>
      <c r="AE6" s="394"/>
      <c r="AF6" s="395"/>
      <c r="AG6" s="393"/>
      <c r="AH6" s="393"/>
      <c r="AI6" s="393"/>
      <c r="AJ6" s="396"/>
      <c r="AK6" s="400"/>
      <c r="AL6" s="393"/>
      <c r="AM6" s="393"/>
      <c r="AN6" s="393"/>
      <c r="AO6" s="394"/>
      <c r="AP6" s="395"/>
      <c r="AQ6" s="393"/>
      <c r="AR6" s="393"/>
      <c r="AS6" s="393"/>
      <c r="AT6" s="396"/>
      <c r="AU6" s="400"/>
      <c r="AV6" s="393"/>
      <c r="AW6" s="393"/>
      <c r="AX6" s="393"/>
      <c r="AY6" s="394"/>
      <c r="AZ6" s="395"/>
      <c r="BA6" s="393"/>
      <c r="BB6" s="393"/>
      <c r="BC6" s="393"/>
      <c r="BD6" s="396"/>
      <c r="BE6" s="400"/>
      <c r="BF6" s="393"/>
      <c r="BG6" s="393"/>
      <c r="BH6" s="393"/>
      <c r="BI6" s="394"/>
      <c r="BJ6" s="395"/>
      <c r="BK6" s="393"/>
      <c r="BL6" s="393"/>
      <c r="BM6" s="393"/>
      <c r="BN6" s="396"/>
      <c r="BO6" s="400"/>
      <c r="BP6" s="393"/>
      <c r="BQ6" s="393"/>
      <c r="BR6" s="393"/>
      <c r="BS6" s="394"/>
      <c r="BT6" s="395"/>
      <c r="BU6" s="393"/>
      <c r="BV6" s="393"/>
      <c r="BW6" s="393"/>
      <c r="BX6" s="396"/>
      <c r="BY6" s="400"/>
      <c r="BZ6" s="393"/>
      <c r="CA6" s="393"/>
      <c r="CB6" s="393"/>
      <c r="CC6" s="394"/>
      <c r="CD6" s="395"/>
      <c r="CE6" s="393"/>
      <c r="CF6" s="393"/>
      <c r="CG6" s="393"/>
      <c r="CH6" s="394"/>
      <c r="CI6" s="395"/>
      <c r="CJ6" s="393"/>
      <c r="CK6" s="393"/>
      <c r="CL6" s="393"/>
      <c r="CM6" s="396"/>
      <c r="CN6" s="28"/>
      <c r="CO6" s="28"/>
      <c r="CP6" s="28"/>
      <c r="CQ6" s="34"/>
      <c r="CR6" s="33"/>
      <c r="CS6" s="33"/>
      <c r="CT6" s="34"/>
      <c r="CU6" s="35"/>
      <c r="CV6" s="36"/>
      <c r="CW6" s="37"/>
      <c r="CX6" s="37"/>
      <c r="CY6" s="37"/>
      <c r="CZ6" s="38"/>
      <c r="DA6" s="39"/>
      <c r="DB6" s="39"/>
      <c r="DC6" s="39"/>
      <c r="DD6" s="28"/>
      <c r="DE6" s="39"/>
      <c r="DF6" s="40"/>
      <c r="DG6" s="39"/>
      <c r="DH6" s="40"/>
      <c r="DI6" s="39"/>
      <c r="DJ6" s="40"/>
      <c r="DK6" s="39"/>
      <c r="DL6" s="40"/>
      <c r="DM6" s="39"/>
      <c r="DN6" s="40"/>
      <c r="DO6" s="39"/>
      <c r="DP6" s="40"/>
      <c r="DQ6" s="40"/>
    </row>
    <row r="7" spans="1:121" s="41" customFormat="1" ht="25.5" customHeight="1">
      <c r="A7" s="221" t="s">
        <v>22</v>
      </c>
      <c r="B7" s="212" t="s">
        <v>23</v>
      </c>
      <c r="C7" s="212" t="s">
        <v>24</v>
      </c>
      <c r="D7" s="212" t="s">
        <v>25</v>
      </c>
      <c r="E7" s="212" t="s">
        <v>7</v>
      </c>
      <c r="F7" s="212" t="s">
        <v>26</v>
      </c>
      <c r="G7" s="212" t="s">
        <v>20</v>
      </c>
      <c r="H7" s="225" t="s">
        <v>27</v>
      </c>
      <c r="I7" s="318" t="s">
        <v>28</v>
      </c>
      <c r="J7" s="212"/>
      <c r="K7" s="319"/>
      <c r="L7" s="407"/>
      <c r="M7" s="402"/>
      <c r="N7" s="402"/>
      <c r="O7" s="402"/>
      <c r="P7" s="408"/>
      <c r="Q7" s="407"/>
      <c r="R7" s="402"/>
      <c r="S7" s="402"/>
      <c r="T7" s="402"/>
      <c r="U7" s="409"/>
      <c r="V7" s="401"/>
      <c r="W7" s="403" t="s">
        <v>93</v>
      </c>
      <c r="X7" s="403"/>
      <c r="Y7" s="403"/>
      <c r="Z7" s="406"/>
      <c r="AA7" s="410"/>
      <c r="AB7" s="403"/>
      <c r="AC7" s="403"/>
      <c r="AD7" s="403"/>
      <c r="AE7" s="404"/>
      <c r="AF7" s="405"/>
      <c r="AG7" s="403"/>
      <c r="AH7" s="403"/>
      <c r="AI7" s="403"/>
      <c r="AJ7" s="406"/>
      <c r="AK7" s="410"/>
      <c r="AL7" s="403"/>
      <c r="AM7" s="403"/>
      <c r="AN7" s="403"/>
      <c r="AO7" s="404"/>
      <c r="AP7" s="405"/>
      <c r="AQ7" s="403"/>
      <c r="AR7" s="403"/>
      <c r="AS7" s="403"/>
      <c r="AT7" s="406"/>
      <c r="AU7" s="410"/>
      <c r="AV7" s="403"/>
      <c r="AW7" s="403"/>
      <c r="AX7" s="403"/>
      <c r="AY7" s="404"/>
      <c r="AZ7" s="405"/>
      <c r="BA7" s="403"/>
      <c r="BB7" s="403"/>
      <c r="BC7" s="403"/>
      <c r="BD7" s="406"/>
      <c r="BE7" s="410"/>
      <c r="BF7" s="403"/>
      <c r="BG7" s="403"/>
      <c r="BH7" s="403"/>
      <c r="BI7" s="404"/>
      <c r="BJ7" s="405"/>
      <c r="BK7" s="403"/>
      <c r="BL7" s="403"/>
      <c r="BM7" s="403"/>
      <c r="BN7" s="406"/>
      <c r="BO7" s="410"/>
      <c r="BP7" s="403"/>
      <c r="BQ7" s="403"/>
      <c r="BR7" s="403"/>
      <c r="BS7" s="404"/>
      <c r="BT7" s="405"/>
      <c r="BU7" s="403"/>
      <c r="BV7" s="403"/>
      <c r="BW7" s="403"/>
      <c r="BX7" s="406"/>
      <c r="BY7" s="410"/>
      <c r="BZ7" s="403"/>
      <c r="CA7" s="403"/>
      <c r="CB7" s="403"/>
      <c r="CC7" s="404"/>
      <c r="CD7" s="405"/>
      <c r="CE7" s="403"/>
      <c r="CF7" s="403"/>
      <c r="CG7" s="403"/>
      <c r="CH7" s="404"/>
      <c r="CI7" s="405"/>
      <c r="CJ7" s="403"/>
      <c r="CK7" s="403"/>
      <c r="CL7" s="403"/>
      <c r="CM7" s="406"/>
    </row>
    <row r="8" spans="1:121" s="41" customFormat="1" ht="25.5" customHeight="1">
      <c r="A8" s="222"/>
      <c r="B8" s="213"/>
      <c r="C8" s="213"/>
      <c r="D8" s="213"/>
      <c r="E8" s="213"/>
      <c r="F8" s="213"/>
      <c r="G8" s="213"/>
      <c r="H8" s="226"/>
      <c r="I8" s="42"/>
      <c r="J8" s="214" t="s">
        <v>29</v>
      </c>
      <c r="K8" s="320"/>
      <c r="L8" s="388"/>
      <c r="M8" s="387"/>
      <c r="N8" s="387"/>
      <c r="O8" s="387"/>
      <c r="P8" s="389"/>
      <c r="Q8" s="388"/>
      <c r="R8" s="387"/>
      <c r="S8" s="387"/>
      <c r="T8" s="387"/>
      <c r="U8" s="390"/>
      <c r="V8" s="386"/>
      <c r="W8" s="372" t="s">
        <v>93</v>
      </c>
      <c r="X8" s="372"/>
      <c r="Y8" s="372"/>
      <c r="Z8" s="373"/>
      <c r="AA8" s="374"/>
      <c r="AB8" s="372"/>
      <c r="AC8" s="372"/>
      <c r="AD8" s="372"/>
      <c r="AE8" s="371"/>
      <c r="AF8" s="375"/>
      <c r="AG8" s="372"/>
      <c r="AH8" s="372"/>
      <c r="AI8" s="372"/>
      <c r="AJ8" s="373"/>
      <c r="AK8" s="374"/>
      <c r="AL8" s="372"/>
      <c r="AM8" s="372"/>
      <c r="AN8" s="372"/>
      <c r="AO8" s="371"/>
      <c r="AP8" s="375"/>
      <c r="AQ8" s="372"/>
      <c r="AR8" s="372"/>
      <c r="AS8" s="372"/>
      <c r="AT8" s="373"/>
      <c r="AU8" s="374"/>
      <c r="AV8" s="372"/>
      <c r="AW8" s="372"/>
      <c r="AX8" s="372"/>
      <c r="AY8" s="371"/>
      <c r="AZ8" s="375"/>
      <c r="BA8" s="372"/>
      <c r="BB8" s="372"/>
      <c r="BC8" s="372"/>
      <c r="BD8" s="373"/>
      <c r="BE8" s="374"/>
      <c r="BF8" s="372"/>
      <c r="BG8" s="372"/>
      <c r="BH8" s="372"/>
      <c r="BI8" s="371"/>
      <c r="BJ8" s="375"/>
      <c r="BK8" s="372"/>
      <c r="BL8" s="372"/>
      <c r="BM8" s="372"/>
      <c r="BN8" s="373"/>
      <c r="BO8" s="374"/>
      <c r="BP8" s="372"/>
      <c r="BQ8" s="372"/>
      <c r="BR8" s="372"/>
      <c r="BS8" s="371"/>
      <c r="BT8" s="375"/>
      <c r="BU8" s="372"/>
      <c r="BV8" s="372"/>
      <c r="BW8" s="372"/>
      <c r="BX8" s="373"/>
      <c r="BY8" s="374"/>
      <c r="BZ8" s="372"/>
      <c r="CA8" s="372"/>
      <c r="CB8" s="372"/>
      <c r="CC8" s="371"/>
      <c r="CD8" s="375"/>
      <c r="CE8" s="372"/>
      <c r="CF8" s="372"/>
      <c r="CG8" s="372"/>
      <c r="CH8" s="371"/>
      <c r="CI8" s="375"/>
      <c r="CJ8" s="372"/>
      <c r="CK8" s="372"/>
      <c r="CL8" s="372"/>
      <c r="CM8" s="373"/>
    </row>
    <row r="9" spans="1:121" s="41" customFormat="1" ht="25.5" customHeight="1" thickBot="1">
      <c r="A9" s="315"/>
      <c r="B9" s="316"/>
      <c r="C9" s="316"/>
      <c r="D9" s="316"/>
      <c r="E9" s="316"/>
      <c r="F9" s="316"/>
      <c r="G9" s="316"/>
      <c r="H9" s="317"/>
      <c r="I9" s="43"/>
      <c r="J9" s="191"/>
      <c r="K9" s="44" t="s">
        <v>30</v>
      </c>
      <c r="L9" s="413"/>
      <c r="M9" s="412"/>
      <c r="N9" s="412"/>
      <c r="O9" s="412"/>
      <c r="P9" s="414"/>
      <c r="Q9" s="413"/>
      <c r="R9" s="412"/>
      <c r="S9" s="412"/>
      <c r="T9" s="412"/>
      <c r="U9" s="415"/>
      <c r="V9" s="411"/>
      <c r="W9" s="377" t="s">
        <v>93</v>
      </c>
      <c r="X9" s="377"/>
      <c r="Y9" s="377"/>
      <c r="Z9" s="378"/>
      <c r="AA9" s="379"/>
      <c r="AB9" s="377"/>
      <c r="AC9" s="377"/>
      <c r="AD9" s="377"/>
      <c r="AE9" s="376"/>
      <c r="AF9" s="380"/>
      <c r="AG9" s="377"/>
      <c r="AH9" s="377"/>
      <c r="AI9" s="377"/>
      <c r="AJ9" s="378"/>
      <c r="AK9" s="379"/>
      <c r="AL9" s="377"/>
      <c r="AM9" s="377"/>
      <c r="AN9" s="377"/>
      <c r="AO9" s="376"/>
      <c r="AP9" s="380"/>
      <c r="AQ9" s="377"/>
      <c r="AR9" s="377"/>
      <c r="AS9" s="377"/>
      <c r="AT9" s="378"/>
      <c r="AU9" s="379"/>
      <c r="AV9" s="377"/>
      <c r="AW9" s="377"/>
      <c r="AX9" s="377"/>
      <c r="AY9" s="376"/>
      <c r="AZ9" s="380"/>
      <c r="BA9" s="377"/>
      <c r="BB9" s="377"/>
      <c r="BC9" s="377"/>
      <c r="BD9" s="378"/>
      <c r="BE9" s="379"/>
      <c r="BF9" s="377"/>
      <c r="BG9" s="377"/>
      <c r="BH9" s="377"/>
      <c r="BI9" s="376"/>
      <c r="BJ9" s="380"/>
      <c r="BK9" s="377"/>
      <c r="BL9" s="377"/>
      <c r="BM9" s="377"/>
      <c r="BN9" s="378"/>
      <c r="BO9" s="379"/>
      <c r="BP9" s="377"/>
      <c r="BQ9" s="377"/>
      <c r="BR9" s="377"/>
      <c r="BS9" s="376"/>
      <c r="BT9" s="380"/>
      <c r="BU9" s="377"/>
      <c r="BV9" s="377"/>
      <c r="BW9" s="377"/>
      <c r="BX9" s="378"/>
      <c r="BY9" s="379"/>
      <c r="BZ9" s="377"/>
      <c r="CA9" s="377"/>
      <c r="CB9" s="377"/>
      <c r="CC9" s="376"/>
      <c r="CD9" s="380"/>
      <c r="CE9" s="377"/>
      <c r="CF9" s="377"/>
      <c r="CG9" s="377"/>
      <c r="CH9" s="376"/>
      <c r="CI9" s="380"/>
      <c r="CJ9" s="377"/>
      <c r="CK9" s="377"/>
      <c r="CL9" s="377"/>
      <c r="CM9" s="378"/>
    </row>
    <row r="10" spans="1:121" ht="25.5" hidden="1" customHeight="1">
      <c r="A10" s="100">
        <v>4353</v>
      </c>
      <c r="B10" s="101" t="s">
        <v>11</v>
      </c>
      <c r="C10" s="101" t="s">
        <v>44</v>
      </c>
      <c r="D10" s="101" t="s">
        <v>76</v>
      </c>
      <c r="E10" s="102" t="s">
        <v>53</v>
      </c>
      <c r="F10" s="101"/>
      <c r="G10" s="102" t="s">
        <v>1274</v>
      </c>
      <c r="H10" s="177" t="s">
        <v>54</v>
      </c>
      <c r="I10" s="104"/>
      <c r="J10" s="102"/>
      <c r="K10" s="103"/>
      <c r="L10" s="347" t="s">
        <v>78</v>
      </c>
      <c r="M10" s="342" t="s">
        <v>77</v>
      </c>
      <c r="N10" s="342"/>
      <c r="O10" s="342" t="s">
        <v>77</v>
      </c>
      <c r="P10" s="348" t="s">
        <v>77</v>
      </c>
      <c r="Q10" s="347"/>
      <c r="R10" s="342"/>
      <c r="S10" s="342"/>
      <c r="T10" s="342"/>
      <c r="U10" s="349" t="s">
        <v>80</v>
      </c>
      <c r="V10" s="341"/>
      <c r="W10" s="343"/>
      <c r="X10" s="343"/>
      <c r="Y10" s="343"/>
      <c r="Z10" s="346"/>
      <c r="AA10" s="350"/>
      <c r="AB10" s="343"/>
      <c r="AC10" s="343"/>
      <c r="AD10" s="343"/>
      <c r="AE10" s="344"/>
      <c r="AF10" s="345"/>
      <c r="AG10" s="343"/>
      <c r="AH10" s="343"/>
      <c r="AI10" s="343"/>
      <c r="AJ10" s="346"/>
      <c r="AK10" s="350"/>
      <c r="AL10" s="343"/>
      <c r="AM10" s="343"/>
      <c r="AN10" s="343"/>
      <c r="AO10" s="344"/>
      <c r="AP10" s="345"/>
      <c r="AQ10" s="343"/>
      <c r="AR10" s="343"/>
      <c r="AS10" s="343"/>
      <c r="AT10" s="346"/>
      <c r="AU10" s="350"/>
      <c r="AV10" s="343"/>
      <c r="AW10" s="343"/>
      <c r="AX10" s="343"/>
      <c r="AY10" s="344"/>
      <c r="AZ10" s="345"/>
      <c r="BA10" s="343"/>
      <c r="BB10" s="343"/>
      <c r="BC10" s="343"/>
      <c r="BD10" s="346"/>
      <c r="BE10" s="350"/>
      <c r="BF10" s="343"/>
      <c r="BG10" s="343"/>
      <c r="BH10" s="343"/>
      <c r="BI10" s="344"/>
      <c r="BJ10" s="345"/>
      <c r="BK10" s="343"/>
      <c r="BL10" s="343"/>
      <c r="BM10" s="343"/>
      <c r="BN10" s="346"/>
      <c r="BO10" s="350"/>
      <c r="BP10" s="343"/>
      <c r="BQ10" s="343"/>
      <c r="BR10" s="343"/>
      <c r="BS10" s="344"/>
      <c r="BT10" s="345"/>
      <c r="BU10" s="343"/>
      <c r="BV10" s="343"/>
      <c r="BW10" s="343"/>
      <c r="BX10" s="346"/>
      <c r="BY10" s="350"/>
      <c r="BZ10" s="343"/>
      <c r="CA10" s="343"/>
      <c r="CB10" s="343"/>
      <c r="CC10" s="344"/>
      <c r="CD10" s="345"/>
      <c r="CE10" s="343"/>
      <c r="CF10" s="343"/>
      <c r="CG10" s="343"/>
      <c r="CH10" s="344"/>
      <c r="CI10" s="345"/>
      <c r="CJ10" s="343"/>
      <c r="CK10" s="343"/>
      <c r="CL10" s="343"/>
      <c r="CM10" s="346"/>
      <c r="CN10" s="45"/>
      <c r="CO10" s="45"/>
      <c r="CP10" s="45"/>
      <c r="CQ10" s="45"/>
      <c r="CR10" s="45"/>
      <c r="CS10" s="45"/>
      <c r="CT10" s="45"/>
      <c r="CU10" s="45"/>
      <c r="CV10" s="45"/>
      <c r="CW10" s="45"/>
      <c r="CX10" s="45"/>
      <c r="CY10" s="45"/>
      <c r="CZ10" s="45"/>
      <c r="DA10" s="45"/>
      <c r="DB10" s="45"/>
      <c r="DC10" s="45"/>
      <c r="DD10" s="45"/>
      <c r="DE10" s="45"/>
      <c r="DF10" s="45"/>
      <c r="DG10" s="45"/>
      <c r="DH10" s="45"/>
      <c r="DI10" s="45"/>
      <c r="DJ10" s="45"/>
      <c r="DK10" s="45"/>
      <c r="DL10" s="45"/>
      <c r="DM10" s="45"/>
      <c r="DN10" s="45"/>
    </row>
    <row r="11" spans="1:121" ht="25.5" customHeight="1">
      <c r="A11" s="321">
        <v>4354</v>
      </c>
      <c r="B11" s="322" t="s">
        <v>11</v>
      </c>
      <c r="C11" s="322" t="s">
        <v>44</v>
      </c>
      <c r="D11" s="322" t="s">
        <v>76</v>
      </c>
      <c r="E11" s="323" t="s">
        <v>53</v>
      </c>
      <c r="F11" s="322"/>
      <c r="G11" s="323" t="s">
        <v>1276</v>
      </c>
      <c r="H11" s="324" t="s">
        <v>54</v>
      </c>
      <c r="I11" s="325"/>
      <c r="J11" s="323"/>
      <c r="K11" s="326"/>
      <c r="L11" s="327" t="s">
        <v>78</v>
      </c>
      <c r="M11" s="322" t="s">
        <v>77</v>
      </c>
      <c r="N11" s="322"/>
      <c r="O11" s="322" t="s">
        <v>77</v>
      </c>
      <c r="P11" s="328" t="s">
        <v>77</v>
      </c>
      <c r="Q11" s="327"/>
      <c r="R11" s="322"/>
      <c r="S11" s="322"/>
      <c r="T11" s="322"/>
      <c r="U11" s="329" t="s">
        <v>80</v>
      </c>
      <c r="V11" s="321"/>
      <c r="W11" s="323"/>
      <c r="X11" s="323"/>
      <c r="Y11" s="323"/>
      <c r="Z11" s="326"/>
      <c r="AA11" s="330"/>
      <c r="AB11" s="323"/>
      <c r="AC11" s="323"/>
      <c r="AD11" s="323"/>
      <c r="AE11" s="324"/>
      <c r="AF11" s="325"/>
      <c r="AG11" s="323"/>
      <c r="AH11" s="323"/>
      <c r="AI11" s="323"/>
      <c r="AJ11" s="326"/>
      <c r="AK11" s="330"/>
      <c r="AL11" s="323"/>
      <c r="AM11" s="323"/>
      <c r="AN11" s="323"/>
      <c r="AO11" s="324"/>
      <c r="AP11" s="325"/>
      <c r="AQ11" s="323"/>
      <c r="AR11" s="323"/>
      <c r="AS11" s="323"/>
      <c r="AT11" s="326"/>
      <c r="AU11" s="330"/>
      <c r="AV11" s="323"/>
      <c r="AW11" s="323"/>
      <c r="AX11" s="323"/>
      <c r="AY11" s="324"/>
      <c r="AZ11" s="325"/>
      <c r="BA11" s="323"/>
      <c r="BB11" s="323"/>
      <c r="BC11" s="323"/>
      <c r="BD11" s="326"/>
      <c r="BE11" s="330"/>
      <c r="BF11" s="323"/>
      <c r="BG11" s="323"/>
      <c r="BH11" s="323"/>
      <c r="BI11" s="324"/>
      <c r="BJ11" s="325"/>
      <c r="BK11" s="323"/>
      <c r="BL11" s="323"/>
      <c r="BM11" s="323"/>
      <c r="BN11" s="326"/>
      <c r="BO11" s="330"/>
      <c r="BP11" s="323"/>
      <c r="BQ11" s="323"/>
      <c r="BR11" s="323"/>
      <c r="BS11" s="324"/>
      <c r="BT11" s="325"/>
      <c r="BU11" s="323"/>
      <c r="BV11" s="323"/>
      <c r="BW11" s="323"/>
      <c r="BX11" s="326"/>
      <c r="BY11" s="330"/>
      <c r="BZ11" s="323"/>
      <c r="CA11" s="323"/>
      <c r="CB11" s="323"/>
      <c r="CC11" s="324"/>
      <c r="CD11" s="325"/>
      <c r="CE11" s="323"/>
      <c r="CF11" s="323"/>
      <c r="CG11" s="323"/>
      <c r="CH11" s="324"/>
      <c r="CI11" s="325"/>
      <c r="CJ11" s="323"/>
      <c r="CK11" s="323"/>
      <c r="CL11" s="323"/>
      <c r="CM11" s="326"/>
      <c r="CN11" s="46"/>
      <c r="CO11" s="45"/>
      <c r="CP11" s="45"/>
      <c r="CQ11" s="45"/>
      <c r="CR11" s="46"/>
      <c r="CS11" s="45"/>
      <c r="CT11" s="45"/>
      <c r="CU11" s="45"/>
      <c r="CV11" s="45"/>
      <c r="CW11" s="45"/>
      <c r="CX11" s="46"/>
      <c r="CY11" s="45"/>
      <c r="CZ11" s="45"/>
      <c r="DA11" s="46"/>
      <c r="DB11" s="47"/>
      <c r="DC11" s="46"/>
      <c r="DD11" s="46"/>
      <c r="DE11" s="45"/>
      <c r="DF11" s="46"/>
      <c r="DG11" s="46"/>
      <c r="DH11" s="45"/>
      <c r="DI11" s="45"/>
      <c r="DJ11" s="45"/>
      <c r="DK11" s="45"/>
      <c r="DL11" s="45"/>
      <c r="DM11" s="45"/>
      <c r="DN11" s="45"/>
    </row>
    <row r="12" spans="1:121" ht="25.5" customHeight="1">
      <c r="A12" s="321">
        <v>4355</v>
      </c>
      <c r="B12" s="322" t="s">
        <v>11</v>
      </c>
      <c r="C12" s="322" t="s">
        <v>44</v>
      </c>
      <c r="D12" s="322" t="s">
        <v>76</v>
      </c>
      <c r="E12" s="323" t="s">
        <v>53</v>
      </c>
      <c r="F12" s="322"/>
      <c r="G12" s="323" t="s">
        <v>1278</v>
      </c>
      <c r="H12" s="324" t="s">
        <v>54</v>
      </c>
      <c r="I12" s="325"/>
      <c r="J12" s="323"/>
      <c r="K12" s="326"/>
      <c r="L12" s="327" t="s">
        <v>78</v>
      </c>
      <c r="M12" s="322" t="s">
        <v>77</v>
      </c>
      <c r="N12" s="322"/>
      <c r="O12" s="322" t="s">
        <v>77</v>
      </c>
      <c r="P12" s="328" t="s">
        <v>77</v>
      </c>
      <c r="Q12" s="327"/>
      <c r="R12" s="322"/>
      <c r="S12" s="322"/>
      <c r="T12" s="322"/>
      <c r="U12" s="329" t="s">
        <v>80</v>
      </c>
      <c r="V12" s="321"/>
      <c r="W12" s="323"/>
      <c r="X12" s="323"/>
      <c r="Y12" s="323"/>
      <c r="Z12" s="326"/>
      <c r="AA12" s="330"/>
      <c r="AB12" s="323"/>
      <c r="AC12" s="323"/>
      <c r="AD12" s="323"/>
      <c r="AE12" s="324"/>
      <c r="AF12" s="325"/>
      <c r="AG12" s="323"/>
      <c r="AH12" s="323"/>
      <c r="AI12" s="323"/>
      <c r="AJ12" s="326"/>
      <c r="AK12" s="330"/>
      <c r="AL12" s="323"/>
      <c r="AM12" s="323"/>
      <c r="AN12" s="323"/>
      <c r="AO12" s="324"/>
      <c r="AP12" s="325"/>
      <c r="AQ12" s="323"/>
      <c r="AR12" s="323"/>
      <c r="AS12" s="323"/>
      <c r="AT12" s="326"/>
      <c r="AU12" s="330"/>
      <c r="AV12" s="323"/>
      <c r="AW12" s="323"/>
      <c r="AX12" s="323"/>
      <c r="AY12" s="324"/>
      <c r="AZ12" s="325"/>
      <c r="BA12" s="323"/>
      <c r="BB12" s="323"/>
      <c r="BC12" s="323"/>
      <c r="BD12" s="326"/>
      <c r="BE12" s="330"/>
      <c r="BF12" s="323"/>
      <c r="BG12" s="323"/>
      <c r="BH12" s="323"/>
      <c r="BI12" s="324"/>
      <c r="BJ12" s="325"/>
      <c r="BK12" s="323"/>
      <c r="BL12" s="323"/>
      <c r="BM12" s="323"/>
      <c r="BN12" s="326"/>
      <c r="BO12" s="330"/>
      <c r="BP12" s="323"/>
      <c r="BQ12" s="323"/>
      <c r="BR12" s="323"/>
      <c r="BS12" s="324"/>
      <c r="BT12" s="325"/>
      <c r="BU12" s="323"/>
      <c r="BV12" s="323"/>
      <c r="BW12" s="323"/>
      <c r="BX12" s="326"/>
      <c r="BY12" s="330"/>
      <c r="BZ12" s="323"/>
      <c r="CA12" s="323"/>
      <c r="CB12" s="323"/>
      <c r="CC12" s="324"/>
      <c r="CD12" s="325"/>
      <c r="CE12" s="323"/>
      <c r="CF12" s="323"/>
      <c r="CG12" s="323"/>
      <c r="CH12" s="324"/>
      <c r="CI12" s="325"/>
      <c r="CJ12" s="323"/>
      <c r="CK12" s="323"/>
      <c r="CL12" s="323"/>
      <c r="CM12" s="326"/>
      <c r="CN12" s="45"/>
      <c r="CO12" s="45"/>
      <c r="CP12" s="45"/>
      <c r="CQ12" s="45"/>
      <c r="CR12" s="45"/>
      <c r="CS12" s="45"/>
      <c r="CT12" s="45"/>
      <c r="CU12" s="45"/>
      <c r="CV12" s="45"/>
      <c r="CW12" s="45"/>
      <c r="CX12" s="46"/>
      <c r="CY12" s="45"/>
      <c r="CZ12" s="45"/>
      <c r="DA12" s="46"/>
      <c r="DB12" s="45"/>
      <c r="DC12" s="46"/>
      <c r="DD12" s="46"/>
      <c r="DE12" s="45"/>
      <c r="DF12" s="46"/>
      <c r="DG12" s="46"/>
      <c r="DH12" s="45"/>
      <c r="DI12" s="45"/>
      <c r="DJ12" s="45"/>
      <c r="DK12" s="45"/>
      <c r="DL12" s="45"/>
      <c r="DM12" s="45"/>
      <c r="DN12" s="45"/>
    </row>
    <row r="13" spans="1:121" ht="25.5" hidden="1" customHeight="1">
      <c r="A13" s="321">
        <v>4356</v>
      </c>
      <c r="B13" s="322" t="s">
        <v>11</v>
      </c>
      <c r="C13" s="322" t="s">
        <v>44</v>
      </c>
      <c r="D13" s="322" t="s">
        <v>76</v>
      </c>
      <c r="E13" s="323" t="s">
        <v>53</v>
      </c>
      <c r="F13" s="322"/>
      <c r="G13" s="323" t="s">
        <v>1280</v>
      </c>
      <c r="H13" s="324" t="s">
        <v>54</v>
      </c>
      <c r="I13" s="325"/>
      <c r="J13" s="323"/>
      <c r="K13" s="326"/>
      <c r="L13" s="327" t="s">
        <v>78</v>
      </c>
      <c r="M13" s="322" t="s">
        <v>77</v>
      </c>
      <c r="N13" s="322"/>
      <c r="O13" s="322" t="s">
        <v>77</v>
      </c>
      <c r="P13" s="328" t="s">
        <v>77</v>
      </c>
      <c r="Q13" s="327"/>
      <c r="R13" s="322"/>
      <c r="S13" s="322"/>
      <c r="T13" s="322"/>
      <c r="U13" s="329" t="s">
        <v>80</v>
      </c>
      <c r="V13" s="321"/>
      <c r="W13" s="323"/>
      <c r="X13" s="323"/>
      <c r="Y13" s="323"/>
      <c r="Z13" s="326"/>
      <c r="AA13" s="330"/>
      <c r="AB13" s="323"/>
      <c r="AC13" s="323"/>
      <c r="AD13" s="323"/>
      <c r="AE13" s="324"/>
      <c r="AF13" s="325"/>
      <c r="AG13" s="323"/>
      <c r="AH13" s="323"/>
      <c r="AI13" s="323"/>
      <c r="AJ13" s="326"/>
      <c r="AK13" s="330"/>
      <c r="AL13" s="323"/>
      <c r="AM13" s="323"/>
      <c r="AN13" s="323"/>
      <c r="AO13" s="324"/>
      <c r="AP13" s="325"/>
      <c r="AQ13" s="323"/>
      <c r="AR13" s="323"/>
      <c r="AS13" s="323"/>
      <c r="AT13" s="326"/>
      <c r="AU13" s="330"/>
      <c r="AV13" s="323"/>
      <c r="AW13" s="323"/>
      <c r="AX13" s="323"/>
      <c r="AY13" s="324"/>
      <c r="AZ13" s="325"/>
      <c r="BA13" s="323"/>
      <c r="BB13" s="323"/>
      <c r="BC13" s="323"/>
      <c r="BD13" s="326"/>
      <c r="BE13" s="330"/>
      <c r="BF13" s="323"/>
      <c r="BG13" s="323"/>
      <c r="BH13" s="323"/>
      <c r="BI13" s="324"/>
      <c r="BJ13" s="325"/>
      <c r="BK13" s="323"/>
      <c r="BL13" s="323"/>
      <c r="BM13" s="323"/>
      <c r="BN13" s="326"/>
      <c r="BO13" s="330"/>
      <c r="BP13" s="323"/>
      <c r="BQ13" s="323"/>
      <c r="BR13" s="323"/>
      <c r="BS13" s="324"/>
      <c r="BT13" s="325"/>
      <c r="BU13" s="323"/>
      <c r="BV13" s="323"/>
      <c r="BW13" s="323"/>
      <c r="BX13" s="326"/>
      <c r="BY13" s="330"/>
      <c r="BZ13" s="323"/>
      <c r="CA13" s="323"/>
      <c r="CB13" s="323"/>
      <c r="CC13" s="324"/>
      <c r="CD13" s="325"/>
      <c r="CE13" s="323"/>
      <c r="CF13" s="323"/>
      <c r="CG13" s="323"/>
      <c r="CH13" s="324"/>
      <c r="CI13" s="325"/>
      <c r="CJ13" s="323"/>
      <c r="CK13" s="323"/>
      <c r="CL13" s="323"/>
      <c r="CM13" s="326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  <c r="DA13" s="45"/>
      <c r="DB13" s="45"/>
      <c r="DC13" s="45"/>
      <c r="DD13" s="45"/>
      <c r="DE13" s="45"/>
      <c r="DF13" s="45"/>
      <c r="DG13" s="46"/>
      <c r="DH13" s="45"/>
      <c r="DI13" s="45"/>
      <c r="DJ13" s="45"/>
      <c r="DK13" s="45"/>
      <c r="DL13" s="45"/>
      <c r="DM13" s="45"/>
      <c r="DN13" s="45"/>
    </row>
    <row r="14" spans="1:121" ht="25.5" hidden="1" customHeight="1" thickBot="1">
      <c r="A14" s="331">
        <v>4357</v>
      </c>
      <c r="B14" s="332" t="s">
        <v>11</v>
      </c>
      <c r="C14" s="332" t="s">
        <v>44</v>
      </c>
      <c r="D14" s="332" t="s">
        <v>76</v>
      </c>
      <c r="E14" s="333" t="s">
        <v>53</v>
      </c>
      <c r="F14" s="332"/>
      <c r="G14" s="333" t="s">
        <v>1282</v>
      </c>
      <c r="H14" s="334" t="s">
        <v>54</v>
      </c>
      <c r="I14" s="335"/>
      <c r="J14" s="333"/>
      <c r="K14" s="336"/>
      <c r="L14" s="337" t="s">
        <v>78</v>
      </c>
      <c r="M14" s="332" t="s">
        <v>77</v>
      </c>
      <c r="N14" s="332"/>
      <c r="O14" s="332" t="s">
        <v>77</v>
      </c>
      <c r="P14" s="338" t="s">
        <v>77</v>
      </c>
      <c r="Q14" s="337"/>
      <c r="R14" s="332"/>
      <c r="S14" s="332"/>
      <c r="T14" s="332"/>
      <c r="U14" s="339" t="s">
        <v>80</v>
      </c>
      <c r="V14" s="331"/>
      <c r="W14" s="333"/>
      <c r="X14" s="333"/>
      <c r="Y14" s="333"/>
      <c r="Z14" s="336"/>
      <c r="AA14" s="340"/>
      <c r="AB14" s="333"/>
      <c r="AC14" s="333"/>
      <c r="AD14" s="333"/>
      <c r="AE14" s="334"/>
      <c r="AF14" s="335"/>
      <c r="AG14" s="333"/>
      <c r="AH14" s="333"/>
      <c r="AI14" s="333"/>
      <c r="AJ14" s="336"/>
      <c r="AK14" s="340"/>
      <c r="AL14" s="333"/>
      <c r="AM14" s="333"/>
      <c r="AN14" s="333"/>
      <c r="AO14" s="334"/>
      <c r="AP14" s="335"/>
      <c r="AQ14" s="333"/>
      <c r="AR14" s="333"/>
      <c r="AS14" s="333"/>
      <c r="AT14" s="336"/>
      <c r="AU14" s="340"/>
      <c r="AV14" s="333"/>
      <c r="AW14" s="333"/>
      <c r="AX14" s="333"/>
      <c r="AY14" s="334"/>
      <c r="AZ14" s="335"/>
      <c r="BA14" s="333"/>
      <c r="BB14" s="333"/>
      <c r="BC14" s="333"/>
      <c r="BD14" s="336"/>
      <c r="BE14" s="340"/>
      <c r="BF14" s="333"/>
      <c r="BG14" s="333"/>
      <c r="BH14" s="333"/>
      <c r="BI14" s="334"/>
      <c r="BJ14" s="335"/>
      <c r="BK14" s="333"/>
      <c r="BL14" s="333"/>
      <c r="BM14" s="333"/>
      <c r="BN14" s="336"/>
      <c r="BO14" s="340"/>
      <c r="BP14" s="333"/>
      <c r="BQ14" s="333"/>
      <c r="BR14" s="333"/>
      <c r="BS14" s="334"/>
      <c r="BT14" s="335"/>
      <c r="BU14" s="333"/>
      <c r="BV14" s="333"/>
      <c r="BW14" s="333"/>
      <c r="BX14" s="336"/>
      <c r="BY14" s="340"/>
      <c r="BZ14" s="333"/>
      <c r="CA14" s="333"/>
      <c r="CB14" s="333"/>
      <c r="CC14" s="334"/>
      <c r="CD14" s="335"/>
      <c r="CE14" s="333"/>
      <c r="CF14" s="333"/>
      <c r="CG14" s="333"/>
      <c r="CH14" s="334"/>
      <c r="CI14" s="335"/>
      <c r="CJ14" s="333"/>
      <c r="CK14" s="333"/>
      <c r="CL14" s="333"/>
      <c r="CM14" s="336"/>
      <c r="CN14" s="45"/>
      <c r="CO14" s="45"/>
      <c r="CP14" s="45"/>
      <c r="CQ14" s="45"/>
      <c r="CR14" s="45"/>
      <c r="CS14" s="45"/>
      <c r="CT14" s="45"/>
      <c r="CU14" s="45"/>
      <c r="CV14" s="45"/>
      <c r="CW14" s="45"/>
      <c r="CX14" s="45"/>
      <c r="CY14" s="45"/>
      <c r="CZ14" s="45"/>
      <c r="DA14" s="45"/>
      <c r="DB14" s="45"/>
      <c r="DC14" s="45"/>
      <c r="DD14" s="45"/>
      <c r="DE14" s="45"/>
      <c r="DF14" s="45"/>
      <c r="DG14" s="46"/>
      <c r="DH14" s="45"/>
      <c r="DI14" s="45"/>
      <c r="DJ14" s="45"/>
      <c r="DK14" s="45"/>
      <c r="DL14" s="45"/>
      <c r="DM14" s="45"/>
      <c r="DN14" s="45"/>
    </row>
    <row r="15" spans="1:121" ht="25.5" customHeight="1">
      <c r="A15" s="341">
        <v>4358</v>
      </c>
      <c r="B15" s="342" t="s">
        <v>11</v>
      </c>
      <c r="C15" s="342" t="s">
        <v>44</v>
      </c>
      <c r="D15" s="342" t="s">
        <v>76</v>
      </c>
      <c r="E15" s="343" t="s">
        <v>53</v>
      </c>
      <c r="F15" s="342"/>
      <c r="G15" s="343" t="s">
        <v>1284</v>
      </c>
      <c r="H15" s="344" t="s">
        <v>54</v>
      </c>
      <c r="I15" s="345"/>
      <c r="J15" s="343"/>
      <c r="K15" s="346"/>
      <c r="L15" s="347" t="s">
        <v>78</v>
      </c>
      <c r="M15" s="342" t="s">
        <v>77</v>
      </c>
      <c r="N15" s="342"/>
      <c r="O15" s="342" t="s">
        <v>77</v>
      </c>
      <c r="P15" s="348" t="s">
        <v>77</v>
      </c>
      <c r="Q15" s="347"/>
      <c r="R15" s="342"/>
      <c r="S15" s="342"/>
      <c r="T15" s="342"/>
      <c r="U15" s="349" t="s">
        <v>80</v>
      </c>
      <c r="V15" s="341"/>
      <c r="W15" s="343"/>
      <c r="X15" s="343"/>
      <c r="Y15" s="343"/>
      <c r="Z15" s="346"/>
      <c r="AA15" s="350"/>
      <c r="AB15" s="343"/>
      <c r="AC15" s="343"/>
      <c r="AD15" s="343"/>
      <c r="AE15" s="344"/>
      <c r="AF15" s="345"/>
      <c r="AG15" s="343"/>
      <c r="AH15" s="343"/>
      <c r="AI15" s="343"/>
      <c r="AJ15" s="346"/>
      <c r="AK15" s="350"/>
      <c r="AL15" s="343"/>
      <c r="AM15" s="343"/>
      <c r="AN15" s="343"/>
      <c r="AO15" s="344"/>
      <c r="AP15" s="345"/>
      <c r="AQ15" s="343"/>
      <c r="AR15" s="343"/>
      <c r="AS15" s="343"/>
      <c r="AT15" s="346"/>
      <c r="AU15" s="350"/>
      <c r="AV15" s="343"/>
      <c r="AW15" s="343"/>
      <c r="AX15" s="343"/>
      <c r="AY15" s="344"/>
      <c r="AZ15" s="345"/>
      <c r="BA15" s="343"/>
      <c r="BB15" s="343"/>
      <c r="BC15" s="343"/>
      <c r="BD15" s="346"/>
      <c r="BE15" s="350"/>
      <c r="BF15" s="343"/>
      <c r="BG15" s="343"/>
      <c r="BH15" s="343"/>
      <c r="BI15" s="344"/>
      <c r="BJ15" s="345"/>
      <c r="BK15" s="343"/>
      <c r="BL15" s="343"/>
      <c r="BM15" s="343"/>
      <c r="BN15" s="346"/>
      <c r="BO15" s="350"/>
      <c r="BP15" s="343"/>
      <c r="BQ15" s="343"/>
      <c r="BR15" s="343"/>
      <c r="BS15" s="344"/>
      <c r="BT15" s="345"/>
      <c r="BU15" s="343"/>
      <c r="BV15" s="343"/>
      <c r="BW15" s="343"/>
      <c r="BX15" s="346"/>
      <c r="BY15" s="350"/>
      <c r="BZ15" s="343"/>
      <c r="CA15" s="343"/>
      <c r="CB15" s="343"/>
      <c r="CC15" s="344"/>
      <c r="CD15" s="345"/>
      <c r="CE15" s="343"/>
      <c r="CF15" s="343"/>
      <c r="CG15" s="343"/>
      <c r="CH15" s="344"/>
      <c r="CI15" s="345"/>
      <c r="CJ15" s="343"/>
      <c r="CK15" s="343"/>
      <c r="CL15" s="343"/>
      <c r="CM15" s="346"/>
      <c r="CN15" s="45"/>
      <c r="CO15" s="45"/>
      <c r="CP15" s="46"/>
      <c r="CQ15" s="45"/>
      <c r="CR15" s="45"/>
      <c r="CS15" s="45"/>
      <c r="CT15" s="45"/>
      <c r="CU15" s="45"/>
      <c r="CV15" s="45"/>
      <c r="CW15" s="45"/>
      <c r="CX15" s="46"/>
      <c r="CY15" s="45"/>
      <c r="CZ15" s="45"/>
      <c r="DA15" s="46"/>
      <c r="DB15" s="45"/>
      <c r="DC15" s="46"/>
      <c r="DD15" s="46"/>
      <c r="DE15" s="45"/>
      <c r="DF15" s="46"/>
      <c r="DG15" s="46"/>
      <c r="DH15" s="45"/>
      <c r="DI15" s="46"/>
      <c r="DJ15" s="46"/>
      <c r="DK15" s="45"/>
      <c r="DL15" s="46"/>
      <c r="DM15" s="45"/>
      <c r="DN15" s="45"/>
    </row>
    <row r="16" spans="1:121" ht="25.5" customHeight="1">
      <c r="A16" s="321">
        <v>4359</v>
      </c>
      <c r="B16" s="322" t="s">
        <v>11</v>
      </c>
      <c r="C16" s="322" t="s">
        <v>44</v>
      </c>
      <c r="D16" s="322" t="s">
        <v>76</v>
      </c>
      <c r="E16" s="323" t="s">
        <v>53</v>
      </c>
      <c r="F16" s="322"/>
      <c r="G16" s="323" t="s">
        <v>1286</v>
      </c>
      <c r="H16" s="324" t="s">
        <v>54</v>
      </c>
      <c r="I16" s="325"/>
      <c r="J16" s="323"/>
      <c r="K16" s="326"/>
      <c r="L16" s="327" t="s">
        <v>78</v>
      </c>
      <c r="M16" s="322" t="s">
        <v>77</v>
      </c>
      <c r="N16" s="322"/>
      <c r="O16" s="322" t="s">
        <v>77</v>
      </c>
      <c r="P16" s="328" t="s">
        <v>77</v>
      </c>
      <c r="Q16" s="327"/>
      <c r="R16" s="322"/>
      <c r="S16" s="322"/>
      <c r="T16" s="322"/>
      <c r="U16" s="329" t="s">
        <v>80</v>
      </c>
      <c r="V16" s="321"/>
      <c r="W16" s="323"/>
      <c r="X16" s="323"/>
      <c r="Y16" s="323"/>
      <c r="Z16" s="326"/>
      <c r="AA16" s="330"/>
      <c r="AB16" s="323"/>
      <c r="AC16" s="323"/>
      <c r="AD16" s="323"/>
      <c r="AE16" s="324"/>
      <c r="AF16" s="325"/>
      <c r="AG16" s="323"/>
      <c r="AH16" s="323"/>
      <c r="AI16" s="323"/>
      <c r="AJ16" s="326"/>
      <c r="AK16" s="330"/>
      <c r="AL16" s="323"/>
      <c r="AM16" s="323"/>
      <c r="AN16" s="323"/>
      <c r="AO16" s="324"/>
      <c r="AP16" s="325"/>
      <c r="AQ16" s="323"/>
      <c r="AR16" s="323"/>
      <c r="AS16" s="323"/>
      <c r="AT16" s="326"/>
      <c r="AU16" s="330"/>
      <c r="AV16" s="323"/>
      <c r="AW16" s="323"/>
      <c r="AX16" s="323"/>
      <c r="AY16" s="324"/>
      <c r="AZ16" s="325"/>
      <c r="BA16" s="323"/>
      <c r="BB16" s="323"/>
      <c r="BC16" s="323"/>
      <c r="BD16" s="326"/>
      <c r="BE16" s="330"/>
      <c r="BF16" s="323"/>
      <c r="BG16" s="323"/>
      <c r="BH16" s="323"/>
      <c r="BI16" s="324"/>
      <c r="BJ16" s="325"/>
      <c r="BK16" s="323"/>
      <c r="BL16" s="323"/>
      <c r="BM16" s="323"/>
      <c r="BN16" s="326"/>
      <c r="BO16" s="330"/>
      <c r="BP16" s="323"/>
      <c r="BQ16" s="323"/>
      <c r="BR16" s="323"/>
      <c r="BS16" s="324"/>
      <c r="BT16" s="325"/>
      <c r="BU16" s="323"/>
      <c r="BV16" s="323"/>
      <c r="BW16" s="323"/>
      <c r="BX16" s="326"/>
      <c r="BY16" s="330"/>
      <c r="BZ16" s="323"/>
      <c r="CA16" s="323"/>
      <c r="CB16" s="323"/>
      <c r="CC16" s="324"/>
      <c r="CD16" s="325"/>
      <c r="CE16" s="323"/>
      <c r="CF16" s="323"/>
      <c r="CG16" s="323"/>
      <c r="CH16" s="324"/>
      <c r="CI16" s="325"/>
      <c r="CJ16" s="323"/>
      <c r="CK16" s="323"/>
      <c r="CL16" s="323"/>
      <c r="CM16" s="326"/>
      <c r="CN16" s="45"/>
      <c r="CO16" s="45"/>
      <c r="CP16" s="45"/>
      <c r="CQ16" s="45"/>
      <c r="CR16" s="45"/>
      <c r="CS16" s="45"/>
      <c r="CT16" s="45"/>
      <c r="CU16" s="45"/>
      <c r="CV16" s="45"/>
      <c r="CW16" s="45"/>
      <c r="CX16" s="45"/>
      <c r="CY16" s="45"/>
      <c r="CZ16" s="45"/>
      <c r="DA16" s="45"/>
      <c r="DB16" s="45"/>
      <c r="DC16" s="45"/>
      <c r="DD16" s="45"/>
      <c r="DE16" s="45"/>
      <c r="DF16" s="45"/>
      <c r="DG16" s="45"/>
      <c r="DH16" s="45"/>
      <c r="DI16" s="45"/>
      <c r="DJ16" s="45"/>
      <c r="DK16" s="45"/>
      <c r="DL16" s="45"/>
      <c r="DM16" s="45"/>
      <c r="DN16" s="45"/>
    </row>
    <row r="17" spans="1:118" ht="25.5" customHeight="1">
      <c r="A17" s="321">
        <v>4360</v>
      </c>
      <c r="B17" s="322" t="s">
        <v>11</v>
      </c>
      <c r="C17" s="322" t="s">
        <v>44</v>
      </c>
      <c r="D17" s="322" t="s">
        <v>76</v>
      </c>
      <c r="E17" s="323" t="s">
        <v>53</v>
      </c>
      <c r="F17" s="322"/>
      <c r="G17" s="323" t="s">
        <v>1288</v>
      </c>
      <c r="H17" s="324" t="s">
        <v>54</v>
      </c>
      <c r="I17" s="325"/>
      <c r="J17" s="323"/>
      <c r="K17" s="326"/>
      <c r="L17" s="327" t="s">
        <v>78</v>
      </c>
      <c r="M17" s="322" t="s">
        <v>77</v>
      </c>
      <c r="N17" s="322"/>
      <c r="O17" s="322" t="s">
        <v>77</v>
      </c>
      <c r="P17" s="328" t="s">
        <v>77</v>
      </c>
      <c r="Q17" s="327"/>
      <c r="R17" s="322"/>
      <c r="S17" s="322"/>
      <c r="T17" s="322"/>
      <c r="U17" s="329" t="s">
        <v>80</v>
      </c>
      <c r="V17" s="321"/>
      <c r="W17" s="323"/>
      <c r="X17" s="323"/>
      <c r="Y17" s="323"/>
      <c r="Z17" s="326"/>
      <c r="AA17" s="330"/>
      <c r="AB17" s="323"/>
      <c r="AC17" s="323"/>
      <c r="AD17" s="323"/>
      <c r="AE17" s="324"/>
      <c r="AF17" s="325"/>
      <c r="AG17" s="323"/>
      <c r="AH17" s="323"/>
      <c r="AI17" s="323"/>
      <c r="AJ17" s="326"/>
      <c r="AK17" s="330"/>
      <c r="AL17" s="323"/>
      <c r="AM17" s="323"/>
      <c r="AN17" s="323"/>
      <c r="AO17" s="324"/>
      <c r="AP17" s="325"/>
      <c r="AQ17" s="323"/>
      <c r="AR17" s="323"/>
      <c r="AS17" s="323"/>
      <c r="AT17" s="326"/>
      <c r="AU17" s="330"/>
      <c r="AV17" s="323"/>
      <c r="AW17" s="323"/>
      <c r="AX17" s="323"/>
      <c r="AY17" s="324"/>
      <c r="AZ17" s="325"/>
      <c r="BA17" s="323"/>
      <c r="BB17" s="323"/>
      <c r="BC17" s="323"/>
      <c r="BD17" s="326"/>
      <c r="BE17" s="330"/>
      <c r="BF17" s="323"/>
      <c r="BG17" s="323"/>
      <c r="BH17" s="323"/>
      <c r="BI17" s="324"/>
      <c r="BJ17" s="325"/>
      <c r="BK17" s="323"/>
      <c r="BL17" s="323"/>
      <c r="BM17" s="323"/>
      <c r="BN17" s="326"/>
      <c r="BO17" s="330"/>
      <c r="BP17" s="323"/>
      <c r="BQ17" s="323"/>
      <c r="BR17" s="323"/>
      <c r="BS17" s="324"/>
      <c r="BT17" s="325"/>
      <c r="BU17" s="323"/>
      <c r="BV17" s="323"/>
      <c r="BW17" s="323"/>
      <c r="BX17" s="326"/>
      <c r="BY17" s="330"/>
      <c r="BZ17" s="323"/>
      <c r="CA17" s="323"/>
      <c r="CB17" s="323"/>
      <c r="CC17" s="324"/>
      <c r="CD17" s="325"/>
      <c r="CE17" s="323"/>
      <c r="CF17" s="323"/>
      <c r="CG17" s="323"/>
      <c r="CH17" s="324"/>
      <c r="CI17" s="325"/>
      <c r="CJ17" s="323"/>
      <c r="CK17" s="323"/>
      <c r="CL17" s="323"/>
      <c r="CM17" s="326"/>
      <c r="CN17" s="45"/>
      <c r="CO17" s="45"/>
      <c r="CP17" s="45"/>
      <c r="CQ17" s="45"/>
      <c r="CR17" s="45"/>
      <c r="CS17" s="45"/>
      <c r="CT17" s="45"/>
      <c r="CU17" s="45"/>
      <c r="CV17" s="45"/>
      <c r="CW17" s="45"/>
      <c r="CX17" s="45"/>
      <c r="CY17" s="45"/>
      <c r="CZ17" s="45"/>
      <c r="DA17" s="45"/>
      <c r="DB17" s="45"/>
      <c r="DC17" s="45"/>
      <c r="DD17" s="45"/>
      <c r="DE17" s="45"/>
      <c r="DF17" s="45"/>
      <c r="DG17" s="45"/>
      <c r="DH17" s="45"/>
      <c r="DI17" s="45"/>
      <c r="DJ17" s="45"/>
      <c r="DK17" s="45"/>
      <c r="DL17" s="45"/>
      <c r="DM17" s="45"/>
      <c r="DN17" s="45"/>
    </row>
    <row r="18" spans="1:118" ht="25.5" customHeight="1">
      <c r="A18" s="321">
        <v>4361</v>
      </c>
      <c r="B18" s="322" t="s">
        <v>11</v>
      </c>
      <c r="C18" s="322" t="s">
        <v>44</v>
      </c>
      <c r="D18" s="322" t="s">
        <v>76</v>
      </c>
      <c r="E18" s="323" t="s">
        <v>53</v>
      </c>
      <c r="F18" s="322"/>
      <c r="G18" s="323" t="s">
        <v>1290</v>
      </c>
      <c r="H18" s="324" t="s">
        <v>54</v>
      </c>
      <c r="I18" s="325"/>
      <c r="J18" s="323"/>
      <c r="K18" s="326"/>
      <c r="L18" s="327" t="s">
        <v>78</v>
      </c>
      <c r="M18" s="322" t="s">
        <v>77</v>
      </c>
      <c r="N18" s="322"/>
      <c r="O18" s="322" t="s">
        <v>77</v>
      </c>
      <c r="P18" s="328" t="s">
        <v>77</v>
      </c>
      <c r="Q18" s="327"/>
      <c r="R18" s="322"/>
      <c r="S18" s="322"/>
      <c r="T18" s="322"/>
      <c r="U18" s="329" t="s">
        <v>80</v>
      </c>
      <c r="V18" s="321"/>
      <c r="W18" s="323"/>
      <c r="X18" s="323"/>
      <c r="Y18" s="323"/>
      <c r="Z18" s="326"/>
      <c r="AA18" s="330"/>
      <c r="AB18" s="323"/>
      <c r="AC18" s="323"/>
      <c r="AD18" s="323"/>
      <c r="AE18" s="324"/>
      <c r="AF18" s="325"/>
      <c r="AG18" s="323"/>
      <c r="AH18" s="323"/>
      <c r="AI18" s="323"/>
      <c r="AJ18" s="326"/>
      <c r="AK18" s="330"/>
      <c r="AL18" s="323"/>
      <c r="AM18" s="323"/>
      <c r="AN18" s="323"/>
      <c r="AO18" s="324"/>
      <c r="AP18" s="325"/>
      <c r="AQ18" s="323"/>
      <c r="AR18" s="323"/>
      <c r="AS18" s="323"/>
      <c r="AT18" s="326"/>
      <c r="AU18" s="330"/>
      <c r="AV18" s="323"/>
      <c r="AW18" s="323"/>
      <c r="AX18" s="323"/>
      <c r="AY18" s="324"/>
      <c r="AZ18" s="325"/>
      <c r="BA18" s="323"/>
      <c r="BB18" s="323"/>
      <c r="BC18" s="323"/>
      <c r="BD18" s="326"/>
      <c r="BE18" s="330"/>
      <c r="BF18" s="323"/>
      <c r="BG18" s="323"/>
      <c r="BH18" s="323"/>
      <c r="BI18" s="324"/>
      <c r="BJ18" s="325"/>
      <c r="BK18" s="323"/>
      <c r="BL18" s="323"/>
      <c r="BM18" s="323"/>
      <c r="BN18" s="326"/>
      <c r="BO18" s="330"/>
      <c r="BP18" s="323"/>
      <c r="BQ18" s="323"/>
      <c r="BR18" s="323"/>
      <c r="BS18" s="324"/>
      <c r="BT18" s="325"/>
      <c r="BU18" s="323"/>
      <c r="BV18" s="323"/>
      <c r="BW18" s="323"/>
      <c r="BX18" s="326"/>
      <c r="BY18" s="330"/>
      <c r="BZ18" s="323"/>
      <c r="CA18" s="323"/>
      <c r="CB18" s="323"/>
      <c r="CC18" s="324"/>
      <c r="CD18" s="325"/>
      <c r="CE18" s="323"/>
      <c r="CF18" s="323"/>
      <c r="CG18" s="323"/>
      <c r="CH18" s="324"/>
      <c r="CI18" s="325"/>
      <c r="CJ18" s="323"/>
      <c r="CK18" s="323"/>
      <c r="CL18" s="323"/>
      <c r="CM18" s="326"/>
      <c r="CN18" s="45"/>
      <c r="CO18" s="45"/>
      <c r="CP18" s="45"/>
      <c r="CQ18" s="45"/>
      <c r="CR18" s="45"/>
      <c r="CS18" s="45"/>
      <c r="CT18" s="45"/>
      <c r="CU18" s="45"/>
      <c r="CV18" s="45"/>
      <c r="CW18" s="45"/>
      <c r="CX18" s="45"/>
      <c r="CY18" s="45"/>
      <c r="CZ18" s="45"/>
      <c r="DA18" s="45"/>
      <c r="DB18" s="45"/>
      <c r="DC18" s="45"/>
      <c r="DD18" s="45"/>
      <c r="DE18" s="45"/>
      <c r="DF18" s="45"/>
      <c r="DG18" s="45"/>
      <c r="DH18" s="45"/>
      <c r="DI18" s="45"/>
      <c r="DJ18" s="45"/>
      <c r="DK18" s="45"/>
      <c r="DL18" s="45"/>
      <c r="DM18" s="45"/>
      <c r="DN18" s="45"/>
    </row>
    <row r="19" spans="1:118" ht="25.5" customHeight="1" thickBot="1">
      <c r="A19" s="351">
        <v>4362</v>
      </c>
      <c r="B19" s="352" t="s">
        <v>11</v>
      </c>
      <c r="C19" s="352" t="s">
        <v>44</v>
      </c>
      <c r="D19" s="352" t="s">
        <v>76</v>
      </c>
      <c r="E19" s="353" t="s">
        <v>53</v>
      </c>
      <c r="F19" s="352"/>
      <c r="G19" s="353" t="s">
        <v>1292</v>
      </c>
      <c r="H19" s="354" t="s">
        <v>54</v>
      </c>
      <c r="I19" s="355"/>
      <c r="J19" s="353"/>
      <c r="K19" s="356"/>
      <c r="L19" s="357" t="s">
        <v>78</v>
      </c>
      <c r="M19" s="352" t="s">
        <v>77</v>
      </c>
      <c r="N19" s="352"/>
      <c r="O19" s="352" t="s">
        <v>77</v>
      </c>
      <c r="P19" s="358" t="s">
        <v>77</v>
      </c>
      <c r="Q19" s="357"/>
      <c r="R19" s="352"/>
      <c r="S19" s="352"/>
      <c r="T19" s="352"/>
      <c r="U19" s="359" t="s">
        <v>80</v>
      </c>
      <c r="V19" s="351"/>
      <c r="W19" s="353"/>
      <c r="X19" s="353"/>
      <c r="Y19" s="353"/>
      <c r="Z19" s="356"/>
      <c r="AA19" s="360"/>
      <c r="AB19" s="353"/>
      <c r="AC19" s="353"/>
      <c r="AD19" s="353"/>
      <c r="AE19" s="354"/>
      <c r="AF19" s="355"/>
      <c r="AG19" s="353"/>
      <c r="AH19" s="353"/>
      <c r="AI19" s="353"/>
      <c r="AJ19" s="356"/>
      <c r="AK19" s="360"/>
      <c r="AL19" s="353"/>
      <c r="AM19" s="353"/>
      <c r="AN19" s="353"/>
      <c r="AO19" s="354"/>
      <c r="AP19" s="355"/>
      <c r="AQ19" s="353"/>
      <c r="AR19" s="353"/>
      <c r="AS19" s="353"/>
      <c r="AT19" s="356"/>
      <c r="AU19" s="360"/>
      <c r="AV19" s="353"/>
      <c r="AW19" s="353"/>
      <c r="AX19" s="353"/>
      <c r="AY19" s="354"/>
      <c r="AZ19" s="355"/>
      <c r="BA19" s="353"/>
      <c r="BB19" s="353"/>
      <c r="BC19" s="353"/>
      <c r="BD19" s="356"/>
      <c r="BE19" s="360"/>
      <c r="BF19" s="353"/>
      <c r="BG19" s="353"/>
      <c r="BH19" s="353"/>
      <c r="BI19" s="354"/>
      <c r="BJ19" s="355"/>
      <c r="BK19" s="353"/>
      <c r="BL19" s="353"/>
      <c r="BM19" s="353"/>
      <c r="BN19" s="356"/>
      <c r="BO19" s="360"/>
      <c r="BP19" s="353"/>
      <c r="BQ19" s="353"/>
      <c r="BR19" s="353"/>
      <c r="BS19" s="354"/>
      <c r="BT19" s="355"/>
      <c r="BU19" s="353"/>
      <c r="BV19" s="353"/>
      <c r="BW19" s="353"/>
      <c r="BX19" s="356"/>
      <c r="BY19" s="360"/>
      <c r="BZ19" s="353"/>
      <c r="CA19" s="353"/>
      <c r="CB19" s="353"/>
      <c r="CC19" s="354"/>
      <c r="CD19" s="355"/>
      <c r="CE19" s="353"/>
      <c r="CF19" s="353"/>
      <c r="CG19" s="353"/>
      <c r="CH19" s="354"/>
      <c r="CI19" s="355"/>
      <c r="CJ19" s="353"/>
      <c r="CK19" s="353"/>
      <c r="CL19" s="353"/>
      <c r="CM19" s="356"/>
      <c r="CN19" s="45"/>
      <c r="CO19" s="45"/>
      <c r="CP19" s="45"/>
      <c r="CQ19" s="45"/>
      <c r="CR19" s="45"/>
      <c r="CS19" s="45"/>
      <c r="CT19" s="45"/>
      <c r="CU19" s="45"/>
      <c r="CV19" s="45"/>
      <c r="CW19" s="45"/>
      <c r="CX19" s="45"/>
      <c r="CY19" s="45"/>
      <c r="CZ19" s="45"/>
      <c r="DA19" s="45"/>
      <c r="DB19" s="45"/>
      <c r="DC19" s="45"/>
      <c r="DD19" s="45"/>
      <c r="DE19" s="45"/>
      <c r="DF19" s="45"/>
      <c r="DG19" s="45"/>
      <c r="DH19" s="45"/>
      <c r="DI19" s="45"/>
      <c r="DJ19" s="45"/>
      <c r="DK19" s="45"/>
      <c r="DL19" s="45"/>
      <c r="DM19" s="45"/>
      <c r="DN19" s="45"/>
    </row>
    <row r="20" spans="1:118" ht="25.5" customHeight="1">
      <c r="A20" s="361">
        <v>4363</v>
      </c>
      <c r="B20" s="362" t="s">
        <v>11</v>
      </c>
      <c r="C20" s="362" t="s">
        <v>44</v>
      </c>
      <c r="D20" s="362" t="s">
        <v>76</v>
      </c>
      <c r="E20" s="363" t="s">
        <v>53</v>
      </c>
      <c r="F20" s="362"/>
      <c r="G20" s="363" t="s">
        <v>1294</v>
      </c>
      <c r="H20" s="364" t="s">
        <v>54</v>
      </c>
      <c r="I20" s="365"/>
      <c r="J20" s="363"/>
      <c r="K20" s="366"/>
      <c r="L20" s="367" t="s">
        <v>78</v>
      </c>
      <c r="M20" s="362" t="s">
        <v>77</v>
      </c>
      <c r="N20" s="362"/>
      <c r="O20" s="362" t="s">
        <v>77</v>
      </c>
      <c r="P20" s="368" t="s">
        <v>77</v>
      </c>
      <c r="Q20" s="367"/>
      <c r="R20" s="362"/>
      <c r="S20" s="362"/>
      <c r="T20" s="362"/>
      <c r="U20" s="369" t="s">
        <v>80</v>
      </c>
      <c r="V20" s="361"/>
      <c r="W20" s="363"/>
      <c r="X20" s="363"/>
      <c r="Y20" s="363"/>
      <c r="Z20" s="366"/>
      <c r="AA20" s="370"/>
      <c r="AB20" s="363"/>
      <c r="AC20" s="363"/>
      <c r="AD20" s="363"/>
      <c r="AE20" s="364"/>
      <c r="AF20" s="365"/>
      <c r="AG20" s="363"/>
      <c r="AH20" s="363"/>
      <c r="AI20" s="363"/>
      <c r="AJ20" s="366"/>
      <c r="AK20" s="370"/>
      <c r="AL20" s="363"/>
      <c r="AM20" s="363"/>
      <c r="AN20" s="363"/>
      <c r="AO20" s="364"/>
      <c r="AP20" s="365"/>
      <c r="AQ20" s="363"/>
      <c r="AR20" s="363"/>
      <c r="AS20" s="363"/>
      <c r="AT20" s="366"/>
      <c r="AU20" s="370"/>
      <c r="AV20" s="363"/>
      <c r="AW20" s="363"/>
      <c r="AX20" s="363"/>
      <c r="AY20" s="364"/>
      <c r="AZ20" s="365"/>
      <c r="BA20" s="363"/>
      <c r="BB20" s="363"/>
      <c r="BC20" s="363"/>
      <c r="BD20" s="366"/>
      <c r="BE20" s="370"/>
      <c r="BF20" s="363"/>
      <c r="BG20" s="363"/>
      <c r="BH20" s="363"/>
      <c r="BI20" s="364"/>
      <c r="BJ20" s="365"/>
      <c r="BK20" s="363"/>
      <c r="BL20" s="363"/>
      <c r="BM20" s="363"/>
      <c r="BN20" s="366"/>
      <c r="BO20" s="370"/>
      <c r="BP20" s="363"/>
      <c r="BQ20" s="363"/>
      <c r="BR20" s="363"/>
      <c r="BS20" s="364"/>
      <c r="BT20" s="365"/>
      <c r="BU20" s="363"/>
      <c r="BV20" s="363"/>
      <c r="BW20" s="363"/>
      <c r="BX20" s="366"/>
      <c r="BY20" s="370"/>
      <c r="BZ20" s="363"/>
      <c r="CA20" s="363"/>
      <c r="CB20" s="363"/>
      <c r="CC20" s="364"/>
      <c r="CD20" s="365"/>
      <c r="CE20" s="363"/>
      <c r="CF20" s="363"/>
      <c r="CG20" s="363"/>
      <c r="CH20" s="364"/>
      <c r="CI20" s="365"/>
      <c r="CJ20" s="363"/>
      <c r="CK20" s="363"/>
      <c r="CL20" s="363"/>
      <c r="CM20" s="366"/>
      <c r="CN20" s="45"/>
      <c r="CO20" s="45"/>
      <c r="CP20" s="45"/>
      <c r="CQ20" s="45"/>
      <c r="CR20" s="45"/>
      <c r="CS20" s="45"/>
      <c r="CT20" s="45"/>
      <c r="CU20" s="45"/>
      <c r="CV20" s="45"/>
      <c r="CW20" s="45"/>
      <c r="CX20" s="46"/>
      <c r="CY20" s="45"/>
      <c r="CZ20" s="45"/>
      <c r="DA20" s="46"/>
      <c r="DB20" s="45"/>
      <c r="DC20" s="45"/>
      <c r="DD20" s="45"/>
      <c r="DE20" s="45"/>
      <c r="DF20" s="46"/>
      <c r="DG20" s="45"/>
      <c r="DH20" s="45"/>
      <c r="DI20" s="45"/>
      <c r="DJ20" s="45"/>
      <c r="DK20" s="45"/>
      <c r="DL20" s="45"/>
      <c r="DM20" s="45"/>
      <c r="DN20" s="45"/>
    </row>
    <row r="21" spans="1:118" ht="25.5" customHeight="1">
      <c r="A21" s="321">
        <v>4364</v>
      </c>
      <c r="B21" s="322" t="s">
        <v>11</v>
      </c>
      <c r="C21" s="322" t="s">
        <v>44</v>
      </c>
      <c r="D21" s="322" t="s">
        <v>76</v>
      </c>
      <c r="E21" s="323" t="s">
        <v>53</v>
      </c>
      <c r="F21" s="322"/>
      <c r="G21" s="323" t="s">
        <v>1296</v>
      </c>
      <c r="H21" s="324" t="s">
        <v>54</v>
      </c>
      <c r="I21" s="325"/>
      <c r="J21" s="323"/>
      <c r="K21" s="326"/>
      <c r="L21" s="327" t="s">
        <v>78</v>
      </c>
      <c r="M21" s="322" t="s">
        <v>77</v>
      </c>
      <c r="N21" s="322"/>
      <c r="O21" s="322" t="s">
        <v>77</v>
      </c>
      <c r="P21" s="328" t="s">
        <v>77</v>
      </c>
      <c r="Q21" s="327"/>
      <c r="R21" s="322"/>
      <c r="S21" s="322"/>
      <c r="T21" s="322"/>
      <c r="U21" s="329" t="s">
        <v>80</v>
      </c>
      <c r="V21" s="321"/>
      <c r="W21" s="323"/>
      <c r="X21" s="323"/>
      <c r="Y21" s="323"/>
      <c r="Z21" s="326"/>
      <c r="AA21" s="330"/>
      <c r="AB21" s="323"/>
      <c r="AC21" s="323"/>
      <c r="AD21" s="323"/>
      <c r="AE21" s="324"/>
      <c r="AF21" s="325"/>
      <c r="AG21" s="323"/>
      <c r="AH21" s="323"/>
      <c r="AI21" s="323"/>
      <c r="AJ21" s="326"/>
      <c r="AK21" s="330"/>
      <c r="AL21" s="323"/>
      <c r="AM21" s="323"/>
      <c r="AN21" s="323"/>
      <c r="AO21" s="324"/>
      <c r="AP21" s="325"/>
      <c r="AQ21" s="323"/>
      <c r="AR21" s="323"/>
      <c r="AS21" s="323"/>
      <c r="AT21" s="326"/>
      <c r="AU21" s="330"/>
      <c r="AV21" s="323"/>
      <c r="AW21" s="323"/>
      <c r="AX21" s="323"/>
      <c r="AY21" s="324"/>
      <c r="AZ21" s="325"/>
      <c r="BA21" s="323"/>
      <c r="BB21" s="323"/>
      <c r="BC21" s="323"/>
      <c r="BD21" s="326"/>
      <c r="BE21" s="330"/>
      <c r="BF21" s="323"/>
      <c r="BG21" s="323"/>
      <c r="BH21" s="323"/>
      <c r="BI21" s="324"/>
      <c r="BJ21" s="325"/>
      <c r="BK21" s="323"/>
      <c r="BL21" s="323"/>
      <c r="BM21" s="323"/>
      <c r="BN21" s="326"/>
      <c r="BO21" s="330"/>
      <c r="BP21" s="323"/>
      <c r="BQ21" s="323"/>
      <c r="BR21" s="323"/>
      <c r="BS21" s="324"/>
      <c r="BT21" s="325"/>
      <c r="BU21" s="323"/>
      <c r="BV21" s="323"/>
      <c r="BW21" s="323"/>
      <c r="BX21" s="326"/>
      <c r="BY21" s="330"/>
      <c r="BZ21" s="323"/>
      <c r="CA21" s="323"/>
      <c r="CB21" s="323"/>
      <c r="CC21" s="324"/>
      <c r="CD21" s="325"/>
      <c r="CE21" s="323"/>
      <c r="CF21" s="323"/>
      <c r="CG21" s="323"/>
      <c r="CH21" s="324"/>
      <c r="CI21" s="325"/>
      <c r="CJ21" s="323"/>
      <c r="CK21" s="323"/>
      <c r="CL21" s="323"/>
      <c r="CM21" s="326"/>
    </row>
    <row r="22" spans="1:118" ht="25.5" customHeight="1">
      <c r="A22" s="321">
        <v>4365</v>
      </c>
      <c r="B22" s="322" t="s">
        <v>11</v>
      </c>
      <c r="C22" s="322" t="s">
        <v>44</v>
      </c>
      <c r="D22" s="322" t="s">
        <v>76</v>
      </c>
      <c r="E22" s="323" t="s">
        <v>53</v>
      </c>
      <c r="F22" s="322"/>
      <c r="G22" s="323" t="s">
        <v>1298</v>
      </c>
      <c r="H22" s="371" t="s">
        <v>54</v>
      </c>
      <c r="I22" s="325"/>
      <c r="J22" s="323"/>
      <c r="K22" s="326"/>
      <c r="L22" s="327" t="s">
        <v>78</v>
      </c>
      <c r="M22" s="322" t="s">
        <v>77</v>
      </c>
      <c r="N22" s="322"/>
      <c r="O22" s="322" t="s">
        <v>77</v>
      </c>
      <c r="P22" s="328" t="s">
        <v>77</v>
      </c>
      <c r="Q22" s="327"/>
      <c r="R22" s="322"/>
      <c r="S22" s="322"/>
      <c r="T22" s="322"/>
      <c r="U22" s="329" t="s">
        <v>80</v>
      </c>
      <c r="V22" s="321"/>
      <c r="W22" s="372"/>
      <c r="X22" s="372"/>
      <c r="Y22" s="372"/>
      <c r="Z22" s="373"/>
      <c r="AA22" s="374"/>
      <c r="AB22" s="372"/>
      <c r="AC22" s="372"/>
      <c r="AD22" s="372"/>
      <c r="AE22" s="371"/>
      <c r="AF22" s="375"/>
      <c r="AG22" s="372"/>
      <c r="AH22" s="372"/>
      <c r="AI22" s="372"/>
      <c r="AJ22" s="373"/>
      <c r="AK22" s="374"/>
      <c r="AL22" s="372"/>
      <c r="AM22" s="372"/>
      <c r="AN22" s="372"/>
      <c r="AO22" s="371"/>
      <c r="AP22" s="375"/>
      <c r="AQ22" s="372"/>
      <c r="AR22" s="372"/>
      <c r="AS22" s="372"/>
      <c r="AT22" s="373"/>
      <c r="AU22" s="374"/>
      <c r="AV22" s="372"/>
      <c r="AW22" s="372"/>
      <c r="AX22" s="372"/>
      <c r="AY22" s="371"/>
      <c r="AZ22" s="375"/>
      <c r="BA22" s="372"/>
      <c r="BB22" s="372"/>
      <c r="BC22" s="372"/>
      <c r="BD22" s="373"/>
      <c r="BE22" s="374"/>
      <c r="BF22" s="372"/>
      <c r="BG22" s="372"/>
      <c r="BH22" s="372"/>
      <c r="BI22" s="371"/>
      <c r="BJ22" s="375"/>
      <c r="BK22" s="372"/>
      <c r="BL22" s="372"/>
      <c r="BM22" s="372"/>
      <c r="BN22" s="373"/>
      <c r="BO22" s="374"/>
      <c r="BP22" s="372"/>
      <c r="BQ22" s="372"/>
      <c r="BR22" s="372"/>
      <c r="BS22" s="371"/>
      <c r="BT22" s="375"/>
      <c r="BU22" s="372"/>
      <c r="BV22" s="372"/>
      <c r="BW22" s="372"/>
      <c r="BX22" s="373"/>
      <c r="BY22" s="374"/>
      <c r="BZ22" s="372"/>
      <c r="CA22" s="372"/>
      <c r="CB22" s="372"/>
      <c r="CC22" s="371"/>
      <c r="CD22" s="375"/>
      <c r="CE22" s="372"/>
      <c r="CF22" s="372"/>
      <c r="CG22" s="372"/>
      <c r="CH22" s="371"/>
      <c r="CI22" s="375"/>
      <c r="CJ22" s="372"/>
      <c r="CK22" s="372"/>
      <c r="CL22" s="372"/>
      <c r="CM22" s="373"/>
    </row>
    <row r="23" spans="1:118" ht="25.5" customHeight="1">
      <c r="A23" s="321">
        <v>4366</v>
      </c>
      <c r="B23" s="322" t="s">
        <v>11</v>
      </c>
      <c r="C23" s="322" t="s">
        <v>44</v>
      </c>
      <c r="D23" s="322" t="s">
        <v>76</v>
      </c>
      <c r="E23" s="323" t="s">
        <v>53</v>
      </c>
      <c r="F23" s="322"/>
      <c r="G23" s="323" t="s">
        <v>1300</v>
      </c>
      <c r="H23" s="371" t="s">
        <v>54</v>
      </c>
      <c r="I23" s="325"/>
      <c r="J23" s="323"/>
      <c r="K23" s="326"/>
      <c r="L23" s="327" t="s">
        <v>78</v>
      </c>
      <c r="M23" s="322" t="s">
        <v>77</v>
      </c>
      <c r="N23" s="322"/>
      <c r="O23" s="322" t="s">
        <v>77</v>
      </c>
      <c r="P23" s="328" t="s">
        <v>77</v>
      </c>
      <c r="Q23" s="327"/>
      <c r="R23" s="322"/>
      <c r="S23" s="322"/>
      <c r="T23" s="322"/>
      <c r="U23" s="329" t="s">
        <v>80</v>
      </c>
      <c r="V23" s="321"/>
      <c r="W23" s="372"/>
      <c r="X23" s="372"/>
      <c r="Y23" s="372"/>
      <c r="Z23" s="373"/>
      <c r="AA23" s="374"/>
      <c r="AB23" s="372"/>
      <c r="AC23" s="372"/>
      <c r="AD23" s="372"/>
      <c r="AE23" s="371"/>
      <c r="AF23" s="375"/>
      <c r="AG23" s="372"/>
      <c r="AH23" s="372"/>
      <c r="AI23" s="372"/>
      <c r="AJ23" s="373"/>
      <c r="AK23" s="374"/>
      <c r="AL23" s="372"/>
      <c r="AM23" s="372"/>
      <c r="AN23" s="372"/>
      <c r="AO23" s="371"/>
      <c r="AP23" s="375"/>
      <c r="AQ23" s="372"/>
      <c r="AR23" s="372"/>
      <c r="AS23" s="372"/>
      <c r="AT23" s="373"/>
      <c r="AU23" s="374"/>
      <c r="AV23" s="372"/>
      <c r="AW23" s="372"/>
      <c r="AX23" s="372"/>
      <c r="AY23" s="371"/>
      <c r="AZ23" s="375"/>
      <c r="BA23" s="372"/>
      <c r="BB23" s="372"/>
      <c r="BC23" s="372"/>
      <c r="BD23" s="373"/>
      <c r="BE23" s="374"/>
      <c r="BF23" s="372"/>
      <c r="BG23" s="372"/>
      <c r="BH23" s="372"/>
      <c r="BI23" s="371"/>
      <c r="BJ23" s="375"/>
      <c r="BK23" s="372"/>
      <c r="BL23" s="372"/>
      <c r="BM23" s="372"/>
      <c r="BN23" s="373"/>
      <c r="BO23" s="374"/>
      <c r="BP23" s="372"/>
      <c r="BQ23" s="372"/>
      <c r="BR23" s="372"/>
      <c r="BS23" s="371"/>
      <c r="BT23" s="375"/>
      <c r="BU23" s="372"/>
      <c r="BV23" s="372"/>
      <c r="BW23" s="372"/>
      <c r="BX23" s="373"/>
      <c r="BY23" s="374"/>
      <c r="BZ23" s="372"/>
      <c r="CA23" s="372"/>
      <c r="CB23" s="372"/>
      <c r="CC23" s="371"/>
      <c r="CD23" s="375"/>
      <c r="CE23" s="372"/>
      <c r="CF23" s="372"/>
      <c r="CG23" s="372"/>
      <c r="CH23" s="371"/>
      <c r="CI23" s="375"/>
      <c r="CJ23" s="372"/>
      <c r="CK23" s="372"/>
      <c r="CL23" s="372"/>
      <c r="CM23" s="373"/>
    </row>
    <row r="24" spans="1:118" ht="25.5" customHeight="1" thickBot="1">
      <c r="A24" s="331">
        <v>4367</v>
      </c>
      <c r="B24" s="332" t="s">
        <v>11</v>
      </c>
      <c r="C24" s="332" t="s">
        <v>44</v>
      </c>
      <c r="D24" s="332" t="s">
        <v>76</v>
      </c>
      <c r="E24" s="333" t="s">
        <v>53</v>
      </c>
      <c r="F24" s="332"/>
      <c r="G24" s="333" t="s">
        <v>1302</v>
      </c>
      <c r="H24" s="376" t="s">
        <v>54</v>
      </c>
      <c r="I24" s="335"/>
      <c r="J24" s="333"/>
      <c r="K24" s="336"/>
      <c r="L24" s="337" t="s">
        <v>78</v>
      </c>
      <c r="M24" s="332" t="s">
        <v>77</v>
      </c>
      <c r="N24" s="332"/>
      <c r="O24" s="332" t="s">
        <v>77</v>
      </c>
      <c r="P24" s="338" t="s">
        <v>77</v>
      </c>
      <c r="Q24" s="337"/>
      <c r="R24" s="332"/>
      <c r="S24" s="332"/>
      <c r="T24" s="332"/>
      <c r="U24" s="339" t="s">
        <v>80</v>
      </c>
      <c r="V24" s="331"/>
      <c r="W24" s="377"/>
      <c r="X24" s="377"/>
      <c r="Y24" s="377"/>
      <c r="Z24" s="378"/>
      <c r="AA24" s="379"/>
      <c r="AB24" s="377"/>
      <c r="AC24" s="377"/>
      <c r="AD24" s="377"/>
      <c r="AE24" s="376"/>
      <c r="AF24" s="380"/>
      <c r="AG24" s="377"/>
      <c r="AH24" s="377"/>
      <c r="AI24" s="377"/>
      <c r="AJ24" s="378"/>
      <c r="AK24" s="379"/>
      <c r="AL24" s="377"/>
      <c r="AM24" s="377"/>
      <c r="AN24" s="377"/>
      <c r="AO24" s="376"/>
      <c r="AP24" s="380"/>
      <c r="AQ24" s="377"/>
      <c r="AR24" s="377"/>
      <c r="AS24" s="377"/>
      <c r="AT24" s="378"/>
      <c r="AU24" s="379"/>
      <c r="AV24" s="377"/>
      <c r="AW24" s="377"/>
      <c r="AX24" s="377"/>
      <c r="AY24" s="376"/>
      <c r="AZ24" s="380"/>
      <c r="BA24" s="377"/>
      <c r="BB24" s="377"/>
      <c r="BC24" s="377"/>
      <c r="BD24" s="378"/>
      <c r="BE24" s="379"/>
      <c r="BF24" s="377"/>
      <c r="BG24" s="377"/>
      <c r="BH24" s="377"/>
      <c r="BI24" s="376"/>
      <c r="BJ24" s="380"/>
      <c r="BK24" s="377"/>
      <c r="BL24" s="377"/>
      <c r="BM24" s="377"/>
      <c r="BN24" s="378"/>
      <c r="BO24" s="379"/>
      <c r="BP24" s="377"/>
      <c r="BQ24" s="377"/>
      <c r="BR24" s="377"/>
      <c r="BS24" s="376"/>
      <c r="BT24" s="380"/>
      <c r="BU24" s="377"/>
      <c r="BV24" s="377"/>
      <c r="BW24" s="377"/>
      <c r="BX24" s="378"/>
      <c r="BY24" s="379"/>
      <c r="BZ24" s="377"/>
      <c r="CA24" s="377"/>
      <c r="CB24" s="377"/>
      <c r="CC24" s="376"/>
      <c r="CD24" s="380"/>
      <c r="CE24" s="377"/>
      <c r="CF24" s="377"/>
      <c r="CG24" s="377"/>
      <c r="CH24" s="376"/>
      <c r="CI24" s="380"/>
      <c r="CJ24" s="377"/>
      <c r="CK24" s="377"/>
      <c r="CL24" s="377"/>
      <c r="CM24" s="378"/>
    </row>
    <row r="25" spans="1:118" ht="25.5" customHeight="1">
      <c r="A25" s="341">
        <v>4368</v>
      </c>
      <c r="B25" s="342" t="s">
        <v>11</v>
      </c>
      <c r="C25" s="342" t="s">
        <v>44</v>
      </c>
      <c r="D25" s="342" t="s">
        <v>76</v>
      </c>
      <c r="E25" s="343" t="s">
        <v>53</v>
      </c>
      <c r="F25" s="342"/>
      <c r="G25" s="343" t="s">
        <v>1304</v>
      </c>
      <c r="H25" s="344" t="s">
        <v>54</v>
      </c>
      <c r="I25" s="345"/>
      <c r="J25" s="343"/>
      <c r="K25" s="346"/>
      <c r="L25" s="347" t="s">
        <v>78</v>
      </c>
      <c r="M25" s="342" t="s">
        <v>77</v>
      </c>
      <c r="N25" s="342"/>
      <c r="O25" s="342" t="s">
        <v>77</v>
      </c>
      <c r="P25" s="348" t="s">
        <v>77</v>
      </c>
      <c r="Q25" s="347"/>
      <c r="R25" s="342"/>
      <c r="S25" s="342"/>
      <c r="T25" s="342"/>
      <c r="U25" s="349" t="s">
        <v>80</v>
      </c>
      <c r="V25" s="341"/>
      <c r="W25" s="381"/>
      <c r="X25" s="381"/>
      <c r="Y25" s="381"/>
      <c r="Z25" s="382"/>
      <c r="AA25" s="383"/>
      <c r="AB25" s="381"/>
      <c r="AC25" s="381"/>
      <c r="AD25" s="381"/>
      <c r="AE25" s="384"/>
      <c r="AF25" s="385"/>
      <c r="AG25" s="381"/>
      <c r="AH25" s="381"/>
      <c r="AI25" s="381"/>
      <c r="AJ25" s="382"/>
      <c r="AK25" s="383"/>
      <c r="AL25" s="381"/>
      <c r="AM25" s="381"/>
      <c r="AN25" s="381"/>
      <c r="AO25" s="384"/>
      <c r="AP25" s="385"/>
      <c r="AQ25" s="381"/>
      <c r="AR25" s="381"/>
      <c r="AS25" s="381"/>
      <c r="AT25" s="382"/>
      <c r="AU25" s="383"/>
      <c r="AV25" s="381"/>
      <c r="AW25" s="381"/>
      <c r="AX25" s="381"/>
      <c r="AY25" s="384"/>
      <c r="AZ25" s="385"/>
      <c r="BA25" s="381"/>
      <c r="BB25" s="381"/>
      <c r="BC25" s="381"/>
      <c r="BD25" s="382"/>
      <c r="BE25" s="383"/>
      <c r="BF25" s="381"/>
      <c r="BG25" s="381"/>
      <c r="BH25" s="381"/>
      <c r="BI25" s="384"/>
      <c r="BJ25" s="385"/>
      <c r="BK25" s="381"/>
      <c r="BL25" s="381"/>
      <c r="BM25" s="381"/>
      <c r="BN25" s="382"/>
      <c r="BO25" s="383"/>
      <c r="BP25" s="381"/>
      <c r="BQ25" s="381"/>
      <c r="BR25" s="381"/>
      <c r="BS25" s="384"/>
      <c r="BT25" s="385"/>
      <c r="BU25" s="381"/>
      <c r="BV25" s="381"/>
      <c r="BW25" s="381"/>
      <c r="BX25" s="382"/>
      <c r="BY25" s="383"/>
      <c r="BZ25" s="381"/>
      <c r="CA25" s="381"/>
      <c r="CB25" s="381"/>
      <c r="CC25" s="384"/>
      <c r="CD25" s="385"/>
      <c r="CE25" s="381"/>
      <c r="CF25" s="381"/>
      <c r="CG25" s="381"/>
      <c r="CH25" s="384"/>
      <c r="CI25" s="385"/>
      <c r="CJ25" s="381"/>
      <c r="CK25" s="381"/>
      <c r="CL25" s="381"/>
      <c r="CM25" s="382"/>
    </row>
    <row r="26" spans="1:118" ht="25.5" customHeight="1">
      <c r="A26" s="386">
        <v>4369</v>
      </c>
      <c r="B26" s="387" t="s">
        <v>11</v>
      </c>
      <c r="C26" s="387" t="s">
        <v>44</v>
      </c>
      <c r="D26" s="387" t="s">
        <v>76</v>
      </c>
      <c r="E26" s="372" t="s">
        <v>53</v>
      </c>
      <c r="F26" s="387"/>
      <c r="G26" s="372" t="s">
        <v>1306</v>
      </c>
      <c r="H26" s="371" t="s">
        <v>54</v>
      </c>
      <c r="I26" s="375"/>
      <c r="J26" s="372"/>
      <c r="K26" s="373"/>
      <c r="L26" s="388" t="s">
        <v>78</v>
      </c>
      <c r="M26" s="387" t="s">
        <v>77</v>
      </c>
      <c r="N26" s="387"/>
      <c r="O26" s="387" t="s">
        <v>77</v>
      </c>
      <c r="P26" s="389" t="s">
        <v>77</v>
      </c>
      <c r="Q26" s="388"/>
      <c r="R26" s="387"/>
      <c r="S26" s="387"/>
      <c r="T26" s="387"/>
      <c r="U26" s="390" t="s">
        <v>80</v>
      </c>
      <c r="V26" s="386"/>
      <c r="W26" s="372"/>
      <c r="X26" s="372"/>
      <c r="Y26" s="372"/>
      <c r="Z26" s="373"/>
      <c r="AA26" s="374"/>
      <c r="AB26" s="372"/>
      <c r="AC26" s="372"/>
      <c r="AD26" s="372"/>
      <c r="AE26" s="371"/>
      <c r="AF26" s="375"/>
      <c r="AG26" s="372"/>
      <c r="AH26" s="372"/>
      <c r="AI26" s="372"/>
      <c r="AJ26" s="373"/>
      <c r="AK26" s="374"/>
      <c r="AL26" s="372"/>
      <c r="AM26" s="372"/>
      <c r="AN26" s="372"/>
      <c r="AO26" s="371"/>
      <c r="AP26" s="375"/>
      <c r="AQ26" s="372"/>
      <c r="AR26" s="372"/>
      <c r="AS26" s="372"/>
      <c r="AT26" s="373"/>
      <c r="AU26" s="374"/>
      <c r="AV26" s="372"/>
      <c r="AW26" s="372"/>
      <c r="AX26" s="372"/>
      <c r="AY26" s="371"/>
      <c r="AZ26" s="375"/>
      <c r="BA26" s="372"/>
      <c r="BB26" s="372"/>
      <c r="BC26" s="372"/>
      <c r="BD26" s="373"/>
      <c r="BE26" s="374"/>
      <c r="BF26" s="372"/>
      <c r="BG26" s="372"/>
      <c r="BH26" s="372"/>
      <c r="BI26" s="371"/>
      <c r="BJ26" s="375"/>
      <c r="BK26" s="372"/>
      <c r="BL26" s="372"/>
      <c r="BM26" s="372"/>
      <c r="BN26" s="373"/>
      <c r="BO26" s="374"/>
      <c r="BP26" s="372"/>
      <c r="BQ26" s="372"/>
      <c r="BR26" s="372"/>
      <c r="BS26" s="371"/>
      <c r="BT26" s="375"/>
      <c r="BU26" s="372"/>
      <c r="BV26" s="372"/>
      <c r="BW26" s="372"/>
      <c r="BX26" s="373"/>
      <c r="BY26" s="374"/>
      <c r="BZ26" s="372"/>
      <c r="CA26" s="372"/>
      <c r="CB26" s="372"/>
      <c r="CC26" s="371"/>
      <c r="CD26" s="375"/>
      <c r="CE26" s="372"/>
      <c r="CF26" s="372"/>
      <c r="CG26" s="372"/>
      <c r="CH26" s="371"/>
      <c r="CI26" s="375"/>
      <c r="CJ26" s="372"/>
      <c r="CK26" s="372"/>
      <c r="CL26" s="372"/>
      <c r="CM26" s="373"/>
    </row>
    <row r="27" spans="1:118" ht="25.5" customHeight="1">
      <c r="A27" s="386">
        <v>4370</v>
      </c>
      <c r="B27" s="387" t="s">
        <v>11</v>
      </c>
      <c r="C27" s="387" t="s">
        <v>44</v>
      </c>
      <c r="D27" s="387" t="s">
        <v>76</v>
      </c>
      <c r="E27" s="372" t="s">
        <v>53</v>
      </c>
      <c r="F27" s="387"/>
      <c r="G27" s="372" t="s">
        <v>1308</v>
      </c>
      <c r="H27" s="371" t="s">
        <v>54</v>
      </c>
      <c r="I27" s="375"/>
      <c r="J27" s="372"/>
      <c r="K27" s="373"/>
      <c r="L27" s="388" t="s">
        <v>78</v>
      </c>
      <c r="M27" s="387" t="s">
        <v>77</v>
      </c>
      <c r="N27" s="387"/>
      <c r="O27" s="387" t="s">
        <v>77</v>
      </c>
      <c r="P27" s="389" t="s">
        <v>77</v>
      </c>
      <c r="Q27" s="388"/>
      <c r="R27" s="387"/>
      <c r="S27" s="387"/>
      <c r="T27" s="387"/>
      <c r="U27" s="390" t="s">
        <v>80</v>
      </c>
      <c r="V27" s="386"/>
      <c r="W27" s="372"/>
      <c r="X27" s="372"/>
      <c r="Y27" s="372"/>
      <c r="Z27" s="373"/>
      <c r="AA27" s="374"/>
      <c r="AB27" s="372"/>
      <c r="AC27" s="372"/>
      <c r="AD27" s="372"/>
      <c r="AE27" s="371"/>
      <c r="AF27" s="375"/>
      <c r="AG27" s="372"/>
      <c r="AH27" s="372"/>
      <c r="AI27" s="372"/>
      <c r="AJ27" s="373"/>
      <c r="AK27" s="374"/>
      <c r="AL27" s="372"/>
      <c r="AM27" s="372"/>
      <c r="AN27" s="372"/>
      <c r="AO27" s="371"/>
      <c r="AP27" s="375"/>
      <c r="AQ27" s="372"/>
      <c r="AR27" s="372"/>
      <c r="AS27" s="372"/>
      <c r="AT27" s="373"/>
      <c r="AU27" s="374"/>
      <c r="AV27" s="372"/>
      <c r="AW27" s="372"/>
      <c r="AX27" s="372"/>
      <c r="AY27" s="371"/>
      <c r="AZ27" s="375"/>
      <c r="BA27" s="372"/>
      <c r="BB27" s="372"/>
      <c r="BC27" s="372"/>
      <c r="BD27" s="373"/>
      <c r="BE27" s="374"/>
      <c r="BF27" s="372"/>
      <c r="BG27" s="372"/>
      <c r="BH27" s="372"/>
      <c r="BI27" s="371"/>
      <c r="BJ27" s="375"/>
      <c r="BK27" s="372"/>
      <c r="BL27" s="372"/>
      <c r="BM27" s="372"/>
      <c r="BN27" s="373"/>
      <c r="BO27" s="374"/>
      <c r="BP27" s="372"/>
      <c r="BQ27" s="372"/>
      <c r="BR27" s="372"/>
      <c r="BS27" s="371"/>
      <c r="BT27" s="375"/>
      <c r="BU27" s="372"/>
      <c r="BV27" s="372"/>
      <c r="BW27" s="372"/>
      <c r="BX27" s="373"/>
      <c r="BY27" s="374"/>
      <c r="BZ27" s="372"/>
      <c r="CA27" s="372"/>
      <c r="CB27" s="372"/>
      <c r="CC27" s="371"/>
      <c r="CD27" s="375"/>
      <c r="CE27" s="372"/>
      <c r="CF27" s="372"/>
      <c r="CG27" s="372"/>
      <c r="CH27" s="371"/>
      <c r="CI27" s="375"/>
      <c r="CJ27" s="372"/>
      <c r="CK27" s="372"/>
      <c r="CL27" s="372"/>
      <c r="CM27" s="373"/>
    </row>
    <row r="28" spans="1:118" ht="25.5" customHeight="1">
      <c r="A28" s="386">
        <v>4371</v>
      </c>
      <c r="B28" s="387" t="s">
        <v>11</v>
      </c>
      <c r="C28" s="387" t="s">
        <v>44</v>
      </c>
      <c r="D28" s="387" t="s">
        <v>76</v>
      </c>
      <c r="E28" s="372" t="s">
        <v>53</v>
      </c>
      <c r="F28" s="387"/>
      <c r="G28" s="372" t="s">
        <v>1310</v>
      </c>
      <c r="H28" s="371" t="s">
        <v>54</v>
      </c>
      <c r="I28" s="375"/>
      <c r="J28" s="372"/>
      <c r="K28" s="373"/>
      <c r="L28" s="388" t="s">
        <v>78</v>
      </c>
      <c r="M28" s="387" t="s">
        <v>77</v>
      </c>
      <c r="N28" s="387"/>
      <c r="O28" s="387" t="s">
        <v>77</v>
      </c>
      <c r="P28" s="389" t="s">
        <v>77</v>
      </c>
      <c r="Q28" s="388"/>
      <c r="R28" s="387"/>
      <c r="S28" s="387"/>
      <c r="T28" s="387"/>
      <c r="U28" s="390" t="s">
        <v>80</v>
      </c>
      <c r="V28" s="386"/>
      <c r="W28" s="372"/>
      <c r="X28" s="372"/>
      <c r="Y28" s="372"/>
      <c r="Z28" s="373"/>
      <c r="AA28" s="374"/>
      <c r="AB28" s="372"/>
      <c r="AC28" s="372"/>
      <c r="AD28" s="372"/>
      <c r="AE28" s="371"/>
      <c r="AF28" s="375"/>
      <c r="AG28" s="372"/>
      <c r="AH28" s="372"/>
      <c r="AI28" s="372"/>
      <c r="AJ28" s="373"/>
      <c r="AK28" s="374"/>
      <c r="AL28" s="372"/>
      <c r="AM28" s="372"/>
      <c r="AN28" s="372"/>
      <c r="AO28" s="371"/>
      <c r="AP28" s="375"/>
      <c r="AQ28" s="372"/>
      <c r="AR28" s="372"/>
      <c r="AS28" s="372"/>
      <c r="AT28" s="373"/>
      <c r="AU28" s="374"/>
      <c r="AV28" s="372"/>
      <c r="AW28" s="372"/>
      <c r="AX28" s="372"/>
      <c r="AY28" s="371"/>
      <c r="AZ28" s="375"/>
      <c r="BA28" s="372"/>
      <c r="BB28" s="372"/>
      <c r="BC28" s="372"/>
      <c r="BD28" s="373"/>
      <c r="BE28" s="374"/>
      <c r="BF28" s="372"/>
      <c r="BG28" s="372"/>
      <c r="BH28" s="372"/>
      <c r="BI28" s="371"/>
      <c r="BJ28" s="375"/>
      <c r="BK28" s="372"/>
      <c r="BL28" s="372"/>
      <c r="BM28" s="372"/>
      <c r="BN28" s="373"/>
      <c r="BO28" s="374"/>
      <c r="BP28" s="372"/>
      <c r="BQ28" s="372"/>
      <c r="BR28" s="372"/>
      <c r="BS28" s="371"/>
      <c r="BT28" s="375"/>
      <c r="BU28" s="372"/>
      <c r="BV28" s="372"/>
      <c r="BW28" s="372"/>
      <c r="BX28" s="373"/>
      <c r="BY28" s="374"/>
      <c r="BZ28" s="372"/>
      <c r="CA28" s="372"/>
      <c r="CB28" s="372"/>
      <c r="CC28" s="371"/>
      <c r="CD28" s="375"/>
      <c r="CE28" s="372"/>
      <c r="CF28" s="372"/>
      <c r="CG28" s="372"/>
      <c r="CH28" s="371"/>
      <c r="CI28" s="375"/>
      <c r="CJ28" s="372"/>
      <c r="CK28" s="372"/>
      <c r="CL28" s="372"/>
      <c r="CM28" s="373"/>
    </row>
    <row r="29" spans="1:118" ht="25.5" customHeight="1" thickBot="1">
      <c r="A29" s="391">
        <v>4372</v>
      </c>
      <c r="B29" s="392" t="s">
        <v>11</v>
      </c>
      <c r="C29" s="392" t="s">
        <v>44</v>
      </c>
      <c r="D29" s="392" t="s">
        <v>76</v>
      </c>
      <c r="E29" s="393" t="s">
        <v>53</v>
      </c>
      <c r="F29" s="392"/>
      <c r="G29" s="393" t="s">
        <v>1312</v>
      </c>
      <c r="H29" s="394" t="s">
        <v>54</v>
      </c>
      <c r="I29" s="395"/>
      <c r="J29" s="393"/>
      <c r="K29" s="396"/>
      <c r="L29" s="397" t="s">
        <v>78</v>
      </c>
      <c r="M29" s="392" t="s">
        <v>77</v>
      </c>
      <c r="N29" s="392"/>
      <c r="O29" s="392" t="s">
        <v>77</v>
      </c>
      <c r="P29" s="398" t="s">
        <v>77</v>
      </c>
      <c r="Q29" s="397"/>
      <c r="R29" s="392"/>
      <c r="S29" s="392"/>
      <c r="T29" s="392"/>
      <c r="U29" s="399" t="s">
        <v>80</v>
      </c>
      <c r="V29" s="391"/>
      <c r="W29" s="393"/>
      <c r="X29" s="393"/>
      <c r="Y29" s="393"/>
      <c r="Z29" s="396"/>
      <c r="AA29" s="400"/>
      <c r="AB29" s="393"/>
      <c r="AC29" s="393"/>
      <c r="AD29" s="393"/>
      <c r="AE29" s="394"/>
      <c r="AF29" s="395"/>
      <c r="AG29" s="393"/>
      <c r="AH29" s="393"/>
      <c r="AI29" s="393"/>
      <c r="AJ29" s="396"/>
      <c r="AK29" s="400"/>
      <c r="AL29" s="393"/>
      <c r="AM29" s="393"/>
      <c r="AN29" s="393"/>
      <c r="AO29" s="394"/>
      <c r="AP29" s="395"/>
      <c r="AQ29" s="393"/>
      <c r="AR29" s="393"/>
      <c r="AS29" s="393"/>
      <c r="AT29" s="396"/>
      <c r="AU29" s="400"/>
      <c r="AV29" s="393"/>
      <c r="AW29" s="393"/>
      <c r="AX29" s="393"/>
      <c r="AY29" s="394"/>
      <c r="AZ29" s="395"/>
      <c r="BA29" s="393"/>
      <c r="BB29" s="393"/>
      <c r="BC29" s="393"/>
      <c r="BD29" s="396"/>
      <c r="BE29" s="400"/>
      <c r="BF29" s="393"/>
      <c r="BG29" s="393"/>
      <c r="BH29" s="393"/>
      <c r="BI29" s="394"/>
      <c r="BJ29" s="395"/>
      <c r="BK29" s="393"/>
      <c r="BL29" s="393"/>
      <c r="BM29" s="393"/>
      <c r="BN29" s="396"/>
      <c r="BO29" s="400"/>
      <c r="BP29" s="393"/>
      <c r="BQ29" s="393"/>
      <c r="BR29" s="393"/>
      <c r="BS29" s="394"/>
      <c r="BT29" s="395"/>
      <c r="BU29" s="393"/>
      <c r="BV29" s="393"/>
      <c r="BW29" s="393"/>
      <c r="BX29" s="396"/>
      <c r="BY29" s="400"/>
      <c r="BZ29" s="393"/>
      <c r="CA29" s="393"/>
      <c r="CB29" s="393"/>
      <c r="CC29" s="394"/>
      <c r="CD29" s="395"/>
      <c r="CE29" s="393"/>
      <c r="CF29" s="393"/>
      <c r="CG29" s="393"/>
      <c r="CH29" s="394"/>
      <c r="CI29" s="395"/>
      <c r="CJ29" s="393"/>
      <c r="CK29" s="393"/>
      <c r="CL29" s="393"/>
      <c r="CM29" s="396"/>
    </row>
    <row r="30" spans="1:118" ht="25.5" customHeight="1">
      <c r="A30" s="401">
        <v>4373</v>
      </c>
      <c r="B30" s="402" t="s">
        <v>11</v>
      </c>
      <c r="C30" s="402" t="s">
        <v>44</v>
      </c>
      <c r="D30" s="402" t="s">
        <v>76</v>
      </c>
      <c r="E30" s="403" t="s">
        <v>53</v>
      </c>
      <c r="F30" s="402"/>
      <c r="G30" s="403" t="s">
        <v>1314</v>
      </c>
      <c r="H30" s="404" t="s">
        <v>54</v>
      </c>
      <c r="I30" s="405"/>
      <c r="J30" s="403"/>
      <c r="K30" s="406"/>
      <c r="L30" s="407" t="s">
        <v>78</v>
      </c>
      <c r="M30" s="402" t="s">
        <v>77</v>
      </c>
      <c r="N30" s="402"/>
      <c r="O30" s="402" t="s">
        <v>77</v>
      </c>
      <c r="P30" s="408" t="s">
        <v>77</v>
      </c>
      <c r="Q30" s="407"/>
      <c r="R30" s="402"/>
      <c r="S30" s="402"/>
      <c r="T30" s="402"/>
      <c r="U30" s="409" t="s">
        <v>80</v>
      </c>
      <c r="V30" s="401"/>
      <c r="W30" s="403"/>
      <c r="X30" s="403"/>
      <c r="Y30" s="403"/>
      <c r="Z30" s="406"/>
      <c r="AA30" s="410"/>
      <c r="AB30" s="403"/>
      <c r="AC30" s="403"/>
      <c r="AD30" s="403"/>
      <c r="AE30" s="404"/>
      <c r="AF30" s="405"/>
      <c r="AG30" s="403"/>
      <c r="AH30" s="403"/>
      <c r="AI30" s="403"/>
      <c r="AJ30" s="406"/>
      <c r="AK30" s="410"/>
      <c r="AL30" s="403"/>
      <c r="AM30" s="403"/>
      <c r="AN30" s="403"/>
      <c r="AO30" s="404"/>
      <c r="AP30" s="405"/>
      <c r="AQ30" s="403"/>
      <c r="AR30" s="403"/>
      <c r="AS30" s="403"/>
      <c r="AT30" s="406"/>
      <c r="AU30" s="410"/>
      <c r="AV30" s="403"/>
      <c r="AW30" s="403"/>
      <c r="AX30" s="403"/>
      <c r="AY30" s="404"/>
      <c r="AZ30" s="405"/>
      <c r="BA30" s="403"/>
      <c r="BB30" s="403"/>
      <c r="BC30" s="403"/>
      <c r="BD30" s="406"/>
      <c r="BE30" s="410"/>
      <c r="BF30" s="403"/>
      <c r="BG30" s="403"/>
      <c r="BH30" s="403"/>
      <c r="BI30" s="404"/>
      <c r="BJ30" s="405"/>
      <c r="BK30" s="403"/>
      <c r="BL30" s="403"/>
      <c r="BM30" s="403"/>
      <c r="BN30" s="406"/>
      <c r="BO30" s="410"/>
      <c r="BP30" s="403"/>
      <c r="BQ30" s="403"/>
      <c r="BR30" s="403"/>
      <c r="BS30" s="404"/>
      <c r="BT30" s="405"/>
      <c r="BU30" s="403"/>
      <c r="BV30" s="403"/>
      <c r="BW30" s="403"/>
      <c r="BX30" s="406"/>
      <c r="BY30" s="410"/>
      <c r="BZ30" s="403"/>
      <c r="CA30" s="403"/>
      <c r="CB30" s="403"/>
      <c r="CC30" s="404"/>
      <c r="CD30" s="405"/>
      <c r="CE30" s="403"/>
      <c r="CF30" s="403"/>
      <c r="CG30" s="403"/>
      <c r="CH30" s="404"/>
      <c r="CI30" s="405"/>
      <c r="CJ30" s="403"/>
      <c r="CK30" s="403"/>
      <c r="CL30" s="403"/>
      <c r="CM30" s="406"/>
    </row>
    <row r="31" spans="1:118" ht="25.5" customHeight="1">
      <c r="A31" s="386">
        <v>4374</v>
      </c>
      <c r="B31" s="387" t="s">
        <v>11</v>
      </c>
      <c r="C31" s="387" t="s">
        <v>44</v>
      </c>
      <c r="D31" s="387" t="s">
        <v>76</v>
      </c>
      <c r="E31" s="372" t="s">
        <v>53</v>
      </c>
      <c r="F31" s="387"/>
      <c r="G31" s="372" t="s">
        <v>1316</v>
      </c>
      <c r="H31" s="371" t="s">
        <v>54</v>
      </c>
      <c r="I31" s="375"/>
      <c r="J31" s="372"/>
      <c r="K31" s="373"/>
      <c r="L31" s="388" t="s">
        <v>78</v>
      </c>
      <c r="M31" s="387" t="s">
        <v>77</v>
      </c>
      <c r="N31" s="387"/>
      <c r="O31" s="387" t="s">
        <v>77</v>
      </c>
      <c r="P31" s="389" t="s">
        <v>77</v>
      </c>
      <c r="Q31" s="388"/>
      <c r="R31" s="387"/>
      <c r="S31" s="387"/>
      <c r="T31" s="387"/>
      <c r="U31" s="390" t="s">
        <v>80</v>
      </c>
      <c r="V31" s="386"/>
      <c r="W31" s="372"/>
      <c r="X31" s="372"/>
      <c r="Y31" s="372"/>
      <c r="Z31" s="373"/>
      <c r="AA31" s="374"/>
      <c r="AB31" s="372"/>
      <c r="AC31" s="372"/>
      <c r="AD31" s="372"/>
      <c r="AE31" s="371"/>
      <c r="AF31" s="375"/>
      <c r="AG31" s="372"/>
      <c r="AH31" s="372"/>
      <c r="AI31" s="372"/>
      <c r="AJ31" s="373"/>
      <c r="AK31" s="374"/>
      <c r="AL31" s="372"/>
      <c r="AM31" s="372"/>
      <c r="AN31" s="372"/>
      <c r="AO31" s="371"/>
      <c r="AP31" s="375"/>
      <c r="AQ31" s="372"/>
      <c r="AR31" s="372"/>
      <c r="AS31" s="372"/>
      <c r="AT31" s="373"/>
      <c r="AU31" s="374"/>
      <c r="AV31" s="372"/>
      <c r="AW31" s="372"/>
      <c r="AX31" s="372"/>
      <c r="AY31" s="371"/>
      <c r="AZ31" s="375"/>
      <c r="BA31" s="372"/>
      <c r="BB31" s="372"/>
      <c r="BC31" s="372"/>
      <c r="BD31" s="373"/>
      <c r="BE31" s="374"/>
      <c r="BF31" s="372"/>
      <c r="BG31" s="372"/>
      <c r="BH31" s="372"/>
      <c r="BI31" s="371"/>
      <c r="BJ31" s="375"/>
      <c r="BK31" s="372"/>
      <c r="BL31" s="372"/>
      <c r="BM31" s="372"/>
      <c r="BN31" s="373"/>
      <c r="BO31" s="374"/>
      <c r="BP31" s="372"/>
      <c r="BQ31" s="372"/>
      <c r="BR31" s="372"/>
      <c r="BS31" s="371"/>
      <c r="BT31" s="375"/>
      <c r="BU31" s="372"/>
      <c r="BV31" s="372"/>
      <c r="BW31" s="372"/>
      <c r="BX31" s="373"/>
      <c r="BY31" s="374"/>
      <c r="BZ31" s="372"/>
      <c r="CA31" s="372"/>
      <c r="CB31" s="372"/>
      <c r="CC31" s="371"/>
      <c r="CD31" s="375"/>
      <c r="CE31" s="372"/>
      <c r="CF31" s="372"/>
      <c r="CG31" s="372"/>
      <c r="CH31" s="371"/>
      <c r="CI31" s="375"/>
      <c r="CJ31" s="372"/>
      <c r="CK31" s="372"/>
      <c r="CL31" s="372"/>
      <c r="CM31" s="373"/>
    </row>
    <row r="32" spans="1:118" ht="25.5" customHeight="1">
      <c r="A32" s="386">
        <v>4375</v>
      </c>
      <c r="B32" s="387" t="s">
        <v>11</v>
      </c>
      <c r="C32" s="387" t="s">
        <v>44</v>
      </c>
      <c r="D32" s="387" t="s">
        <v>76</v>
      </c>
      <c r="E32" s="372" t="s">
        <v>53</v>
      </c>
      <c r="F32" s="387"/>
      <c r="G32" s="372" t="s">
        <v>1318</v>
      </c>
      <c r="H32" s="371" t="s">
        <v>54</v>
      </c>
      <c r="I32" s="375"/>
      <c r="J32" s="372"/>
      <c r="K32" s="373"/>
      <c r="L32" s="388" t="s">
        <v>78</v>
      </c>
      <c r="M32" s="387" t="s">
        <v>77</v>
      </c>
      <c r="N32" s="387"/>
      <c r="O32" s="387" t="s">
        <v>77</v>
      </c>
      <c r="P32" s="389" t="s">
        <v>77</v>
      </c>
      <c r="Q32" s="388"/>
      <c r="R32" s="387"/>
      <c r="S32" s="387"/>
      <c r="T32" s="387"/>
      <c r="U32" s="390" t="s">
        <v>80</v>
      </c>
      <c r="V32" s="386"/>
      <c r="W32" s="372"/>
      <c r="X32" s="372"/>
      <c r="Y32" s="372"/>
      <c r="Z32" s="373"/>
      <c r="AA32" s="374"/>
      <c r="AB32" s="372"/>
      <c r="AC32" s="372"/>
      <c r="AD32" s="372"/>
      <c r="AE32" s="371"/>
      <c r="AF32" s="375"/>
      <c r="AG32" s="372"/>
      <c r="AH32" s="372"/>
      <c r="AI32" s="372"/>
      <c r="AJ32" s="373"/>
      <c r="AK32" s="374"/>
      <c r="AL32" s="372"/>
      <c r="AM32" s="372"/>
      <c r="AN32" s="372"/>
      <c r="AO32" s="371"/>
      <c r="AP32" s="375"/>
      <c r="AQ32" s="372"/>
      <c r="AR32" s="372"/>
      <c r="AS32" s="372"/>
      <c r="AT32" s="373"/>
      <c r="AU32" s="374"/>
      <c r="AV32" s="372"/>
      <c r="AW32" s="372"/>
      <c r="AX32" s="372"/>
      <c r="AY32" s="371"/>
      <c r="AZ32" s="375"/>
      <c r="BA32" s="372"/>
      <c r="BB32" s="372"/>
      <c r="BC32" s="372"/>
      <c r="BD32" s="373"/>
      <c r="BE32" s="374"/>
      <c r="BF32" s="372"/>
      <c r="BG32" s="372"/>
      <c r="BH32" s="372"/>
      <c r="BI32" s="371"/>
      <c r="BJ32" s="375"/>
      <c r="BK32" s="372"/>
      <c r="BL32" s="372"/>
      <c r="BM32" s="372"/>
      <c r="BN32" s="373"/>
      <c r="BO32" s="374"/>
      <c r="BP32" s="372"/>
      <c r="BQ32" s="372"/>
      <c r="BR32" s="372"/>
      <c r="BS32" s="371"/>
      <c r="BT32" s="375"/>
      <c r="BU32" s="372"/>
      <c r="BV32" s="372"/>
      <c r="BW32" s="372"/>
      <c r="BX32" s="373"/>
      <c r="BY32" s="374"/>
      <c r="BZ32" s="372"/>
      <c r="CA32" s="372"/>
      <c r="CB32" s="372"/>
      <c r="CC32" s="371"/>
      <c r="CD32" s="375"/>
      <c r="CE32" s="372"/>
      <c r="CF32" s="372"/>
      <c r="CG32" s="372"/>
      <c r="CH32" s="371"/>
      <c r="CI32" s="375"/>
      <c r="CJ32" s="372"/>
      <c r="CK32" s="372"/>
      <c r="CL32" s="372"/>
      <c r="CM32" s="373"/>
    </row>
    <row r="33" spans="1:91" ht="25.5" customHeight="1">
      <c r="A33" s="386">
        <v>4376</v>
      </c>
      <c r="B33" s="387" t="s">
        <v>11</v>
      </c>
      <c r="C33" s="387" t="s">
        <v>44</v>
      </c>
      <c r="D33" s="387" t="s">
        <v>76</v>
      </c>
      <c r="E33" s="372" t="s">
        <v>53</v>
      </c>
      <c r="F33" s="387"/>
      <c r="G33" s="372" t="s">
        <v>1320</v>
      </c>
      <c r="H33" s="371" t="s">
        <v>54</v>
      </c>
      <c r="I33" s="375"/>
      <c r="J33" s="372"/>
      <c r="K33" s="373"/>
      <c r="L33" s="388" t="s">
        <v>78</v>
      </c>
      <c r="M33" s="387" t="s">
        <v>77</v>
      </c>
      <c r="N33" s="387"/>
      <c r="O33" s="387" t="s">
        <v>77</v>
      </c>
      <c r="P33" s="389" t="s">
        <v>77</v>
      </c>
      <c r="Q33" s="388"/>
      <c r="R33" s="387"/>
      <c r="S33" s="387"/>
      <c r="T33" s="387"/>
      <c r="U33" s="390" t="s">
        <v>80</v>
      </c>
      <c r="V33" s="386"/>
      <c r="W33" s="372"/>
      <c r="X33" s="372"/>
      <c r="Y33" s="372"/>
      <c r="Z33" s="373"/>
      <c r="AA33" s="374"/>
      <c r="AB33" s="372"/>
      <c r="AC33" s="372"/>
      <c r="AD33" s="372"/>
      <c r="AE33" s="371"/>
      <c r="AF33" s="375"/>
      <c r="AG33" s="372"/>
      <c r="AH33" s="372"/>
      <c r="AI33" s="372"/>
      <c r="AJ33" s="373"/>
      <c r="AK33" s="374"/>
      <c r="AL33" s="372"/>
      <c r="AM33" s="372"/>
      <c r="AN33" s="372"/>
      <c r="AO33" s="371"/>
      <c r="AP33" s="375"/>
      <c r="AQ33" s="372"/>
      <c r="AR33" s="372"/>
      <c r="AS33" s="372"/>
      <c r="AT33" s="373"/>
      <c r="AU33" s="374"/>
      <c r="AV33" s="372"/>
      <c r="AW33" s="372"/>
      <c r="AX33" s="372"/>
      <c r="AY33" s="371"/>
      <c r="AZ33" s="375"/>
      <c r="BA33" s="372"/>
      <c r="BB33" s="372"/>
      <c r="BC33" s="372"/>
      <c r="BD33" s="373"/>
      <c r="BE33" s="374"/>
      <c r="BF33" s="372"/>
      <c r="BG33" s="372"/>
      <c r="BH33" s="372"/>
      <c r="BI33" s="371"/>
      <c r="BJ33" s="375"/>
      <c r="BK33" s="372"/>
      <c r="BL33" s="372"/>
      <c r="BM33" s="372"/>
      <c r="BN33" s="373"/>
      <c r="BO33" s="374"/>
      <c r="BP33" s="372"/>
      <c r="BQ33" s="372"/>
      <c r="BR33" s="372"/>
      <c r="BS33" s="371"/>
      <c r="BT33" s="375"/>
      <c r="BU33" s="372"/>
      <c r="BV33" s="372"/>
      <c r="BW33" s="372"/>
      <c r="BX33" s="373"/>
      <c r="BY33" s="374"/>
      <c r="BZ33" s="372"/>
      <c r="CA33" s="372"/>
      <c r="CB33" s="372"/>
      <c r="CC33" s="371"/>
      <c r="CD33" s="375"/>
      <c r="CE33" s="372"/>
      <c r="CF33" s="372"/>
      <c r="CG33" s="372"/>
      <c r="CH33" s="371"/>
      <c r="CI33" s="375"/>
      <c r="CJ33" s="372"/>
      <c r="CK33" s="372"/>
      <c r="CL33" s="372"/>
      <c r="CM33" s="373"/>
    </row>
    <row r="34" spans="1:91" ht="25.5" customHeight="1" thickBot="1">
      <c r="A34" s="411">
        <v>4377</v>
      </c>
      <c r="B34" s="412" t="s">
        <v>11</v>
      </c>
      <c r="C34" s="412" t="s">
        <v>44</v>
      </c>
      <c r="D34" s="412" t="s">
        <v>76</v>
      </c>
      <c r="E34" s="377" t="s">
        <v>53</v>
      </c>
      <c r="F34" s="412"/>
      <c r="G34" s="377" t="s">
        <v>1322</v>
      </c>
      <c r="H34" s="376" t="s">
        <v>54</v>
      </c>
      <c r="I34" s="380"/>
      <c r="J34" s="377"/>
      <c r="K34" s="378"/>
      <c r="L34" s="413" t="s">
        <v>78</v>
      </c>
      <c r="M34" s="412" t="s">
        <v>77</v>
      </c>
      <c r="N34" s="412"/>
      <c r="O34" s="412" t="s">
        <v>77</v>
      </c>
      <c r="P34" s="414" t="s">
        <v>77</v>
      </c>
      <c r="Q34" s="413"/>
      <c r="R34" s="412"/>
      <c r="S34" s="412"/>
      <c r="T34" s="412"/>
      <c r="U34" s="415" t="s">
        <v>80</v>
      </c>
      <c r="V34" s="411"/>
      <c r="W34" s="377"/>
      <c r="X34" s="377"/>
      <c r="Y34" s="377"/>
      <c r="Z34" s="378"/>
      <c r="AA34" s="379"/>
      <c r="AB34" s="377"/>
      <c r="AC34" s="377"/>
      <c r="AD34" s="377"/>
      <c r="AE34" s="376"/>
      <c r="AF34" s="380"/>
      <c r="AG34" s="377"/>
      <c r="AH34" s="377"/>
      <c r="AI34" s="377"/>
      <c r="AJ34" s="378"/>
      <c r="AK34" s="379"/>
      <c r="AL34" s="377"/>
      <c r="AM34" s="377"/>
      <c r="AN34" s="377"/>
      <c r="AO34" s="376"/>
      <c r="AP34" s="380"/>
      <c r="AQ34" s="377"/>
      <c r="AR34" s="377"/>
      <c r="AS34" s="377"/>
      <c r="AT34" s="378"/>
      <c r="AU34" s="379"/>
      <c r="AV34" s="377"/>
      <c r="AW34" s="377"/>
      <c r="AX34" s="377"/>
      <c r="AY34" s="376"/>
      <c r="AZ34" s="380"/>
      <c r="BA34" s="377"/>
      <c r="BB34" s="377"/>
      <c r="BC34" s="377"/>
      <c r="BD34" s="378"/>
      <c r="BE34" s="379"/>
      <c r="BF34" s="377"/>
      <c r="BG34" s="377"/>
      <c r="BH34" s="377"/>
      <c r="BI34" s="376"/>
      <c r="BJ34" s="380"/>
      <c r="BK34" s="377"/>
      <c r="BL34" s="377"/>
      <c r="BM34" s="377"/>
      <c r="BN34" s="378"/>
      <c r="BO34" s="379"/>
      <c r="BP34" s="377"/>
      <c r="BQ34" s="377"/>
      <c r="BR34" s="377"/>
      <c r="BS34" s="376"/>
      <c r="BT34" s="380"/>
      <c r="BU34" s="377"/>
      <c r="BV34" s="377"/>
      <c r="BW34" s="377"/>
      <c r="BX34" s="378"/>
      <c r="BY34" s="379"/>
      <c r="BZ34" s="377"/>
      <c r="CA34" s="377"/>
      <c r="CB34" s="377"/>
      <c r="CC34" s="376"/>
      <c r="CD34" s="380"/>
      <c r="CE34" s="377"/>
      <c r="CF34" s="377"/>
      <c r="CG34" s="377"/>
      <c r="CH34" s="376"/>
      <c r="CI34" s="380"/>
      <c r="CJ34" s="377"/>
      <c r="CK34" s="377"/>
      <c r="CL34" s="377"/>
      <c r="CM34" s="378"/>
    </row>
    <row r="35" spans="1:91" ht="25.5" customHeight="1">
      <c r="A35" s="416">
        <v>4378</v>
      </c>
      <c r="B35" s="417" t="s">
        <v>11</v>
      </c>
      <c r="C35" s="417" t="s">
        <v>44</v>
      </c>
      <c r="D35" s="417" t="s">
        <v>76</v>
      </c>
      <c r="E35" s="381" t="s">
        <v>53</v>
      </c>
      <c r="F35" s="417"/>
      <c r="G35" s="381" t="s">
        <v>1324</v>
      </c>
      <c r="H35" s="384" t="s">
        <v>54</v>
      </c>
      <c r="I35" s="385"/>
      <c r="J35" s="381"/>
      <c r="K35" s="382"/>
      <c r="L35" s="418" t="s">
        <v>78</v>
      </c>
      <c r="M35" s="417" t="s">
        <v>77</v>
      </c>
      <c r="N35" s="417"/>
      <c r="O35" s="417" t="s">
        <v>77</v>
      </c>
      <c r="P35" s="419" t="s">
        <v>77</v>
      </c>
      <c r="Q35" s="418"/>
      <c r="R35" s="417"/>
      <c r="S35" s="417"/>
      <c r="T35" s="417"/>
      <c r="U35" s="420" t="s">
        <v>80</v>
      </c>
      <c r="V35" s="416"/>
      <c r="W35" s="381"/>
      <c r="X35" s="381"/>
      <c r="Y35" s="381"/>
      <c r="Z35" s="382"/>
      <c r="AA35" s="383"/>
      <c r="AB35" s="381"/>
      <c r="AC35" s="381"/>
      <c r="AD35" s="381"/>
      <c r="AE35" s="384"/>
      <c r="AF35" s="385"/>
      <c r="AG35" s="381"/>
      <c r="AH35" s="381"/>
      <c r="AI35" s="381"/>
      <c r="AJ35" s="382"/>
      <c r="AK35" s="383"/>
      <c r="AL35" s="381"/>
      <c r="AM35" s="381"/>
      <c r="AN35" s="381"/>
      <c r="AO35" s="384"/>
      <c r="AP35" s="385"/>
      <c r="AQ35" s="381"/>
      <c r="AR35" s="381"/>
      <c r="AS35" s="381"/>
      <c r="AT35" s="382"/>
      <c r="AU35" s="383"/>
      <c r="AV35" s="381"/>
      <c r="AW35" s="381"/>
      <c r="AX35" s="381"/>
      <c r="AY35" s="384"/>
      <c r="AZ35" s="385"/>
      <c r="BA35" s="381"/>
      <c r="BB35" s="381"/>
      <c r="BC35" s="381"/>
      <c r="BD35" s="382"/>
      <c r="BE35" s="383"/>
      <c r="BF35" s="381"/>
      <c r="BG35" s="381"/>
      <c r="BH35" s="381"/>
      <c r="BI35" s="384"/>
      <c r="BJ35" s="385"/>
      <c r="BK35" s="381"/>
      <c r="BL35" s="381"/>
      <c r="BM35" s="381"/>
      <c r="BN35" s="382"/>
      <c r="BO35" s="383"/>
      <c r="BP35" s="381"/>
      <c r="BQ35" s="381"/>
      <c r="BR35" s="381"/>
      <c r="BS35" s="384"/>
      <c r="BT35" s="385"/>
      <c r="BU35" s="381"/>
      <c r="BV35" s="381"/>
      <c r="BW35" s="381"/>
      <c r="BX35" s="382"/>
      <c r="BY35" s="383"/>
      <c r="BZ35" s="381"/>
      <c r="CA35" s="381"/>
      <c r="CB35" s="381"/>
      <c r="CC35" s="384"/>
      <c r="CD35" s="385"/>
      <c r="CE35" s="381"/>
      <c r="CF35" s="381"/>
      <c r="CG35" s="381"/>
      <c r="CH35" s="384"/>
      <c r="CI35" s="385"/>
      <c r="CJ35" s="381"/>
      <c r="CK35" s="381"/>
      <c r="CL35" s="381"/>
      <c r="CM35" s="382"/>
    </row>
    <row r="36" spans="1:91" ht="25.5" customHeight="1">
      <c r="A36" s="386">
        <v>4379</v>
      </c>
      <c r="B36" s="387" t="s">
        <v>11</v>
      </c>
      <c r="C36" s="387" t="s">
        <v>44</v>
      </c>
      <c r="D36" s="387" t="s">
        <v>76</v>
      </c>
      <c r="E36" s="372" t="s">
        <v>53</v>
      </c>
      <c r="F36" s="387"/>
      <c r="G36" s="372" t="s">
        <v>1326</v>
      </c>
      <c r="H36" s="371" t="s">
        <v>54</v>
      </c>
      <c r="I36" s="375"/>
      <c r="J36" s="372"/>
      <c r="K36" s="373"/>
      <c r="L36" s="388" t="s">
        <v>78</v>
      </c>
      <c r="M36" s="387" t="s">
        <v>77</v>
      </c>
      <c r="N36" s="387"/>
      <c r="O36" s="387" t="s">
        <v>77</v>
      </c>
      <c r="P36" s="389" t="s">
        <v>77</v>
      </c>
      <c r="Q36" s="388"/>
      <c r="R36" s="387"/>
      <c r="S36" s="387"/>
      <c r="T36" s="387"/>
      <c r="U36" s="390" t="s">
        <v>80</v>
      </c>
      <c r="V36" s="386"/>
      <c r="W36" s="372"/>
      <c r="X36" s="372"/>
      <c r="Y36" s="372"/>
      <c r="Z36" s="373"/>
      <c r="AA36" s="374"/>
      <c r="AB36" s="372"/>
      <c r="AC36" s="372"/>
      <c r="AD36" s="372"/>
      <c r="AE36" s="371"/>
      <c r="AF36" s="375"/>
      <c r="AG36" s="372"/>
      <c r="AH36" s="372"/>
      <c r="AI36" s="372"/>
      <c r="AJ36" s="373"/>
      <c r="AK36" s="374"/>
      <c r="AL36" s="372"/>
      <c r="AM36" s="372"/>
      <c r="AN36" s="372"/>
      <c r="AO36" s="371"/>
      <c r="AP36" s="375"/>
      <c r="AQ36" s="372"/>
      <c r="AR36" s="372"/>
      <c r="AS36" s="372"/>
      <c r="AT36" s="373"/>
      <c r="AU36" s="374"/>
      <c r="AV36" s="372"/>
      <c r="AW36" s="372"/>
      <c r="AX36" s="372"/>
      <c r="AY36" s="371"/>
      <c r="AZ36" s="375"/>
      <c r="BA36" s="372"/>
      <c r="BB36" s="372"/>
      <c r="BC36" s="372"/>
      <c r="BD36" s="373"/>
      <c r="BE36" s="374"/>
      <c r="BF36" s="372"/>
      <c r="BG36" s="372"/>
      <c r="BH36" s="372"/>
      <c r="BI36" s="371"/>
      <c r="BJ36" s="375"/>
      <c r="BK36" s="372"/>
      <c r="BL36" s="372"/>
      <c r="BM36" s="372"/>
      <c r="BN36" s="373"/>
      <c r="BO36" s="374"/>
      <c r="BP36" s="372"/>
      <c r="BQ36" s="372"/>
      <c r="BR36" s="372"/>
      <c r="BS36" s="371"/>
      <c r="BT36" s="375"/>
      <c r="BU36" s="372"/>
      <c r="BV36" s="372"/>
      <c r="BW36" s="372"/>
      <c r="BX36" s="373"/>
      <c r="BY36" s="374"/>
      <c r="BZ36" s="372"/>
      <c r="CA36" s="372"/>
      <c r="CB36" s="372"/>
      <c r="CC36" s="371"/>
      <c r="CD36" s="375"/>
      <c r="CE36" s="372"/>
      <c r="CF36" s="372"/>
      <c r="CG36" s="372"/>
      <c r="CH36" s="371"/>
      <c r="CI36" s="375"/>
      <c r="CJ36" s="372"/>
      <c r="CK36" s="372"/>
      <c r="CL36" s="372"/>
      <c r="CM36" s="373"/>
    </row>
    <row r="37" spans="1:91" ht="25.5" customHeight="1">
      <c r="A37" s="386">
        <v>4380</v>
      </c>
      <c r="B37" s="387" t="s">
        <v>11</v>
      </c>
      <c r="C37" s="387" t="s">
        <v>44</v>
      </c>
      <c r="D37" s="387" t="s">
        <v>76</v>
      </c>
      <c r="E37" s="372" t="s">
        <v>53</v>
      </c>
      <c r="F37" s="387"/>
      <c r="G37" s="372" t="s">
        <v>1328</v>
      </c>
      <c r="H37" s="371" t="s">
        <v>54</v>
      </c>
      <c r="I37" s="375"/>
      <c r="J37" s="372"/>
      <c r="K37" s="373"/>
      <c r="L37" s="388" t="s">
        <v>78</v>
      </c>
      <c r="M37" s="387" t="s">
        <v>77</v>
      </c>
      <c r="N37" s="387"/>
      <c r="O37" s="387" t="s">
        <v>77</v>
      </c>
      <c r="P37" s="389" t="s">
        <v>77</v>
      </c>
      <c r="Q37" s="388"/>
      <c r="R37" s="387"/>
      <c r="S37" s="387"/>
      <c r="T37" s="387"/>
      <c r="U37" s="390" t="s">
        <v>80</v>
      </c>
      <c r="V37" s="386"/>
      <c r="W37" s="372"/>
      <c r="X37" s="372"/>
      <c r="Y37" s="372"/>
      <c r="Z37" s="373"/>
      <c r="AA37" s="374"/>
      <c r="AB37" s="372"/>
      <c r="AC37" s="372"/>
      <c r="AD37" s="372"/>
      <c r="AE37" s="371"/>
      <c r="AF37" s="375"/>
      <c r="AG37" s="372"/>
      <c r="AH37" s="372"/>
      <c r="AI37" s="372"/>
      <c r="AJ37" s="373"/>
      <c r="AK37" s="374"/>
      <c r="AL37" s="372"/>
      <c r="AM37" s="372"/>
      <c r="AN37" s="372"/>
      <c r="AO37" s="371"/>
      <c r="AP37" s="375"/>
      <c r="AQ37" s="372"/>
      <c r="AR37" s="372"/>
      <c r="AS37" s="372"/>
      <c r="AT37" s="373"/>
      <c r="AU37" s="374"/>
      <c r="AV37" s="372"/>
      <c r="AW37" s="372"/>
      <c r="AX37" s="372"/>
      <c r="AY37" s="371"/>
      <c r="AZ37" s="375"/>
      <c r="BA37" s="372"/>
      <c r="BB37" s="372"/>
      <c r="BC37" s="372"/>
      <c r="BD37" s="373"/>
      <c r="BE37" s="374"/>
      <c r="BF37" s="372"/>
      <c r="BG37" s="372"/>
      <c r="BH37" s="372"/>
      <c r="BI37" s="371"/>
      <c r="BJ37" s="375"/>
      <c r="BK37" s="372"/>
      <c r="BL37" s="372"/>
      <c r="BM37" s="372"/>
      <c r="BN37" s="373"/>
      <c r="BO37" s="374"/>
      <c r="BP37" s="372"/>
      <c r="BQ37" s="372"/>
      <c r="BR37" s="372"/>
      <c r="BS37" s="371"/>
      <c r="BT37" s="375"/>
      <c r="BU37" s="372"/>
      <c r="BV37" s="372"/>
      <c r="BW37" s="372"/>
      <c r="BX37" s="373"/>
      <c r="BY37" s="374"/>
      <c r="BZ37" s="372"/>
      <c r="CA37" s="372"/>
      <c r="CB37" s="372"/>
      <c r="CC37" s="371"/>
      <c r="CD37" s="375"/>
      <c r="CE37" s="372"/>
      <c r="CF37" s="372"/>
      <c r="CG37" s="372"/>
      <c r="CH37" s="371"/>
      <c r="CI37" s="375"/>
      <c r="CJ37" s="372"/>
      <c r="CK37" s="372"/>
      <c r="CL37" s="372"/>
      <c r="CM37" s="373"/>
    </row>
    <row r="38" spans="1:91" ht="25.5" customHeight="1">
      <c r="A38" s="386">
        <v>4381</v>
      </c>
      <c r="B38" s="387" t="s">
        <v>11</v>
      </c>
      <c r="C38" s="387" t="s">
        <v>44</v>
      </c>
      <c r="D38" s="387" t="s">
        <v>76</v>
      </c>
      <c r="E38" s="372" t="s">
        <v>53</v>
      </c>
      <c r="F38" s="387"/>
      <c r="G38" s="372" t="s">
        <v>1330</v>
      </c>
      <c r="H38" s="371" t="s">
        <v>54</v>
      </c>
      <c r="I38" s="375"/>
      <c r="J38" s="372"/>
      <c r="K38" s="373"/>
      <c r="L38" s="388" t="s">
        <v>78</v>
      </c>
      <c r="M38" s="387" t="s">
        <v>77</v>
      </c>
      <c r="N38" s="387"/>
      <c r="O38" s="387" t="s">
        <v>77</v>
      </c>
      <c r="P38" s="389" t="s">
        <v>77</v>
      </c>
      <c r="Q38" s="388"/>
      <c r="R38" s="387"/>
      <c r="S38" s="387"/>
      <c r="T38" s="387"/>
      <c r="U38" s="390" t="s">
        <v>80</v>
      </c>
      <c r="V38" s="386"/>
      <c r="W38" s="372"/>
      <c r="X38" s="372"/>
      <c r="Y38" s="372"/>
      <c r="Z38" s="373"/>
      <c r="AA38" s="374"/>
      <c r="AB38" s="372"/>
      <c r="AC38" s="372"/>
      <c r="AD38" s="372"/>
      <c r="AE38" s="371"/>
      <c r="AF38" s="375"/>
      <c r="AG38" s="372"/>
      <c r="AH38" s="372"/>
      <c r="AI38" s="372"/>
      <c r="AJ38" s="373"/>
      <c r="AK38" s="374"/>
      <c r="AL38" s="372"/>
      <c r="AM38" s="372"/>
      <c r="AN38" s="372"/>
      <c r="AO38" s="371"/>
      <c r="AP38" s="375"/>
      <c r="AQ38" s="372"/>
      <c r="AR38" s="372"/>
      <c r="AS38" s="372"/>
      <c r="AT38" s="373"/>
      <c r="AU38" s="374"/>
      <c r="AV38" s="372"/>
      <c r="AW38" s="372"/>
      <c r="AX38" s="372"/>
      <c r="AY38" s="371"/>
      <c r="AZ38" s="375"/>
      <c r="BA38" s="372"/>
      <c r="BB38" s="372"/>
      <c r="BC38" s="372"/>
      <c r="BD38" s="373"/>
      <c r="BE38" s="374"/>
      <c r="BF38" s="372"/>
      <c r="BG38" s="372"/>
      <c r="BH38" s="372"/>
      <c r="BI38" s="371"/>
      <c r="BJ38" s="375"/>
      <c r="BK38" s="372"/>
      <c r="BL38" s="372"/>
      <c r="BM38" s="372"/>
      <c r="BN38" s="373"/>
      <c r="BO38" s="374"/>
      <c r="BP38" s="372"/>
      <c r="BQ38" s="372"/>
      <c r="BR38" s="372"/>
      <c r="BS38" s="371"/>
      <c r="BT38" s="375"/>
      <c r="BU38" s="372"/>
      <c r="BV38" s="372"/>
      <c r="BW38" s="372"/>
      <c r="BX38" s="373"/>
      <c r="BY38" s="374"/>
      <c r="BZ38" s="372"/>
      <c r="CA38" s="372"/>
      <c r="CB38" s="372"/>
      <c r="CC38" s="371"/>
      <c r="CD38" s="375"/>
      <c r="CE38" s="372"/>
      <c r="CF38" s="372"/>
      <c r="CG38" s="372"/>
      <c r="CH38" s="371"/>
      <c r="CI38" s="375"/>
      <c r="CJ38" s="372"/>
      <c r="CK38" s="372"/>
      <c r="CL38" s="372"/>
      <c r="CM38" s="373"/>
    </row>
    <row r="39" spans="1:91" ht="25.5" customHeight="1" thickBot="1">
      <c r="A39" s="391">
        <v>4382</v>
      </c>
      <c r="B39" s="392" t="s">
        <v>11</v>
      </c>
      <c r="C39" s="392" t="s">
        <v>44</v>
      </c>
      <c r="D39" s="392" t="s">
        <v>76</v>
      </c>
      <c r="E39" s="393" t="s">
        <v>53</v>
      </c>
      <c r="F39" s="392"/>
      <c r="G39" s="393" t="s">
        <v>1332</v>
      </c>
      <c r="H39" s="394" t="s">
        <v>54</v>
      </c>
      <c r="I39" s="395"/>
      <c r="J39" s="393"/>
      <c r="K39" s="396"/>
      <c r="L39" s="397" t="s">
        <v>78</v>
      </c>
      <c r="M39" s="392" t="s">
        <v>77</v>
      </c>
      <c r="N39" s="392"/>
      <c r="O39" s="392" t="s">
        <v>77</v>
      </c>
      <c r="P39" s="398" t="s">
        <v>77</v>
      </c>
      <c r="Q39" s="397"/>
      <c r="R39" s="392"/>
      <c r="S39" s="392"/>
      <c r="T39" s="392"/>
      <c r="U39" s="399" t="s">
        <v>80</v>
      </c>
      <c r="V39" s="391"/>
      <c r="W39" s="393"/>
      <c r="X39" s="393"/>
      <c r="Y39" s="393"/>
      <c r="Z39" s="396"/>
      <c r="AA39" s="400"/>
      <c r="AB39" s="393"/>
      <c r="AC39" s="393"/>
      <c r="AD39" s="393"/>
      <c r="AE39" s="394"/>
      <c r="AF39" s="395"/>
      <c r="AG39" s="393"/>
      <c r="AH39" s="393"/>
      <c r="AI39" s="393"/>
      <c r="AJ39" s="396"/>
      <c r="AK39" s="400"/>
      <c r="AL39" s="393"/>
      <c r="AM39" s="393"/>
      <c r="AN39" s="393"/>
      <c r="AO39" s="394"/>
      <c r="AP39" s="395"/>
      <c r="AQ39" s="393"/>
      <c r="AR39" s="393"/>
      <c r="AS39" s="393"/>
      <c r="AT39" s="396"/>
      <c r="AU39" s="400"/>
      <c r="AV39" s="393"/>
      <c r="AW39" s="393"/>
      <c r="AX39" s="393"/>
      <c r="AY39" s="394"/>
      <c r="AZ39" s="395"/>
      <c r="BA39" s="393"/>
      <c r="BB39" s="393"/>
      <c r="BC39" s="393"/>
      <c r="BD39" s="396"/>
      <c r="BE39" s="400"/>
      <c r="BF39" s="393"/>
      <c r="BG39" s="393"/>
      <c r="BH39" s="393"/>
      <c r="BI39" s="394"/>
      <c r="BJ39" s="395"/>
      <c r="BK39" s="393"/>
      <c r="BL39" s="393"/>
      <c r="BM39" s="393"/>
      <c r="BN39" s="396"/>
      <c r="BO39" s="400"/>
      <c r="BP39" s="393"/>
      <c r="BQ39" s="393"/>
      <c r="BR39" s="393"/>
      <c r="BS39" s="394"/>
      <c r="BT39" s="395"/>
      <c r="BU39" s="393"/>
      <c r="BV39" s="393"/>
      <c r="BW39" s="393"/>
      <c r="BX39" s="396"/>
      <c r="BY39" s="400"/>
      <c r="BZ39" s="393"/>
      <c r="CA39" s="393"/>
      <c r="CB39" s="393"/>
      <c r="CC39" s="394"/>
      <c r="CD39" s="395"/>
      <c r="CE39" s="393"/>
      <c r="CF39" s="393"/>
      <c r="CG39" s="393"/>
      <c r="CH39" s="394"/>
      <c r="CI39" s="395"/>
      <c r="CJ39" s="393"/>
      <c r="CK39" s="393"/>
      <c r="CL39" s="393"/>
      <c r="CM39" s="396"/>
    </row>
    <row r="40" spans="1:91" ht="25.5" customHeight="1">
      <c r="A40" s="401">
        <v>4383</v>
      </c>
      <c r="B40" s="402" t="s">
        <v>11</v>
      </c>
      <c r="C40" s="402" t="s">
        <v>44</v>
      </c>
      <c r="D40" s="402" t="s">
        <v>76</v>
      </c>
      <c r="E40" s="403" t="s">
        <v>53</v>
      </c>
      <c r="F40" s="402"/>
      <c r="G40" s="403" t="s">
        <v>1334</v>
      </c>
      <c r="H40" s="404" t="s">
        <v>54</v>
      </c>
      <c r="I40" s="405"/>
      <c r="J40" s="403"/>
      <c r="K40" s="406"/>
      <c r="L40" s="407" t="s">
        <v>78</v>
      </c>
      <c r="M40" s="402" t="s">
        <v>77</v>
      </c>
      <c r="N40" s="402"/>
      <c r="O40" s="402" t="s">
        <v>77</v>
      </c>
      <c r="P40" s="408" t="s">
        <v>77</v>
      </c>
      <c r="Q40" s="407"/>
      <c r="R40" s="402"/>
      <c r="S40" s="402"/>
      <c r="T40" s="402"/>
      <c r="U40" s="409" t="s">
        <v>80</v>
      </c>
      <c r="V40" s="401"/>
      <c r="W40" s="403"/>
      <c r="X40" s="403"/>
      <c r="Y40" s="403"/>
      <c r="Z40" s="406"/>
      <c r="AA40" s="410"/>
      <c r="AB40" s="403"/>
      <c r="AC40" s="403"/>
      <c r="AD40" s="403"/>
      <c r="AE40" s="404"/>
      <c r="AF40" s="405"/>
      <c r="AG40" s="403"/>
      <c r="AH40" s="403"/>
      <c r="AI40" s="403"/>
      <c r="AJ40" s="406"/>
      <c r="AK40" s="410"/>
      <c r="AL40" s="403"/>
      <c r="AM40" s="403"/>
      <c r="AN40" s="403"/>
      <c r="AO40" s="404"/>
      <c r="AP40" s="405"/>
      <c r="AQ40" s="403"/>
      <c r="AR40" s="403"/>
      <c r="AS40" s="403"/>
      <c r="AT40" s="406"/>
      <c r="AU40" s="410"/>
      <c r="AV40" s="403"/>
      <c r="AW40" s="403"/>
      <c r="AX40" s="403"/>
      <c r="AY40" s="404"/>
      <c r="AZ40" s="405"/>
      <c r="BA40" s="403"/>
      <c r="BB40" s="403"/>
      <c r="BC40" s="403"/>
      <c r="BD40" s="406"/>
      <c r="BE40" s="410"/>
      <c r="BF40" s="403"/>
      <c r="BG40" s="403"/>
      <c r="BH40" s="403"/>
      <c r="BI40" s="404"/>
      <c r="BJ40" s="405"/>
      <c r="BK40" s="403"/>
      <c r="BL40" s="403"/>
      <c r="BM40" s="403"/>
      <c r="BN40" s="406"/>
      <c r="BO40" s="410"/>
      <c r="BP40" s="403"/>
      <c r="BQ40" s="403"/>
      <c r="BR40" s="403"/>
      <c r="BS40" s="404"/>
      <c r="BT40" s="405"/>
      <c r="BU40" s="403"/>
      <c r="BV40" s="403"/>
      <c r="BW40" s="403"/>
      <c r="BX40" s="406"/>
      <c r="BY40" s="410"/>
      <c r="BZ40" s="403"/>
      <c r="CA40" s="403"/>
      <c r="CB40" s="403"/>
      <c r="CC40" s="404"/>
      <c r="CD40" s="405"/>
      <c r="CE40" s="403"/>
      <c r="CF40" s="403"/>
      <c r="CG40" s="403"/>
      <c r="CH40" s="404"/>
      <c r="CI40" s="405"/>
      <c r="CJ40" s="403"/>
      <c r="CK40" s="403"/>
      <c r="CL40" s="403"/>
      <c r="CM40" s="406"/>
    </row>
    <row r="41" spans="1:91" ht="25.5" customHeight="1">
      <c r="A41" s="386">
        <v>4384</v>
      </c>
      <c r="B41" s="387" t="s">
        <v>11</v>
      </c>
      <c r="C41" s="387" t="s">
        <v>44</v>
      </c>
      <c r="D41" s="387" t="s">
        <v>76</v>
      </c>
      <c r="E41" s="372" t="s">
        <v>53</v>
      </c>
      <c r="F41" s="387"/>
      <c r="G41" s="372" t="s">
        <v>1336</v>
      </c>
      <c r="H41" s="371" t="s">
        <v>54</v>
      </c>
      <c r="I41" s="375"/>
      <c r="J41" s="372"/>
      <c r="K41" s="373"/>
      <c r="L41" s="388" t="s">
        <v>78</v>
      </c>
      <c r="M41" s="387" t="s">
        <v>77</v>
      </c>
      <c r="N41" s="387"/>
      <c r="O41" s="387" t="s">
        <v>77</v>
      </c>
      <c r="P41" s="389" t="s">
        <v>77</v>
      </c>
      <c r="Q41" s="388"/>
      <c r="R41" s="387"/>
      <c r="S41" s="387"/>
      <c r="T41" s="387"/>
      <c r="U41" s="390" t="s">
        <v>80</v>
      </c>
      <c r="V41" s="386"/>
      <c r="W41" s="372"/>
      <c r="X41" s="372"/>
      <c r="Y41" s="372"/>
      <c r="Z41" s="373"/>
      <c r="AA41" s="374"/>
      <c r="AB41" s="372"/>
      <c r="AC41" s="372"/>
      <c r="AD41" s="372"/>
      <c r="AE41" s="371"/>
      <c r="AF41" s="375"/>
      <c r="AG41" s="372"/>
      <c r="AH41" s="372"/>
      <c r="AI41" s="372"/>
      <c r="AJ41" s="373"/>
      <c r="AK41" s="374"/>
      <c r="AL41" s="372"/>
      <c r="AM41" s="372"/>
      <c r="AN41" s="372"/>
      <c r="AO41" s="371"/>
      <c r="AP41" s="375"/>
      <c r="AQ41" s="372"/>
      <c r="AR41" s="372"/>
      <c r="AS41" s="372"/>
      <c r="AT41" s="373"/>
      <c r="AU41" s="374"/>
      <c r="AV41" s="372"/>
      <c r="AW41" s="372"/>
      <c r="AX41" s="372"/>
      <c r="AY41" s="371"/>
      <c r="AZ41" s="375"/>
      <c r="BA41" s="372"/>
      <c r="BB41" s="372"/>
      <c r="BC41" s="372"/>
      <c r="BD41" s="373"/>
      <c r="BE41" s="374"/>
      <c r="BF41" s="372"/>
      <c r="BG41" s="372"/>
      <c r="BH41" s="372"/>
      <c r="BI41" s="371"/>
      <c r="BJ41" s="375"/>
      <c r="BK41" s="372"/>
      <c r="BL41" s="372"/>
      <c r="BM41" s="372"/>
      <c r="BN41" s="373"/>
      <c r="BO41" s="374"/>
      <c r="BP41" s="372"/>
      <c r="BQ41" s="372"/>
      <c r="BR41" s="372"/>
      <c r="BS41" s="371"/>
      <c r="BT41" s="375"/>
      <c r="BU41" s="372"/>
      <c r="BV41" s="372"/>
      <c r="BW41" s="372"/>
      <c r="BX41" s="373"/>
      <c r="BY41" s="374"/>
      <c r="BZ41" s="372"/>
      <c r="CA41" s="372"/>
      <c r="CB41" s="372"/>
      <c r="CC41" s="371"/>
      <c r="CD41" s="375"/>
      <c r="CE41" s="372"/>
      <c r="CF41" s="372"/>
      <c r="CG41" s="372"/>
      <c r="CH41" s="371"/>
      <c r="CI41" s="375"/>
      <c r="CJ41" s="372"/>
      <c r="CK41" s="372"/>
      <c r="CL41" s="372"/>
      <c r="CM41" s="373"/>
    </row>
    <row r="42" spans="1:91" ht="25.5" customHeight="1">
      <c r="A42" s="386">
        <v>4385</v>
      </c>
      <c r="B42" s="387" t="s">
        <v>11</v>
      </c>
      <c r="C42" s="387" t="s">
        <v>44</v>
      </c>
      <c r="D42" s="387" t="s">
        <v>76</v>
      </c>
      <c r="E42" s="372" t="s">
        <v>53</v>
      </c>
      <c r="F42" s="387"/>
      <c r="G42" s="372" t="s">
        <v>1338</v>
      </c>
      <c r="H42" s="371" t="s">
        <v>54</v>
      </c>
      <c r="I42" s="375"/>
      <c r="J42" s="372"/>
      <c r="K42" s="373"/>
      <c r="L42" s="388" t="s">
        <v>78</v>
      </c>
      <c r="M42" s="387" t="s">
        <v>77</v>
      </c>
      <c r="N42" s="387"/>
      <c r="O42" s="387" t="s">
        <v>77</v>
      </c>
      <c r="P42" s="389" t="s">
        <v>77</v>
      </c>
      <c r="Q42" s="388"/>
      <c r="R42" s="387"/>
      <c r="S42" s="387"/>
      <c r="T42" s="387"/>
      <c r="U42" s="390" t="s">
        <v>80</v>
      </c>
      <c r="V42" s="386"/>
      <c r="W42" s="372"/>
      <c r="X42" s="372"/>
      <c r="Y42" s="372"/>
      <c r="Z42" s="373"/>
      <c r="AA42" s="374"/>
      <c r="AB42" s="372"/>
      <c r="AC42" s="372"/>
      <c r="AD42" s="372"/>
      <c r="AE42" s="371"/>
      <c r="AF42" s="375"/>
      <c r="AG42" s="372"/>
      <c r="AH42" s="372"/>
      <c r="AI42" s="372"/>
      <c r="AJ42" s="373"/>
      <c r="AK42" s="374"/>
      <c r="AL42" s="372"/>
      <c r="AM42" s="372"/>
      <c r="AN42" s="372"/>
      <c r="AO42" s="371"/>
      <c r="AP42" s="375"/>
      <c r="AQ42" s="372"/>
      <c r="AR42" s="372"/>
      <c r="AS42" s="372"/>
      <c r="AT42" s="373"/>
      <c r="AU42" s="374"/>
      <c r="AV42" s="372"/>
      <c r="AW42" s="372"/>
      <c r="AX42" s="372"/>
      <c r="AY42" s="371"/>
      <c r="AZ42" s="375"/>
      <c r="BA42" s="372"/>
      <c r="BB42" s="372"/>
      <c r="BC42" s="372"/>
      <c r="BD42" s="373"/>
      <c r="BE42" s="374"/>
      <c r="BF42" s="372"/>
      <c r="BG42" s="372"/>
      <c r="BH42" s="372"/>
      <c r="BI42" s="371"/>
      <c r="BJ42" s="375"/>
      <c r="BK42" s="372"/>
      <c r="BL42" s="372"/>
      <c r="BM42" s="372"/>
      <c r="BN42" s="373"/>
      <c r="BO42" s="374"/>
      <c r="BP42" s="372"/>
      <c r="BQ42" s="372"/>
      <c r="BR42" s="372"/>
      <c r="BS42" s="371"/>
      <c r="BT42" s="375"/>
      <c r="BU42" s="372"/>
      <c r="BV42" s="372"/>
      <c r="BW42" s="372"/>
      <c r="BX42" s="373"/>
      <c r="BY42" s="374"/>
      <c r="BZ42" s="372"/>
      <c r="CA42" s="372"/>
      <c r="CB42" s="372"/>
      <c r="CC42" s="371"/>
      <c r="CD42" s="375"/>
      <c r="CE42" s="372"/>
      <c r="CF42" s="372"/>
      <c r="CG42" s="372"/>
      <c r="CH42" s="371"/>
      <c r="CI42" s="375"/>
      <c r="CJ42" s="372"/>
      <c r="CK42" s="372"/>
      <c r="CL42" s="372"/>
      <c r="CM42" s="373"/>
    </row>
    <row r="43" spans="1:91" ht="25.5" customHeight="1">
      <c r="A43" s="386">
        <v>4386</v>
      </c>
      <c r="B43" s="387" t="s">
        <v>11</v>
      </c>
      <c r="C43" s="387" t="s">
        <v>44</v>
      </c>
      <c r="D43" s="387" t="s">
        <v>76</v>
      </c>
      <c r="E43" s="372" t="s">
        <v>53</v>
      </c>
      <c r="F43" s="387"/>
      <c r="G43" s="372" t="s">
        <v>1340</v>
      </c>
      <c r="H43" s="371" t="s">
        <v>54</v>
      </c>
      <c r="I43" s="375"/>
      <c r="J43" s="372"/>
      <c r="K43" s="373"/>
      <c r="L43" s="388" t="s">
        <v>78</v>
      </c>
      <c r="M43" s="387" t="s">
        <v>77</v>
      </c>
      <c r="N43" s="387"/>
      <c r="O43" s="387" t="s">
        <v>77</v>
      </c>
      <c r="P43" s="389" t="s">
        <v>77</v>
      </c>
      <c r="Q43" s="388"/>
      <c r="R43" s="387"/>
      <c r="S43" s="387"/>
      <c r="T43" s="387"/>
      <c r="U43" s="390" t="s">
        <v>80</v>
      </c>
      <c r="V43" s="386"/>
      <c r="W43" s="372"/>
      <c r="X43" s="372"/>
      <c r="Y43" s="372"/>
      <c r="Z43" s="373"/>
      <c r="AA43" s="374"/>
      <c r="AB43" s="372"/>
      <c r="AC43" s="372"/>
      <c r="AD43" s="372"/>
      <c r="AE43" s="371"/>
      <c r="AF43" s="375"/>
      <c r="AG43" s="372"/>
      <c r="AH43" s="372"/>
      <c r="AI43" s="372"/>
      <c r="AJ43" s="373"/>
      <c r="AK43" s="374"/>
      <c r="AL43" s="372"/>
      <c r="AM43" s="372"/>
      <c r="AN43" s="372"/>
      <c r="AO43" s="371"/>
      <c r="AP43" s="375"/>
      <c r="AQ43" s="372"/>
      <c r="AR43" s="372"/>
      <c r="AS43" s="372"/>
      <c r="AT43" s="373"/>
      <c r="AU43" s="374"/>
      <c r="AV43" s="372"/>
      <c r="AW43" s="372"/>
      <c r="AX43" s="372"/>
      <c r="AY43" s="371"/>
      <c r="AZ43" s="375"/>
      <c r="BA43" s="372"/>
      <c r="BB43" s="372"/>
      <c r="BC43" s="372"/>
      <c r="BD43" s="373"/>
      <c r="BE43" s="374"/>
      <c r="BF43" s="372"/>
      <c r="BG43" s="372"/>
      <c r="BH43" s="372"/>
      <c r="BI43" s="371"/>
      <c r="BJ43" s="375"/>
      <c r="BK43" s="372"/>
      <c r="BL43" s="372"/>
      <c r="BM43" s="372"/>
      <c r="BN43" s="373"/>
      <c r="BO43" s="374"/>
      <c r="BP43" s="372"/>
      <c r="BQ43" s="372"/>
      <c r="BR43" s="372"/>
      <c r="BS43" s="371"/>
      <c r="BT43" s="375"/>
      <c r="BU43" s="372"/>
      <c r="BV43" s="372"/>
      <c r="BW43" s="372"/>
      <c r="BX43" s="373"/>
      <c r="BY43" s="374"/>
      <c r="BZ43" s="372"/>
      <c r="CA43" s="372"/>
      <c r="CB43" s="372"/>
      <c r="CC43" s="371"/>
      <c r="CD43" s="375"/>
      <c r="CE43" s="372"/>
      <c r="CF43" s="372"/>
      <c r="CG43" s="372"/>
      <c r="CH43" s="371"/>
      <c r="CI43" s="375"/>
      <c r="CJ43" s="372"/>
      <c r="CK43" s="372"/>
      <c r="CL43" s="372"/>
      <c r="CM43" s="373"/>
    </row>
    <row r="44" spans="1:91" ht="25.5" customHeight="1" thickBot="1">
      <c r="A44" s="411">
        <v>4387</v>
      </c>
      <c r="B44" s="412" t="s">
        <v>11</v>
      </c>
      <c r="C44" s="412" t="s">
        <v>44</v>
      </c>
      <c r="D44" s="412" t="s">
        <v>76</v>
      </c>
      <c r="E44" s="377" t="s">
        <v>53</v>
      </c>
      <c r="F44" s="412"/>
      <c r="G44" s="377" t="s">
        <v>1342</v>
      </c>
      <c r="H44" s="376" t="s">
        <v>54</v>
      </c>
      <c r="I44" s="380"/>
      <c r="J44" s="377"/>
      <c r="K44" s="378"/>
      <c r="L44" s="413" t="s">
        <v>78</v>
      </c>
      <c r="M44" s="412" t="s">
        <v>77</v>
      </c>
      <c r="N44" s="412"/>
      <c r="O44" s="412" t="s">
        <v>77</v>
      </c>
      <c r="P44" s="414" t="s">
        <v>77</v>
      </c>
      <c r="Q44" s="413"/>
      <c r="R44" s="412"/>
      <c r="S44" s="412"/>
      <c r="T44" s="412"/>
      <c r="U44" s="415" t="s">
        <v>80</v>
      </c>
      <c r="V44" s="411"/>
      <c r="W44" s="377"/>
      <c r="X44" s="377"/>
      <c r="Y44" s="377"/>
      <c r="Z44" s="378"/>
      <c r="AA44" s="379"/>
      <c r="AB44" s="377"/>
      <c r="AC44" s="377"/>
      <c r="AD44" s="377"/>
      <c r="AE44" s="376"/>
      <c r="AF44" s="380"/>
      <c r="AG44" s="377"/>
      <c r="AH44" s="377"/>
      <c r="AI44" s="377"/>
      <c r="AJ44" s="378"/>
      <c r="AK44" s="379"/>
      <c r="AL44" s="377"/>
      <c r="AM44" s="377"/>
      <c r="AN44" s="377"/>
      <c r="AO44" s="376"/>
      <c r="AP44" s="380"/>
      <c r="AQ44" s="377"/>
      <c r="AR44" s="377"/>
      <c r="AS44" s="377"/>
      <c r="AT44" s="378"/>
      <c r="AU44" s="379"/>
      <c r="AV44" s="377"/>
      <c r="AW44" s="377"/>
      <c r="AX44" s="377"/>
      <c r="AY44" s="376"/>
      <c r="AZ44" s="380"/>
      <c r="BA44" s="377"/>
      <c r="BB44" s="377"/>
      <c r="BC44" s="377"/>
      <c r="BD44" s="378"/>
      <c r="BE44" s="379"/>
      <c r="BF44" s="377"/>
      <c r="BG44" s="377"/>
      <c r="BH44" s="377"/>
      <c r="BI44" s="376"/>
      <c r="BJ44" s="380"/>
      <c r="BK44" s="377"/>
      <c r="BL44" s="377"/>
      <c r="BM44" s="377"/>
      <c r="BN44" s="378"/>
      <c r="BO44" s="379"/>
      <c r="BP44" s="377"/>
      <c r="BQ44" s="377"/>
      <c r="BR44" s="377"/>
      <c r="BS44" s="376"/>
      <c r="BT44" s="380"/>
      <c r="BU44" s="377"/>
      <c r="BV44" s="377"/>
      <c r="BW44" s="377"/>
      <c r="BX44" s="378"/>
      <c r="BY44" s="379"/>
      <c r="BZ44" s="377"/>
      <c r="CA44" s="377"/>
      <c r="CB44" s="377"/>
      <c r="CC44" s="376"/>
      <c r="CD44" s="380"/>
      <c r="CE44" s="377"/>
      <c r="CF44" s="377"/>
      <c r="CG44" s="377"/>
      <c r="CH44" s="376"/>
      <c r="CI44" s="380"/>
      <c r="CJ44" s="377"/>
      <c r="CK44" s="377"/>
      <c r="CL44" s="377"/>
      <c r="CM44" s="378"/>
    </row>
    <row r="45" spans="1:91" ht="25.5" customHeight="1">
      <c r="A45" s="416">
        <v>4388</v>
      </c>
      <c r="B45" s="417" t="s">
        <v>11</v>
      </c>
      <c r="C45" s="417" t="s">
        <v>44</v>
      </c>
      <c r="D45" s="417" t="s">
        <v>76</v>
      </c>
      <c r="E45" s="381" t="s">
        <v>53</v>
      </c>
      <c r="F45" s="417"/>
      <c r="G45" s="381" t="s">
        <v>1344</v>
      </c>
      <c r="H45" s="384" t="s">
        <v>54</v>
      </c>
      <c r="I45" s="385"/>
      <c r="J45" s="381"/>
      <c r="K45" s="382"/>
      <c r="L45" s="418" t="s">
        <v>78</v>
      </c>
      <c r="M45" s="417" t="s">
        <v>77</v>
      </c>
      <c r="N45" s="417"/>
      <c r="O45" s="417" t="s">
        <v>77</v>
      </c>
      <c r="P45" s="419" t="s">
        <v>77</v>
      </c>
      <c r="Q45" s="418"/>
      <c r="R45" s="417"/>
      <c r="S45" s="417"/>
      <c r="T45" s="417"/>
      <c r="U45" s="420" t="s">
        <v>80</v>
      </c>
      <c r="V45" s="416"/>
      <c r="W45" s="381"/>
      <c r="X45" s="381"/>
      <c r="Y45" s="381"/>
      <c r="Z45" s="382"/>
      <c r="AA45" s="383"/>
      <c r="AB45" s="381"/>
      <c r="AC45" s="381"/>
      <c r="AD45" s="381"/>
      <c r="AE45" s="384"/>
      <c r="AF45" s="385"/>
      <c r="AG45" s="381"/>
      <c r="AH45" s="381"/>
      <c r="AI45" s="381"/>
      <c r="AJ45" s="382"/>
      <c r="AK45" s="383"/>
      <c r="AL45" s="381"/>
      <c r="AM45" s="381"/>
      <c r="AN45" s="381"/>
      <c r="AO45" s="384"/>
      <c r="AP45" s="385"/>
      <c r="AQ45" s="381"/>
      <c r="AR45" s="381"/>
      <c r="AS45" s="381"/>
      <c r="AT45" s="382"/>
      <c r="AU45" s="383"/>
      <c r="AV45" s="381"/>
      <c r="AW45" s="381"/>
      <c r="AX45" s="381"/>
      <c r="AY45" s="384"/>
      <c r="AZ45" s="385"/>
      <c r="BA45" s="381"/>
      <c r="BB45" s="381"/>
      <c r="BC45" s="381"/>
      <c r="BD45" s="382"/>
      <c r="BE45" s="383"/>
      <c r="BF45" s="381"/>
      <c r="BG45" s="381"/>
      <c r="BH45" s="381"/>
      <c r="BI45" s="384"/>
      <c r="BJ45" s="385"/>
      <c r="BK45" s="381"/>
      <c r="BL45" s="381"/>
      <c r="BM45" s="381"/>
      <c r="BN45" s="382"/>
      <c r="BO45" s="383"/>
      <c r="BP45" s="381"/>
      <c r="BQ45" s="381"/>
      <c r="BR45" s="381"/>
      <c r="BS45" s="384"/>
      <c r="BT45" s="385"/>
      <c r="BU45" s="381"/>
      <c r="BV45" s="381"/>
      <c r="BW45" s="381"/>
      <c r="BX45" s="382"/>
      <c r="BY45" s="383"/>
      <c r="BZ45" s="381"/>
      <c r="CA45" s="381"/>
      <c r="CB45" s="381"/>
      <c r="CC45" s="384"/>
      <c r="CD45" s="385"/>
      <c r="CE45" s="381"/>
      <c r="CF45" s="381"/>
      <c r="CG45" s="381"/>
      <c r="CH45" s="384"/>
      <c r="CI45" s="385"/>
      <c r="CJ45" s="381"/>
      <c r="CK45" s="381"/>
      <c r="CL45" s="381"/>
      <c r="CM45" s="382"/>
    </row>
    <row r="46" spans="1:91" ht="25.5" customHeight="1">
      <c r="A46" s="386">
        <v>4389</v>
      </c>
      <c r="B46" s="387" t="s">
        <v>11</v>
      </c>
      <c r="C46" s="387" t="s">
        <v>44</v>
      </c>
      <c r="D46" s="387" t="s">
        <v>76</v>
      </c>
      <c r="E46" s="372" t="s">
        <v>53</v>
      </c>
      <c r="F46" s="387"/>
      <c r="G46" s="372" t="s">
        <v>1346</v>
      </c>
      <c r="H46" s="371" t="s">
        <v>54</v>
      </c>
      <c r="I46" s="375"/>
      <c r="J46" s="372"/>
      <c r="K46" s="373"/>
      <c r="L46" s="388" t="s">
        <v>78</v>
      </c>
      <c r="M46" s="387" t="s">
        <v>77</v>
      </c>
      <c r="N46" s="387"/>
      <c r="O46" s="387" t="s">
        <v>77</v>
      </c>
      <c r="P46" s="389" t="s">
        <v>77</v>
      </c>
      <c r="Q46" s="388"/>
      <c r="R46" s="387"/>
      <c r="S46" s="387"/>
      <c r="T46" s="387"/>
      <c r="U46" s="390" t="s">
        <v>80</v>
      </c>
      <c r="V46" s="386"/>
      <c r="W46" s="372"/>
      <c r="X46" s="372"/>
      <c r="Y46" s="372"/>
      <c r="Z46" s="373"/>
      <c r="AA46" s="374"/>
      <c r="AB46" s="372"/>
      <c r="AC46" s="372"/>
      <c r="AD46" s="372"/>
      <c r="AE46" s="371"/>
      <c r="AF46" s="375"/>
      <c r="AG46" s="372"/>
      <c r="AH46" s="372"/>
      <c r="AI46" s="372"/>
      <c r="AJ46" s="373"/>
      <c r="AK46" s="374"/>
      <c r="AL46" s="372"/>
      <c r="AM46" s="372"/>
      <c r="AN46" s="372"/>
      <c r="AO46" s="371"/>
      <c r="AP46" s="375"/>
      <c r="AQ46" s="372"/>
      <c r="AR46" s="372"/>
      <c r="AS46" s="372"/>
      <c r="AT46" s="373"/>
      <c r="AU46" s="374"/>
      <c r="AV46" s="372"/>
      <c r="AW46" s="372"/>
      <c r="AX46" s="372"/>
      <c r="AY46" s="371"/>
      <c r="AZ46" s="375"/>
      <c r="BA46" s="372"/>
      <c r="BB46" s="372"/>
      <c r="BC46" s="372"/>
      <c r="BD46" s="373"/>
      <c r="BE46" s="374"/>
      <c r="BF46" s="372"/>
      <c r="BG46" s="372"/>
      <c r="BH46" s="372"/>
      <c r="BI46" s="371"/>
      <c r="BJ46" s="375"/>
      <c r="BK46" s="372"/>
      <c r="BL46" s="372"/>
      <c r="BM46" s="372"/>
      <c r="BN46" s="373"/>
      <c r="BO46" s="374"/>
      <c r="BP46" s="372"/>
      <c r="BQ46" s="372"/>
      <c r="BR46" s="372"/>
      <c r="BS46" s="371"/>
      <c r="BT46" s="375"/>
      <c r="BU46" s="372"/>
      <c r="BV46" s="372"/>
      <c r="BW46" s="372"/>
      <c r="BX46" s="373"/>
      <c r="BY46" s="374"/>
      <c r="BZ46" s="372"/>
      <c r="CA46" s="372"/>
      <c r="CB46" s="372"/>
      <c r="CC46" s="371"/>
      <c r="CD46" s="375"/>
      <c r="CE46" s="372"/>
      <c r="CF46" s="372"/>
      <c r="CG46" s="372"/>
      <c r="CH46" s="371"/>
      <c r="CI46" s="375"/>
      <c r="CJ46" s="372"/>
      <c r="CK46" s="372"/>
      <c r="CL46" s="372"/>
      <c r="CM46" s="373"/>
    </row>
    <row r="47" spans="1:91" ht="25.5" customHeight="1">
      <c r="A47" s="386">
        <v>4390</v>
      </c>
      <c r="B47" s="387" t="s">
        <v>11</v>
      </c>
      <c r="C47" s="387" t="s">
        <v>44</v>
      </c>
      <c r="D47" s="387" t="s">
        <v>76</v>
      </c>
      <c r="E47" s="372" t="s">
        <v>53</v>
      </c>
      <c r="F47" s="387"/>
      <c r="G47" s="372" t="s">
        <v>1348</v>
      </c>
      <c r="H47" s="371" t="s">
        <v>54</v>
      </c>
      <c r="I47" s="375"/>
      <c r="J47" s="372"/>
      <c r="K47" s="373"/>
      <c r="L47" s="388" t="s">
        <v>78</v>
      </c>
      <c r="M47" s="387" t="s">
        <v>77</v>
      </c>
      <c r="N47" s="387"/>
      <c r="O47" s="387" t="s">
        <v>77</v>
      </c>
      <c r="P47" s="389" t="s">
        <v>77</v>
      </c>
      <c r="Q47" s="388"/>
      <c r="R47" s="387"/>
      <c r="S47" s="387"/>
      <c r="T47" s="387"/>
      <c r="U47" s="390" t="s">
        <v>80</v>
      </c>
      <c r="V47" s="386"/>
      <c r="W47" s="372"/>
      <c r="X47" s="372"/>
      <c r="Y47" s="372"/>
      <c r="Z47" s="373"/>
      <c r="AA47" s="374"/>
      <c r="AB47" s="372"/>
      <c r="AC47" s="372"/>
      <c r="AD47" s="372"/>
      <c r="AE47" s="371"/>
      <c r="AF47" s="375"/>
      <c r="AG47" s="372"/>
      <c r="AH47" s="372"/>
      <c r="AI47" s="372"/>
      <c r="AJ47" s="373"/>
      <c r="AK47" s="374"/>
      <c r="AL47" s="372"/>
      <c r="AM47" s="372"/>
      <c r="AN47" s="372"/>
      <c r="AO47" s="371"/>
      <c r="AP47" s="375"/>
      <c r="AQ47" s="372"/>
      <c r="AR47" s="372"/>
      <c r="AS47" s="372"/>
      <c r="AT47" s="373"/>
      <c r="AU47" s="374"/>
      <c r="AV47" s="372"/>
      <c r="AW47" s="372"/>
      <c r="AX47" s="372"/>
      <c r="AY47" s="371"/>
      <c r="AZ47" s="375"/>
      <c r="BA47" s="372"/>
      <c r="BB47" s="372"/>
      <c r="BC47" s="372"/>
      <c r="BD47" s="373"/>
      <c r="BE47" s="374"/>
      <c r="BF47" s="372"/>
      <c r="BG47" s="372"/>
      <c r="BH47" s="372"/>
      <c r="BI47" s="371"/>
      <c r="BJ47" s="375"/>
      <c r="BK47" s="372"/>
      <c r="BL47" s="372"/>
      <c r="BM47" s="372"/>
      <c r="BN47" s="373"/>
      <c r="BO47" s="374"/>
      <c r="BP47" s="372"/>
      <c r="BQ47" s="372"/>
      <c r="BR47" s="372"/>
      <c r="BS47" s="371"/>
      <c r="BT47" s="375"/>
      <c r="BU47" s="372"/>
      <c r="BV47" s="372"/>
      <c r="BW47" s="372"/>
      <c r="BX47" s="373"/>
      <c r="BY47" s="374"/>
      <c r="BZ47" s="372"/>
      <c r="CA47" s="372"/>
      <c r="CB47" s="372"/>
      <c r="CC47" s="371"/>
      <c r="CD47" s="375"/>
      <c r="CE47" s="372"/>
      <c r="CF47" s="372"/>
      <c r="CG47" s="372"/>
      <c r="CH47" s="371"/>
      <c r="CI47" s="375"/>
      <c r="CJ47" s="372"/>
      <c r="CK47" s="372"/>
      <c r="CL47" s="372"/>
      <c r="CM47" s="373"/>
    </row>
    <row r="48" spans="1:91" ht="25.5" customHeight="1">
      <c r="A48" s="386">
        <v>4391</v>
      </c>
      <c r="B48" s="387" t="s">
        <v>11</v>
      </c>
      <c r="C48" s="387" t="s">
        <v>44</v>
      </c>
      <c r="D48" s="387" t="s">
        <v>76</v>
      </c>
      <c r="E48" s="372" t="s">
        <v>53</v>
      </c>
      <c r="F48" s="387"/>
      <c r="G48" s="372" t="s">
        <v>1350</v>
      </c>
      <c r="H48" s="371" t="s">
        <v>54</v>
      </c>
      <c r="I48" s="375"/>
      <c r="J48" s="372"/>
      <c r="K48" s="373"/>
      <c r="L48" s="388" t="s">
        <v>78</v>
      </c>
      <c r="M48" s="387" t="s">
        <v>77</v>
      </c>
      <c r="N48" s="387"/>
      <c r="O48" s="387" t="s">
        <v>77</v>
      </c>
      <c r="P48" s="389" t="s">
        <v>77</v>
      </c>
      <c r="Q48" s="388"/>
      <c r="R48" s="387"/>
      <c r="S48" s="387"/>
      <c r="T48" s="387"/>
      <c r="U48" s="390" t="s">
        <v>80</v>
      </c>
      <c r="V48" s="386"/>
      <c r="W48" s="372"/>
      <c r="X48" s="372"/>
      <c r="Y48" s="372"/>
      <c r="Z48" s="373"/>
      <c r="AA48" s="374"/>
      <c r="AB48" s="372"/>
      <c r="AC48" s="372"/>
      <c r="AD48" s="372"/>
      <c r="AE48" s="371"/>
      <c r="AF48" s="375"/>
      <c r="AG48" s="372"/>
      <c r="AH48" s="372"/>
      <c r="AI48" s="372"/>
      <c r="AJ48" s="373"/>
      <c r="AK48" s="374"/>
      <c r="AL48" s="372"/>
      <c r="AM48" s="372"/>
      <c r="AN48" s="372"/>
      <c r="AO48" s="371"/>
      <c r="AP48" s="375"/>
      <c r="AQ48" s="372"/>
      <c r="AR48" s="372"/>
      <c r="AS48" s="372"/>
      <c r="AT48" s="373"/>
      <c r="AU48" s="374"/>
      <c r="AV48" s="372"/>
      <c r="AW48" s="372"/>
      <c r="AX48" s="372"/>
      <c r="AY48" s="371"/>
      <c r="AZ48" s="375"/>
      <c r="BA48" s="372"/>
      <c r="BB48" s="372"/>
      <c r="BC48" s="372"/>
      <c r="BD48" s="373"/>
      <c r="BE48" s="374"/>
      <c r="BF48" s="372"/>
      <c r="BG48" s="372"/>
      <c r="BH48" s="372"/>
      <c r="BI48" s="371"/>
      <c r="BJ48" s="375"/>
      <c r="BK48" s="372"/>
      <c r="BL48" s="372"/>
      <c r="BM48" s="372"/>
      <c r="BN48" s="373"/>
      <c r="BO48" s="374"/>
      <c r="BP48" s="372"/>
      <c r="BQ48" s="372"/>
      <c r="BR48" s="372"/>
      <c r="BS48" s="371"/>
      <c r="BT48" s="375"/>
      <c r="BU48" s="372"/>
      <c r="BV48" s="372"/>
      <c r="BW48" s="372"/>
      <c r="BX48" s="373"/>
      <c r="BY48" s="374"/>
      <c r="BZ48" s="372"/>
      <c r="CA48" s="372"/>
      <c r="CB48" s="372"/>
      <c r="CC48" s="371"/>
      <c r="CD48" s="375"/>
      <c r="CE48" s="372"/>
      <c r="CF48" s="372"/>
      <c r="CG48" s="372"/>
      <c r="CH48" s="371"/>
      <c r="CI48" s="375"/>
      <c r="CJ48" s="372"/>
      <c r="CK48" s="372"/>
      <c r="CL48" s="372"/>
      <c r="CM48" s="373"/>
    </row>
    <row r="49" spans="1:91" ht="25.5" customHeight="1" thickBot="1">
      <c r="A49" s="391">
        <v>4392</v>
      </c>
      <c r="B49" s="392" t="s">
        <v>11</v>
      </c>
      <c r="C49" s="392" t="s">
        <v>44</v>
      </c>
      <c r="D49" s="392" t="s">
        <v>76</v>
      </c>
      <c r="E49" s="393" t="s">
        <v>53</v>
      </c>
      <c r="F49" s="392"/>
      <c r="G49" s="393" t="s">
        <v>1352</v>
      </c>
      <c r="H49" s="394" t="s">
        <v>54</v>
      </c>
      <c r="I49" s="395"/>
      <c r="J49" s="393"/>
      <c r="K49" s="396"/>
      <c r="L49" s="397" t="s">
        <v>78</v>
      </c>
      <c r="M49" s="392" t="s">
        <v>77</v>
      </c>
      <c r="N49" s="392"/>
      <c r="O49" s="392" t="s">
        <v>77</v>
      </c>
      <c r="P49" s="398" t="s">
        <v>77</v>
      </c>
      <c r="Q49" s="397"/>
      <c r="R49" s="392"/>
      <c r="S49" s="392"/>
      <c r="T49" s="392"/>
      <c r="U49" s="399" t="s">
        <v>80</v>
      </c>
      <c r="V49" s="391"/>
      <c r="W49" s="393"/>
      <c r="X49" s="393"/>
      <c r="Y49" s="393"/>
      <c r="Z49" s="396"/>
      <c r="AA49" s="400"/>
      <c r="AB49" s="393"/>
      <c r="AC49" s="393"/>
      <c r="AD49" s="393"/>
      <c r="AE49" s="394"/>
      <c r="AF49" s="395"/>
      <c r="AG49" s="393"/>
      <c r="AH49" s="393"/>
      <c r="AI49" s="393"/>
      <c r="AJ49" s="396"/>
      <c r="AK49" s="400"/>
      <c r="AL49" s="393"/>
      <c r="AM49" s="393"/>
      <c r="AN49" s="393"/>
      <c r="AO49" s="394"/>
      <c r="AP49" s="395"/>
      <c r="AQ49" s="393"/>
      <c r="AR49" s="393"/>
      <c r="AS49" s="393"/>
      <c r="AT49" s="396"/>
      <c r="AU49" s="400"/>
      <c r="AV49" s="393"/>
      <c r="AW49" s="393"/>
      <c r="AX49" s="393"/>
      <c r="AY49" s="394"/>
      <c r="AZ49" s="395"/>
      <c r="BA49" s="393"/>
      <c r="BB49" s="393"/>
      <c r="BC49" s="393"/>
      <c r="BD49" s="396"/>
      <c r="BE49" s="400"/>
      <c r="BF49" s="393"/>
      <c r="BG49" s="393"/>
      <c r="BH49" s="393"/>
      <c r="BI49" s="394"/>
      <c r="BJ49" s="395"/>
      <c r="BK49" s="393"/>
      <c r="BL49" s="393"/>
      <c r="BM49" s="393"/>
      <c r="BN49" s="396"/>
      <c r="BO49" s="400"/>
      <c r="BP49" s="393"/>
      <c r="BQ49" s="393"/>
      <c r="BR49" s="393"/>
      <c r="BS49" s="394"/>
      <c r="BT49" s="395"/>
      <c r="BU49" s="393"/>
      <c r="BV49" s="393"/>
      <c r="BW49" s="393"/>
      <c r="BX49" s="396"/>
      <c r="BY49" s="400"/>
      <c r="BZ49" s="393"/>
      <c r="CA49" s="393"/>
      <c r="CB49" s="393"/>
      <c r="CC49" s="394"/>
      <c r="CD49" s="395"/>
      <c r="CE49" s="393"/>
      <c r="CF49" s="393"/>
      <c r="CG49" s="393"/>
      <c r="CH49" s="394"/>
      <c r="CI49" s="395"/>
      <c r="CJ49" s="393"/>
      <c r="CK49" s="393"/>
      <c r="CL49" s="393"/>
      <c r="CM49" s="396"/>
    </row>
    <row r="50" spans="1:91" ht="25.5" customHeight="1">
      <c r="A50" s="401">
        <v>4393</v>
      </c>
      <c r="B50" s="402" t="s">
        <v>11</v>
      </c>
      <c r="C50" s="402" t="s">
        <v>44</v>
      </c>
      <c r="D50" s="402" t="s">
        <v>76</v>
      </c>
      <c r="E50" s="403" t="s">
        <v>53</v>
      </c>
      <c r="F50" s="402"/>
      <c r="G50" s="403" t="s">
        <v>1354</v>
      </c>
      <c r="H50" s="404" t="s">
        <v>54</v>
      </c>
      <c r="I50" s="405"/>
      <c r="J50" s="403"/>
      <c r="K50" s="406"/>
      <c r="L50" s="407" t="s">
        <v>78</v>
      </c>
      <c r="M50" s="402" t="s">
        <v>77</v>
      </c>
      <c r="N50" s="402"/>
      <c r="O50" s="402" t="s">
        <v>77</v>
      </c>
      <c r="P50" s="408" t="s">
        <v>77</v>
      </c>
      <c r="Q50" s="407"/>
      <c r="R50" s="402"/>
      <c r="S50" s="402"/>
      <c r="T50" s="402"/>
      <c r="U50" s="409" t="s">
        <v>80</v>
      </c>
      <c r="V50" s="401"/>
      <c r="W50" s="403"/>
      <c r="X50" s="403"/>
      <c r="Y50" s="403"/>
      <c r="Z50" s="406"/>
      <c r="AA50" s="410"/>
      <c r="AB50" s="403"/>
      <c r="AC50" s="403"/>
      <c r="AD50" s="403"/>
      <c r="AE50" s="404"/>
      <c r="AF50" s="405"/>
      <c r="AG50" s="403"/>
      <c r="AH50" s="403"/>
      <c r="AI50" s="403"/>
      <c r="AJ50" s="406"/>
      <c r="AK50" s="410"/>
      <c r="AL50" s="403"/>
      <c r="AM50" s="403"/>
      <c r="AN50" s="403"/>
      <c r="AO50" s="404"/>
      <c r="AP50" s="405"/>
      <c r="AQ50" s="403"/>
      <c r="AR50" s="403"/>
      <c r="AS50" s="403"/>
      <c r="AT50" s="406"/>
      <c r="AU50" s="410"/>
      <c r="AV50" s="403"/>
      <c r="AW50" s="403"/>
      <c r="AX50" s="403"/>
      <c r="AY50" s="404"/>
      <c r="AZ50" s="405"/>
      <c r="BA50" s="403"/>
      <c r="BB50" s="403"/>
      <c r="BC50" s="403"/>
      <c r="BD50" s="406"/>
      <c r="BE50" s="410"/>
      <c r="BF50" s="403"/>
      <c r="BG50" s="403"/>
      <c r="BH50" s="403"/>
      <c r="BI50" s="404"/>
      <c r="BJ50" s="405"/>
      <c r="BK50" s="403"/>
      <c r="BL50" s="403"/>
      <c r="BM50" s="403"/>
      <c r="BN50" s="406"/>
      <c r="BO50" s="410"/>
      <c r="BP50" s="403"/>
      <c r="BQ50" s="403"/>
      <c r="BR50" s="403"/>
      <c r="BS50" s="404"/>
      <c r="BT50" s="405"/>
      <c r="BU50" s="403"/>
      <c r="BV50" s="403"/>
      <c r="BW50" s="403"/>
      <c r="BX50" s="406"/>
      <c r="BY50" s="410"/>
      <c r="BZ50" s="403"/>
      <c r="CA50" s="403"/>
      <c r="CB50" s="403"/>
      <c r="CC50" s="404"/>
      <c r="CD50" s="405"/>
      <c r="CE50" s="403"/>
      <c r="CF50" s="403"/>
      <c r="CG50" s="403"/>
      <c r="CH50" s="404"/>
      <c r="CI50" s="405"/>
      <c r="CJ50" s="403"/>
      <c r="CK50" s="403"/>
      <c r="CL50" s="403"/>
      <c r="CM50" s="406"/>
    </row>
    <row r="51" spans="1:91" ht="25.5" customHeight="1">
      <c r="A51" s="386">
        <v>4394</v>
      </c>
      <c r="B51" s="387" t="s">
        <v>11</v>
      </c>
      <c r="C51" s="387" t="s">
        <v>44</v>
      </c>
      <c r="D51" s="387" t="s">
        <v>76</v>
      </c>
      <c r="E51" s="372" t="s">
        <v>53</v>
      </c>
      <c r="F51" s="387"/>
      <c r="G51" s="372" t="s">
        <v>1356</v>
      </c>
      <c r="H51" s="371" t="s">
        <v>54</v>
      </c>
      <c r="I51" s="375"/>
      <c r="J51" s="372"/>
      <c r="K51" s="373"/>
      <c r="L51" s="388" t="s">
        <v>78</v>
      </c>
      <c r="M51" s="387" t="s">
        <v>77</v>
      </c>
      <c r="N51" s="387"/>
      <c r="O51" s="387" t="s">
        <v>77</v>
      </c>
      <c r="P51" s="389" t="s">
        <v>77</v>
      </c>
      <c r="Q51" s="388"/>
      <c r="R51" s="387"/>
      <c r="S51" s="387"/>
      <c r="T51" s="387"/>
      <c r="U51" s="390" t="s">
        <v>80</v>
      </c>
      <c r="V51" s="386"/>
      <c r="W51" s="372"/>
      <c r="X51" s="372"/>
      <c r="Y51" s="372"/>
      <c r="Z51" s="373"/>
      <c r="AA51" s="374"/>
      <c r="AB51" s="372"/>
      <c r="AC51" s="372"/>
      <c r="AD51" s="372"/>
      <c r="AE51" s="371"/>
      <c r="AF51" s="375"/>
      <c r="AG51" s="372"/>
      <c r="AH51" s="372"/>
      <c r="AI51" s="372"/>
      <c r="AJ51" s="373"/>
      <c r="AK51" s="374"/>
      <c r="AL51" s="372"/>
      <c r="AM51" s="372"/>
      <c r="AN51" s="372"/>
      <c r="AO51" s="371"/>
      <c r="AP51" s="375"/>
      <c r="AQ51" s="372"/>
      <c r="AR51" s="372"/>
      <c r="AS51" s="372"/>
      <c r="AT51" s="373"/>
      <c r="AU51" s="374"/>
      <c r="AV51" s="372"/>
      <c r="AW51" s="372"/>
      <c r="AX51" s="372"/>
      <c r="AY51" s="371"/>
      <c r="AZ51" s="375"/>
      <c r="BA51" s="372"/>
      <c r="BB51" s="372"/>
      <c r="BC51" s="372"/>
      <c r="BD51" s="373"/>
      <c r="BE51" s="374"/>
      <c r="BF51" s="372"/>
      <c r="BG51" s="372"/>
      <c r="BH51" s="372"/>
      <c r="BI51" s="371"/>
      <c r="BJ51" s="375"/>
      <c r="BK51" s="372"/>
      <c r="BL51" s="372"/>
      <c r="BM51" s="372"/>
      <c r="BN51" s="373"/>
      <c r="BO51" s="374"/>
      <c r="BP51" s="372"/>
      <c r="BQ51" s="372"/>
      <c r="BR51" s="372"/>
      <c r="BS51" s="371"/>
      <c r="BT51" s="375"/>
      <c r="BU51" s="372"/>
      <c r="BV51" s="372"/>
      <c r="BW51" s="372"/>
      <c r="BX51" s="373"/>
      <c r="BY51" s="374"/>
      <c r="BZ51" s="372"/>
      <c r="CA51" s="372"/>
      <c r="CB51" s="372"/>
      <c r="CC51" s="371"/>
      <c r="CD51" s="375"/>
      <c r="CE51" s="372"/>
      <c r="CF51" s="372"/>
      <c r="CG51" s="372"/>
      <c r="CH51" s="371"/>
      <c r="CI51" s="375"/>
      <c r="CJ51" s="372"/>
      <c r="CK51" s="372"/>
      <c r="CL51" s="372"/>
      <c r="CM51" s="373"/>
    </row>
    <row r="52" spans="1:91" ht="25.5" customHeight="1">
      <c r="A52" s="386">
        <v>4395</v>
      </c>
      <c r="B52" s="387" t="s">
        <v>11</v>
      </c>
      <c r="C52" s="387" t="s">
        <v>44</v>
      </c>
      <c r="D52" s="387" t="s">
        <v>76</v>
      </c>
      <c r="E52" s="372" t="s">
        <v>53</v>
      </c>
      <c r="F52" s="387"/>
      <c r="G52" s="372" t="s">
        <v>1358</v>
      </c>
      <c r="H52" s="371" t="s">
        <v>54</v>
      </c>
      <c r="I52" s="375"/>
      <c r="J52" s="372"/>
      <c r="K52" s="373"/>
      <c r="L52" s="388" t="s">
        <v>78</v>
      </c>
      <c r="M52" s="387" t="s">
        <v>77</v>
      </c>
      <c r="N52" s="387"/>
      <c r="O52" s="387" t="s">
        <v>77</v>
      </c>
      <c r="P52" s="389" t="s">
        <v>77</v>
      </c>
      <c r="Q52" s="388"/>
      <c r="R52" s="387"/>
      <c r="S52" s="387"/>
      <c r="T52" s="387"/>
      <c r="U52" s="390" t="s">
        <v>80</v>
      </c>
      <c r="V52" s="386"/>
      <c r="W52" s="372"/>
      <c r="X52" s="372"/>
      <c r="Y52" s="372"/>
      <c r="Z52" s="373"/>
      <c r="AA52" s="374"/>
      <c r="AB52" s="372"/>
      <c r="AC52" s="372"/>
      <c r="AD52" s="372"/>
      <c r="AE52" s="371"/>
      <c r="AF52" s="375"/>
      <c r="AG52" s="372"/>
      <c r="AH52" s="372"/>
      <c r="AI52" s="372"/>
      <c r="AJ52" s="373"/>
      <c r="AK52" s="374"/>
      <c r="AL52" s="372"/>
      <c r="AM52" s="372"/>
      <c r="AN52" s="372"/>
      <c r="AO52" s="371"/>
      <c r="AP52" s="375"/>
      <c r="AQ52" s="372"/>
      <c r="AR52" s="372"/>
      <c r="AS52" s="372"/>
      <c r="AT52" s="373"/>
      <c r="AU52" s="374"/>
      <c r="AV52" s="372"/>
      <c r="AW52" s="372"/>
      <c r="AX52" s="372"/>
      <c r="AY52" s="371"/>
      <c r="AZ52" s="375"/>
      <c r="BA52" s="372"/>
      <c r="BB52" s="372"/>
      <c r="BC52" s="372"/>
      <c r="BD52" s="373"/>
      <c r="BE52" s="374"/>
      <c r="BF52" s="372"/>
      <c r="BG52" s="372"/>
      <c r="BH52" s="372"/>
      <c r="BI52" s="371"/>
      <c r="BJ52" s="375"/>
      <c r="BK52" s="372"/>
      <c r="BL52" s="372"/>
      <c r="BM52" s="372"/>
      <c r="BN52" s="373"/>
      <c r="BO52" s="374"/>
      <c r="BP52" s="372"/>
      <c r="BQ52" s="372"/>
      <c r="BR52" s="372"/>
      <c r="BS52" s="371"/>
      <c r="BT52" s="375"/>
      <c r="BU52" s="372"/>
      <c r="BV52" s="372"/>
      <c r="BW52" s="372"/>
      <c r="BX52" s="373"/>
      <c r="BY52" s="374"/>
      <c r="BZ52" s="372"/>
      <c r="CA52" s="372"/>
      <c r="CB52" s="372"/>
      <c r="CC52" s="371"/>
      <c r="CD52" s="375"/>
      <c r="CE52" s="372"/>
      <c r="CF52" s="372"/>
      <c r="CG52" s="372"/>
      <c r="CH52" s="371"/>
      <c r="CI52" s="375"/>
      <c r="CJ52" s="372"/>
      <c r="CK52" s="372"/>
      <c r="CL52" s="372"/>
      <c r="CM52" s="373"/>
    </row>
    <row r="53" spans="1:91" ht="25.5" customHeight="1">
      <c r="A53" s="386">
        <v>4396</v>
      </c>
      <c r="B53" s="387" t="s">
        <v>11</v>
      </c>
      <c r="C53" s="387" t="s">
        <v>44</v>
      </c>
      <c r="D53" s="387" t="s">
        <v>76</v>
      </c>
      <c r="E53" s="372" t="s">
        <v>53</v>
      </c>
      <c r="F53" s="387"/>
      <c r="G53" s="372" t="s">
        <v>1360</v>
      </c>
      <c r="H53" s="371" t="s">
        <v>54</v>
      </c>
      <c r="I53" s="375"/>
      <c r="J53" s="372"/>
      <c r="K53" s="373"/>
      <c r="L53" s="388" t="s">
        <v>78</v>
      </c>
      <c r="M53" s="387" t="s">
        <v>77</v>
      </c>
      <c r="N53" s="387"/>
      <c r="O53" s="387" t="s">
        <v>77</v>
      </c>
      <c r="P53" s="389" t="s">
        <v>77</v>
      </c>
      <c r="Q53" s="388"/>
      <c r="R53" s="387"/>
      <c r="S53" s="387"/>
      <c r="T53" s="387"/>
      <c r="U53" s="390" t="s">
        <v>80</v>
      </c>
      <c r="V53" s="386"/>
      <c r="W53" s="372"/>
      <c r="X53" s="372"/>
      <c r="Y53" s="372"/>
      <c r="Z53" s="373"/>
      <c r="AA53" s="374"/>
      <c r="AB53" s="372"/>
      <c r="AC53" s="372"/>
      <c r="AD53" s="372"/>
      <c r="AE53" s="371"/>
      <c r="AF53" s="375"/>
      <c r="AG53" s="372"/>
      <c r="AH53" s="372"/>
      <c r="AI53" s="372"/>
      <c r="AJ53" s="373"/>
      <c r="AK53" s="374"/>
      <c r="AL53" s="372"/>
      <c r="AM53" s="372"/>
      <c r="AN53" s="372"/>
      <c r="AO53" s="371"/>
      <c r="AP53" s="375"/>
      <c r="AQ53" s="372"/>
      <c r="AR53" s="372"/>
      <c r="AS53" s="372"/>
      <c r="AT53" s="373"/>
      <c r="AU53" s="374"/>
      <c r="AV53" s="372"/>
      <c r="AW53" s="372"/>
      <c r="AX53" s="372"/>
      <c r="AY53" s="371"/>
      <c r="AZ53" s="375"/>
      <c r="BA53" s="372"/>
      <c r="BB53" s="372"/>
      <c r="BC53" s="372"/>
      <c r="BD53" s="373"/>
      <c r="BE53" s="374"/>
      <c r="BF53" s="372"/>
      <c r="BG53" s="372"/>
      <c r="BH53" s="372"/>
      <c r="BI53" s="371"/>
      <c r="BJ53" s="375"/>
      <c r="BK53" s="372"/>
      <c r="BL53" s="372"/>
      <c r="BM53" s="372"/>
      <c r="BN53" s="373"/>
      <c r="BO53" s="374"/>
      <c r="BP53" s="372"/>
      <c r="BQ53" s="372"/>
      <c r="BR53" s="372"/>
      <c r="BS53" s="371"/>
      <c r="BT53" s="375"/>
      <c r="BU53" s="372"/>
      <c r="BV53" s="372"/>
      <c r="BW53" s="372"/>
      <c r="BX53" s="373"/>
      <c r="BY53" s="374"/>
      <c r="BZ53" s="372"/>
      <c r="CA53" s="372"/>
      <c r="CB53" s="372"/>
      <c r="CC53" s="371"/>
      <c r="CD53" s="375"/>
      <c r="CE53" s="372"/>
      <c r="CF53" s="372"/>
      <c r="CG53" s="372"/>
      <c r="CH53" s="371"/>
      <c r="CI53" s="375"/>
      <c r="CJ53" s="372"/>
      <c r="CK53" s="372"/>
      <c r="CL53" s="372"/>
      <c r="CM53" s="373"/>
    </row>
    <row r="54" spans="1:91" ht="25.5" customHeight="1" thickBot="1">
      <c r="A54" s="411">
        <v>4397</v>
      </c>
      <c r="B54" s="412" t="s">
        <v>11</v>
      </c>
      <c r="C54" s="412" t="s">
        <v>44</v>
      </c>
      <c r="D54" s="412" t="s">
        <v>76</v>
      </c>
      <c r="E54" s="377" t="s">
        <v>53</v>
      </c>
      <c r="F54" s="412"/>
      <c r="G54" s="377" t="s">
        <v>1362</v>
      </c>
      <c r="H54" s="376" t="s">
        <v>54</v>
      </c>
      <c r="I54" s="380"/>
      <c r="J54" s="377"/>
      <c r="K54" s="378"/>
      <c r="L54" s="413" t="s">
        <v>78</v>
      </c>
      <c r="M54" s="412" t="s">
        <v>77</v>
      </c>
      <c r="N54" s="412"/>
      <c r="O54" s="412" t="s">
        <v>77</v>
      </c>
      <c r="P54" s="414" t="s">
        <v>77</v>
      </c>
      <c r="Q54" s="413"/>
      <c r="R54" s="412"/>
      <c r="S54" s="412"/>
      <c r="T54" s="412"/>
      <c r="U54" s="415" t="s">
        <v>80</v>
      </c>
      <c r="V54" s="411"/>
      <c r="W54" s="377"/>
      <c r="X54" s="377"/>
      <c r="Y54" s="377"/>
      <c r="Z54" s="378"/>
      <c r="AA54" s="379"/>
      <c r="AB54" s="377"/>
      <c r="AC54" s="377"/>
      <c r="AD54" s="377"/>
      <c r="AE54" s="376"/>
      <c r="AF54" s="380"/>
      <c r="AG54" s="377"/>
      <c r="AH54" s="377"/>
      <c r="AI54" s="377"/>
      <c r="AJ54" s="378"/>
      <c r="AK54" s="379"/>
      <c r="AL54" s="377"/>
      <c r="AM54" s="377"/>
      <c r="AN54" s="377"/>
      <c r="AO54" s="376"/>
      <c r="AP54" s="380"/>
      <c r="AQ54" s="377"/>
      <c r="AR54" s="377"/>
      <c r="AS54" s="377"/>
      <c r="AT54" s="378"/>
      <c r="AU54" s="379"/>
      <c r="AV54" s="377"/>
      <c r="AW54" s="377"/>
      <c r="AX54" s="377"/>
      <c r="AY54" s="376"/>
      <c r="AZ54" s="380"/>
      <c r="BA54" s="377"/>
      <c r="BB54" s="377"/>
      <c r="BC54" s="377"/>
      <c r="BD54" s="378"/>
      <c r="BE54" s="379"/>
      <c r="BF54" s="377"/>
      <c r="BG54" s="377"/>
      <c r="BH54" s="377"/>
      <c r="BI54" s="376"/>
      <c r="BJ54" s="380"/>
      <c r="BK54" s="377"/>
      <c r="BL54" s="377"/>
      <c r="BM54" s="377"/>
      <c r="BN54" s="378"/>
      <c r="BO54" s="379"/>
      <c r="BP54" s="377"/>
      <c r="BQ54" s="377"/>
      <c r="BR54" s="377"/>
      <c r="BS54" s="376"/>
      <c r="BT54" s="380"/>
      <c r="BU54" s="377"/>
      <c r="BV54" s="377"/>
      <c r="BW54" s="377"/>
      <c r="BX54" s="378"/>
      <c r="BY54" s="379"/>
      <c r="BZ54" s="377"/>
      <c r="CA54" s="377"/>
      <c r="CB54" s="377"/>
      <c r="CC54" s="376"/>
      <c r="CD54" s="380"/>
      <c r="CE54" s="377"/>
      <c r="CF54" s="377"/>
      <c r="CG54" s="377"/>
      <c r="CH54" s="376"/>
      <c r="CI54" s="380"/>
      <c r="CJ54" s="377"/>
      <c r="CK54" s="377"/>
      <c r="CL54" s="377"/>
      <c r="CM54" s="378"/>
    </row>
    <row r="55" spans="1:91" ht="25.5" customHeight="1">
      <c r="A55" s="416">
        <v>4398</v>
      </c>
      <c r="B55" s="417" t="s">
        <v>11</v>
      </c>
      <c r="C55" s="417" t="s">
        <v>44</v>
      </c>
      <c r="D55" s="417" t="s">
        <v>76</v>
      </c>
      <c r="E55" s="381" t="s">
        <v>53</v>
      </c>
      <c r="F55" s="417"/>
      <c r="G55" s="381" t="s">
        <v>1364</v>
      </c>
      <c r="H55" s="384" t="s">
        <v>54</v>
      </c>
      <c r="I55" s="385"/>
      <c r="J55" s="381"/>
      <c r="K55" s="382"/>
      <c r="L55" s="418" t="s">
        <v>78</v>
      </c>
      <c r="M55" s="417" t="s">
        <v>77</v>
      </c>
      <c r="N55" s="417"/>
      <c r="O55" s="417" t="s">
        <v>77</v>
      </c>
      <c r="P55" s="419" t="s">
        <v>77</v>
      </c>
      <c r="Q55" s="418"/>
      <c r="R55" s="417"/>
      <c r="S55" s="417"/>
      <c r="T55" s="417"/>
      <c r="U55" s="420" t="s">
        <v>80</v>
      </c>
      <c r="V55" s="416"/>
      <c r="W55" s="381"/>
      <c r="X55" s="381"/>
      <c r="Y55" s="381"/>
      <c r="Z55" s="382"/>
      <c r="AA55" s="383"/>
      <c r="AB55" s="381"/>
      <c r="AC55" s="381"/>
      <c r="AD55" s="381"/>
      <c r="AE55" s="384"/>
      <c r="AF55" s="385"/>
      <c r="AG55" s="381"/>
      <c r="AH55" s="381"/>
      <c r="AI55" s="381"/>
      <c r="AJ55" s="382"/>
      <c r="AK55" s="383"/>
      <c r="AL55" s="381"/>
      <c r="AM55" s="381"/>
      <c r="AN55" s="381"/>
      <c r="AO55" s="384"/>
      <c r="AP55" s="385"/>
      <c r="AQ55" s="381"/>
      <c r="AR55" s="381"/>
      <c r="AS55" s="381"/>
      <c r="AT55" s="382"/>
      <c r="AU55" s="383"/>
      <c r="AV55" s="381"/>
      <c r="AW55" s="381"/>
      <c r="AX55" s="381"/>
      <c r="AY55" s="384"/>
      <c r="AZ55" s="385"/>
      <c r="BA55" s="381"/>
      <c r="BB55" s="381"/>
      <c r="BC55" s="381"/>
      <c r="BD55" s="382"/>
      <c r="BE55" s="383"/>
      <c r="BF55" s="381"/>
      <c r="BG55" s="381"/>
      <c r="BH55" s="381"/>
      <c r="BI55" s="384"/>
      <c r="BJ55" s="385"/>
      <c r="BK55" s="381"/>
      <c r="BL55" s="381"/>
      <c r="BM55" s="381"/>
      <c r="BN55" s="382"/>
      <c r="BO55" s="383"/>
      <c r="BP55" s="381"/>
      <c r="BQ55" s="381"/>
      <c r="BR55" s="381"/>
      <c r="BS55" s="384"/>
      <c r="BT55" s="385"/>
      <c r="BU55" s="381"/>
      <c r="BV55" s="381"/>
      <c r="BW55" s="381"/>
      <c r="BX55" s="382"/>
      <c r="BY55" s="383"/>
      <c r="BZ55" s="381"/>
      <c r="CA55" s="381"/>
      <c r="CB55" s="381"/>
      <c r="CC55" s="384"/>
      <c r="CD55" s="385"/>
      <c r="CE55" s="381"/>
      <c r="CF55" s="381"/>
      <c r="CG55" s="381"/>
      <c r="CH55" s="384"/>
      <c r="CI55" s="385"/>
      <c r="CJ55" s="381"/>
      <c r="CK55" s="381"/>
      <c r="CL55" s="381"/>
      <c r="CM55" s="382"/>
    </row>
    <row r="56" spans="1:91" ht="25.5" customHeight="1">
      <c r="A56" s="386">
        <v>4399</v>
      </c>
      <c r="B56" s="387" t="s">
        <v>11</v>
      </c>
      <c r="C56" s="387" t="s">
        <v>44</v>
      </c>
      <c r="D56" s="387" t="s">
        <v>76</v>
      </c>
      <c r="E56" s="372" t="s">
        <v>53</v>
      </c>
      <c r="F56" s="387"/>
      <c r="G56" s="372" t="s">
        <v>1366</v>
      </c>
      <c r="H56" s="371" t="s">
        <v>54</v>
      </c>
      <c r="I56" s="375"/>
      <c r="J56" s="372"/>
      <c r="K56" s="373"/>
      <c r="L56" s="388" t="s">
        <v>78</v>
      </c>
      <c r="M56" s="387" t="s">
        <v>77</v>
      </c>
      <c r="N56" s="387"/>
      <c r="O56" s="387" t="s">
        <v>77</v>
      </c>
      <c r="P56" s="389" t="s">
        <v>77</v>
      </c>
      <c r="Q56" s="388"/>
      <c r="R56" s="387"/>
      <c r="S56" s="387"/>
      <c r="T56" s="387"/>
      <c r="U56" s="390" t="s">
        <v>80</v>
      </c>
      <c r="V56" s="386"/>
      <c r="W56" s="372"/>
      <c r="X56" s="372"/>
      <c r="Y56" s="372"/>
      <c r="Z56" s="373"/>
      <c r="AA56" s="374"/>
      <c r="AB56" s="372"/>
      <c r="AC56" s="372"/>
      <c r="AD56" s="372"/>
      <c r="AE56" s="371"/>
      <c r="AF56" s="375"/>
      <c r="AG56" s="372"/>
      <c r="AH56" s="372"/>
      <c r="AI56" s="372"/>
      <c r="AJ56" s="373"/>
      <c r="AK56" s="374"/>
      <c r="AL56" s="372"/>
      <c r="AM56" s="372"/>
      <c r="AN56" s="372"/>
      <c r="AO56" s="371"/>
      <c r="AP56" s="375"/>
      <c r="AQ56" s="372"/>
      <c r="AR56" s="372"/>
      <c r="AS56" s="372"/>
      <c r="AT56" s="373"/>
      <c r="AU56" s="374"/>
      <c r="AV56" s="372"/>
      <c r="AW56" s="372"/>
      <c r="AX56" s="372"/>
      <c r="AY56" s="371"/>
      <c r="AZ56" s="375"/>
      <c r="BA56" s="372"/>
      <c r="BB56" s="372"/>
      <c r="BC56" s="372"/>
      <c r="BD56" s="373"/>
      <c r="BE56" s="374"/>
      <c r="BF56" s="372"/>
      <c r="BG56" s="372"/>
      <c r="BH56" s="372"/>
      <c r="BI56" s="371"/>
      <c r="BJ56" s="375"/>
      <c r="BK56" s="372"/>
      <c r="BL56" s="372"/>
      <c r="BM56" s="372"/>
      <c r="BN56" s="373"/>
      <c r="BO56" s="374"/>
      <c r="BP56" s="372"/>
      <c r="BQ56" s="372"/>
      <c r="BR56" s="372"/>
      <c r="BS56" s="371"/>
      <c r="BT56" s="375"/>
      <c r="BU56" s="372"/>
      <c r="BV56" s="372"/>
      <c r="BW56" s="372"/>
      <c r="BX56" s="373"/>
      <c r="BY56" s="374"/>
      <c r="BZ56" s="372"/>
      <c r="CA56" s="372"/>
      <c r="CB56" s="372"/>
      <c r="CC56" s="371"/>
      <c r="CD56" s="375"/>
      <c r="CE56" s="372"/>
      <c r="CF56" s="372"/>
      <c r="CG56" s="372"/>
      <c r="CH56" s="371"/>
      <c r="CI56" s="375"/>
      <c r="CJ56" s="372"/>
      <c r="CK56" s="372"/>
      <c r="CL56" s="372"/>
      <c r="CM56" s="373"/>
    </row>
    <row r="57" spans="1:91" ht="25.5" customHeight="1">
      <c r="A57" s="386">
        <v>4400</v>
      </c>
      <c r="B57" s="387" t="s">
        <v>11</v>
      </c>
      <c r="C57" s="387" t="s">
        <v>44</v>
      </c>
      <c r="D57" s="387" t="s">
        <v>76</v>
      </c>
      <c r="E57" s="372" t="s">
        <v>53</v>
      </c>
      <c r="F57" s="387"/>
      <c r="G57" s="372" t="s">
        <v>1368</v>
      </c>
      <c r="H57" s="371" t="s">
        <v>54</v>
      </c>
      <c r="I57" s="375"/>
      <c r="J57" s="372"/>
      <c r="K57" s="373"/>
      <c r="L57" s="388" t="s">
        <v>78</v>
      </c>
      <c r="M57" s="387" t="s">
        <v>77</v>
      </c>
      <c r="N57" s="387"/>
      <c r="O57" s="387" t="s">
        <v>77</v>
      </c>
      <c r="P57" s="389" t="s">
        <v>77</v>
      </c>
      <c r="Q57" s="388"/>
      <c r="R57" s="387"/>
      <c r="S57" s="387"/>
      <c r="T57" s="387"/>
      <c r="U57" s="390" t="s">
        <v>80</v>
      </c>
      <c r="V57" s="386"/>
      <c r="W57" s="372"/>
      <c r="X57" s="372"/>
      <c r="Y57" s="372"/>
      <c r="Z57" s="373"/>
      <c r="AA57" s="374"/>
      <c r="AB57" s="372"/>
      <c r="AC57" s="372"/>
      <c r="AD57" s="372"/>
      <c r="AE57" s="371"/>
      <c r="AF57" s="375"/>
      <c r="AG57" s="372"/>
      <c r="AH57" s="372"/>
      <c r="AI57" s="372"/>
      <c r="AJ57" s="373"/>
      <c r="AK57" s="374"/>
      <c r="AL57" s="372"/>
      <c r="AM57" s="372"/>
      <c r="AN57" s="372"/>
      <c r="AO57" s="371"/>
      <c r="AP57" s="375"/>
      <c r="AQ57" s="372"/>
      <c r="AR57" s="372"/>
      <c r="AS57" s="372"/>
      <c r="AT57" s="373"/>
      <c r="AU57" s="374"/>
      <c r="AV57" s="372"/>
      <c r="AW57" s="372"/>
      <c r="AX57" s="372"/>
      <c r="AY57" s="371"/>
      <c r="AZ57" s="375"/>
      <c r="BA57" s="372"/>
      <c r="BB57" s="372"/>
      <c r="BC57" s="372"/>
      <c r="BD57" s="373"/>
      <c r="BE57" s="374"/>
      <c r="BF57" s="372"/>
      <c r="BG57" s="372"/>
      <c r="BH57" s="372"/>
      <c r="BI57" s="371"/>
      <c r="BJ57" s="375"/>
      <c r="BK57" s="372"/>
      <c r="BL57" s="372"/>
      <c r="BM57" s="372"/>
      <c r="BN57" s="373"/>
      <c r="BO57" s="374"/>
      <c r="BP57" s="372"/>
      <c r="BQ57" s="372"/>
      <c r="BR57" s="372"/>
      <c r="BS57" s="371"/>
      <c r="BT57" s="375"/>
      <c r="BU57" s="372"/>
      <c r="BV57" s="372"/>
      <c r="BW57" s="372"/>
      <c r="BX57" s="373"/>
      <c r="BY57" s="374"/>
      <c r="BZ57" s="372"/>
      <c r="CA57" s="372"/>
      <c r="CB57" s="372"/>
      <c r="CC57" s="371"/>
      <c r="CD57" s="375"/>
      <c r="CE57" s="372"/>
      <c r="CF57" s="372"/>
      <c r="CG57" s="372"/>
      <c r="CH57" s="371"/>
      <c r="CI57" s="375"/>
      <c r="CJ57" s="372"/>
      <c r="CK57" s="372"/>
      <c r="CL57" s="372"/>
      <c r="CM57" s="373"/>
    </row>
    <row r="58" spans="1:91" ht="25.5" customHeight="1">
      <c r="A58" s="386">
        <v>4401</v>
      </c>
      <c r="B58" s="387" t="s">
        <v>11</v>
      </c>
      <c r="C58" s="387" t="s">
        <v>44</v>
      </c>
      <c r="D58" s="387" t="s">
        <v>76</v>
      </c>
      <c r="E58" s="372" t="s">
        <v>53</v>
      </c>
      <c r="F58" s="387"/>
      <c r="G58" s="372" t="s">
        <v>1370</v>
      </c>
      <c r="H58" s="371" t="s">
        <v>54</v>
      </c>
      <c r="I58" s="375"/>
      <c r="J58" s="372"/>
      <c r="K58" s="373"/>
      <c r="L58" s="388" t="s">
        <v>78</v>
      </c>
      <c r="M58" s="387" t="s">
        <v>77</v>
      </c>
      <c r="N58" s="387"/>
      <c r="O58" s="387" t="s">
        <v>77</v>
      </c>
      <c r="P58" s="389" t="s">
        <v>77</v>
      </c>
      <c r="Q58" s="388"/>
      <c r="R58" s="387"/>
      <c r="S58" s="387"/>
      <c r="T58" s="387"/>
      <c r="U58" s="390" t="s">
        <v>80</v>
      </c>
      <c r="V58" s="386"/>
      <c r="W58" s="372"/>
      <c r="X58" s="372"/>
      <c r="Y58" s="372"/>
      <c r="Z58" s="373"/>
      <c r="AA58" s="374"/>
      <c r="AB58" s="372"/>
      <c r="AC58" s="372"/>
      <c r="AD58" s="372"/>
      <c r="AE58" s="371"/>
      <c r="AF58" s="375"/>
      <c r="AG58" s="372"/>
      <c r="AH58" s="372"/>
      <c r="AI58" s="372"/>
      <c r="AJ58" s="373"/>
      <c r="AK58" s="374"/>
      <c r="AL58" s="372"/>
      <c r="AM58" s="372"/>
      <c r="AN58" s="372"/>
      <c r="AO58" s="371"/>
      <c r="AP58" s="375"/>
      <c r="AQ58" s="372"/>
      <c r="AR58" s="372"/>
      <c r="AS58" s="372"/>
      <c r="AT58" s="373"/>
      <c r="AU58" s="374"/>
      <c r="AV58" s="372"/>
      <c r="AW58" s="372"/>
      <c r="AX58" s="372"/>
      <c r="AY58" s="371"/>
      <c r="AZ58" s="375"/>
      <c r="BA58" s="372"/>
      <c r="BB58" s="372"/>
      <c r="BC58" s="372"/>
      <c r="BD58" s="373"/>
      <c r="BE58" s="374"/>
      <c r="BF58" s="372"/>
      <c r="BG58" s="372"/>
      <c r="BH58" s="372"/>
      <c r="BI58" s="371"/>
      <c r="BJ58" s="375"/>
      <c r="BK58" s="372"/>
      <c r="BL58" s="372"/>
      <c r="BM58" s="372"/>
      <c r="BN58" s="373"/>
      <c r="BO58" s="374"/>
      <c r="BP58" s="372"/>
      <c r="BQ58" s="372"/>
      <c r="BR58" s="372"/>
      <c r="BS58" s="371"/>
      <c r="BT58" s="375"/>
      <c r="BU58" s="372"/>
      <c r="BV58" s="372"/>
      <c r="BW58" s="372"/>
      <c r="BX58" s="373"/>
      <c r="BY58" s="374"/>
      <c r="BZ58" s="372"/>
      <c r="CA58" s="372"/>
      <c r="CB58" s="372"/>
      <c r="CC58" s="371"/>
      <c r="CD58" s="375"/>
      <c r="CE58" s="372"/>
      <c r="CF58" s="372"/>
      <c r="CG58" s="372"/>
      <c r="CH58" s="371"/>
      <c r="CI58" s="375"/>
      <c r="CJ58" s="372"/>
      <c r="CK58" s="372"/>
      <c r="CL58" s="372"/>
      <c r="CM58" s="373"/>
    </row>
    <row r="59" spans="1:91" ht="25.5" customHeight="1" thickBot="1">
      <c r="A59" s="411">
        <v>4402</v>
      </c>
      <c r="B59" s="412" t="s">
        <v>11</v>
      </c>
      <c r="C59" s="412" t="s">
        <v>44</v>
      </c>
      <c r="D59" s="412" t="s">
        <v>76</v>
      </c>
      <c r="E59" s="377" t="s">
        <v>53</v>
      </c>
      <c r="F59" s="412"/>
      <c r="G59" s="377" t="s">
        <v>1372</v>
      </c>
      <c r="H59" s="376" t="s">
        <v>54</v>
      </c>
      <c r="I59" s="380"/>
      <c r="J59" s="377"/>
      <c r="K59" s="378"/>
      <c r="L59" s="413" t="s">
        <v>78</v>
      </c>
      <c r="M59" s="412" t="s">
        <v>77</v>
      </c>
      <c r="N59" s="412"/>
      <c r="O59" s="412" t="s">
        <v>77</v>
      </c>
      <c r="P59" s="414" t="s">
        <v>77</v>
      </c>
      <c r="Q59" s="413"/>
      <c r="R59" s="412"/>
      <c r="S59" s="412"/>
      <c r="T59" s="412"/>
      <c r="U59" s="415" t="s">
        <v>80</v>
      </c>
      <c r="V59" s="411"/>
      <c r="W59" s="377"/>
      <c r="X59" s="377"/>
      <c r="Y59" s="377"/>
      <c r="Z59" s="378"/>
      <c r="AA59" s="379"/>
      <c r="AB59" s="377"/>
      <c r="AC59" s="377"/>
      <c r="AD59" s="377"/>
      <c r="AE59" s="376"/>
      <c r="AF59" s="380"/>
      <c r="AG59" s="377"/>
      <c r="AH59" s="377"/>
      <c r="AI59" s="377"/>
      <c r="AJ59" s="378"/>
      <c r="AK59" s="379"/>
      <c r="AL59" s="377"/>
      <c r="AM59" s="377"/>
      <c r="AN59" s="377"/>
      <c r="AO59" s="376"/>
      <c r="AP59" s="380"/>
      <c r="AQ59" s="377"/>
      <c r="AR59" s="377"/>
      <c r="AS59" s="377"/>
      <c r="AT59" s="378"/>
      <c r="AU59" s="379"/>
      <c r="AV59" s="377"/>
      <c r="AW59" s="377"/>
      <c r="AX59" s="377"/>
      <c r="AY59" s="376"/>
      <c r="AZ59" s="380"/>
      <c r="BA59" s="377"/>
      <c r="BB59" s="377"/>
      <c r="BC59" s="377"/>
      <c r="BD59" s="378"/>
      <c r="BE59" s="379"/>
      <c r="BF59" s="377"/>
      <c r="BG59" s="377"/>
      <c r="BH59" s="377"/>
      <c r="BI59" s="376"/>
      <c r="BJ59" s="380"/>
      <c r="BK59" s="377"/>
      <c r="BL59" s="377"/>
      <c r="BM59" s="377"/>
      <c r="BN59" s="378"/>
      <c r="BO59" s="379"/>
      <c r="BP59" s="377"/>
      <c r="BQ59" s="377"/>
      <c r="BR59" s="377"/>
      <c r="BS59" s="376"/>
      <c r="BT59" s="380"/>
      <c r="BU59" s="377"/>
      <c r="BV59" s="377"/>
      <c r="BW59" s="377"/>
      <c r="BX59" s="378"/>
      <c r="BY59" s="379"/>
      <c r="BZ59" s="377"/>
      <c r="CA59" s="377"/>
      <c r="CB59" s="377"/>
      <c r="CC59" s="376"/>
      <c r="CD59" s="380"/>
      <c r="CE59" s="377"/>
      <c r="CF59" s="377"/>
      <c r="CG59" s="377"/>
      <c r="CH59" s="376"/>
      <c r="CI59" s="380"/>
      <c r="CJ59" s="377"/>
      <c r="CK59" s="377"/>
      <c r="CL59" s="377"/>
      <c r="CM59" s="378"/>
    </row>
    <row r="60" spans="1:91" ht="15" customHeight="1" thickBot="1">
      <c r="A60" s="48"/>
      <c r="B60" s="179"/>
      <c r="C60" s="180"/>
      <c r="D60" s="181"/>
      <c r="E60" s="17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50"/>
      <c r="CH60" s="50"/>
      <c r="CI60" s="50"/>
      <c r="CJ60" s="50"/>
      <c r="CK60" s="50"/>
      <c r="CL60" s="50"/>
      <c r="CM60" s="51"/>
    </row>
    <row r="61" spans="1:91" ht="25.5" customHeight="1" thickBot="1">
      <c r="A61" s="275" t="s">
        <v>31</v>
      </c>
      <c r="B61" s="276"/>
      <c r="C61" s="277"/>
      <c r="D61" s="192"/>
      <c r="E61" s="278" t="s">
        <v>32</v>
      </c>
      <c r="F61" s="276"/>
      <c r="G61" s="277"/>
      <c r="H61" s="193" t="s">
        <v>8</v>
      </c>
      <c r="I61" s="192" t="s">
        <v>9</v>
      </c>
      <c r="J61" s="192" t="s">
        <v>33</v>
      </c>
      <c r="K61" s="192" t="s">
        <v>10</v>
      </c>
      <c r="L61" s="291"/>
      <c r="M61" s="292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  <c r="AA61" s="292"/>
      <c r="AB61" s="292"/>
      <c r="AC61" s="292"/>
      <c r="AD61" s="292"/>
      <c r="AE61" s="292"/>
      <c r="AF61" s="292"/>
      <c r="AG61" s="292"/>
      <c r="AH61" s="292"/>
      <c r="AI61" s="292"/>
      <c r="AJ61" s="292"/>
      <c r="AK61" s="292"/>
      <c r="AL61" s="292"/>
      <c r="AM61" s="292"/>
      <c r="AN61" s="292"/>
      <c r="AO61" s="292"/>
      <c r="AP61" s="292"/>
      <c r="AQ61" s="292"/>
      <c r="AR61" s="292"/>
      <c r="AS61" s="292"/>
      <c r="AT61" s="292"/>
      <c r="AU61" s="292"/>
      <c r="AV61" s="292"/>
      <c r="AW61" s="292"/>
      <c r="AX61" s="292"/>
      <c r="AY61" s="292"/>
      <c r="AZ61" s="292"/>
      <c r="BA61" s="292"/>
      <c r="BB61" s="292"/>
      <c r="BC61" s="292"/>
      <c r="BD61" s="292"/>
      <c r="BE61" s="293"/>
      <c r="BF61" s="300"/>
      <c r="BG61" s="300"/>
      <c r="BH61" s="300"/>
      <c r="BI61" s="300"/>
      <c r="BJ61" s="300"/>
      <c r="BK61" s="300"/>
      <c r="BL61" s="300"/>
      <c r="BM61" s="300"/>
      <c r="BN61" s="300"/>
      <c r="BO61" s="300"/>
      <c r="BP61" s="300"/>
      <c r="BQ61" s="300"/>
      <c r="BR61" s="300"/>
      <c r="BS61" s="300"/>
      <c r="BT61" s="300"/>
      <c r="BU61" s="301"/>
      <c r="BV61" s="291"/>
      <c r="BW61" s="247"/>
      <c r="BX61" s="247"/>
      <c r="BY61" s="247"/>
      <c r="BZ61" s="247"/>
      <c r="CA61" s="247"/>
      <c r="CB61" s="247"/>
      <c r="CC61" s="247"/>
      <c r="CD61" s="247"/>
      <c r="CE61" s="247"/>
      <c r="CF61" s="247"/>
      <c r="CG61" s="247"/>
      <c r="CH61" s="247"/>
      <c r="CI61" s="247"/>
      <c r="CJ61" s="247"/>
      <c r="CK61" s="247"/>
      <c r="CL61" s="247"/>
      <c r="CM61" s="248"/>
    </row>
    <row r="62" spans="1:91" ht="25.5" customHeight="1">
      <c r="A62" s="288"/>
      <c r="B62" s="289"/>
      <c r="C62" s="289"/>
      <c r="D62" s="52"/>
      <c r="E62" s="290"/>
      <c r="F62" s="290"/>
      <c r="G62" s="290"/>
      <c r="H62" s="53"/>
      <c r="I62" s="53"/>
      <c r="J62" s="53"/>
      <c r="K62" s="54"/>
      <c r="L62" s="294"/>
      <c r="M62" s="295"/>
      <c r="N62" s="295"/>
      <c r="O62" s="295"/>
      <c r="P62" s="295"/>
      <c r="Q62" s="295"/>
      <c r="R62" s="295"/>
      <c r="S62" s="295"/>
      <c r="T62" s="295"/>
      <c r="U62" s="295"/>
      <c r="V62" s="295"/>
      <c r="W62" s="295"/>
      <c r="X62" s="295"/>
      <c r="Y62" s="295"/>
      <c r="Z62" s="295"/>
      <c r="AA62" s="295"/>
      <c r="AB62" s="295"/>
      <c r="AC62" s="295"/>
      <c r="AD62" s="295"/>
      <c r="AE62" s="295"/>
      <c r="AF62" s="295"/>
      <c r="AG62" s="295"/>
      <c r="AH62" s="295"/>
      <c r="AI62" s="295"/>
      <c r="AJ62" s="295"/>
      <c r="AK62" s="295"/>
      <c r="AL62" s="295"/>
      <c r="AM62" s="295"/>
      <c r="AN62" s="295"/>
      <c r="AO62" s="295"/>
      <c r="AP62" s="295"/>
      <c r="AQ62" s="295"/>
      <c r="AR62" s="295"/>
      <c r="AS62" s="295"/>
      <c r="AT62" s="295"/>
      <c r="AU62" s="295"/>
      <c r="AV62" s="295"/>
      <c r="AW62" s="295"/>
      <c r="AX62" s="295"/>
      <c r="AY62" s="295"/>
      <c r="AZ62" s="295"/>
      <c r="BA62" s="295"/>
      <c r="BB62" s="295"/>
      <c r="BC62" s="295"/>
      <c r="BD62" s="295"/>
      <c r="BE62" s="296"/>
      <c r="BF62" s="302"/>
      <c r="BG62" s="302"/>
      <c r="BH62" s="302"/>
      <c r="BI62" s="302"/>
      <c r="BJ62" s="302"/>
      <c r="BK62" s="302"/>
      <c r="BL62" s="302"/>
      <c r="BM62" s="302"/>
      <c r="BN62" s="302"/>
      <c r="BO62" s="302"/>
      <c r="BP62" s="302"/>
      <c r="BQ62" s="302"/>
      <c r="BR62" s="302"/>
      <c r="BS62" s="302"/>
      <c r="BT62" s="302"/>
      <c r="BU62" s="303"/>
      <c r="BV62" s="306"/>
      <c r="BW62" s="249"/>
      <c r="BX62" s="249"/>
      <c r="BY62" s="249"/>
      <c r="BZ62" s="249"/>
      <c r="CA62" s="249"/>
      <c r="CB62" s="249"/>
      <c r="CC62" s="249"/>
      <c r="CD62" s="249"/>
      <c r="CE62" s="249"/>
      <c r="CF62" s="249"/>
      <c r="CG62" s="249"/>
      <c r="CH62" s="249"/>
      <c r="CI62" s="249"/>
      <c r="CJ62" s="249"/>
      <c r="CK62" s="249"/>
      <c r="CL62" s="249"/>
      <c r="CM62" s="250"/>
    </row>
    <row r="63" spans="1:91" ht="25.5" customHeight="1" thickBot="1">
      <c r="A63" s="288"/>
      <c r="B63" s="289"/>
      <c r="C63" s="289"/>
      <c r="D63" s="52"/>
      <c r="E63" s="290"/>
      <c r="F63" s="290"/>
      <c r="G63" s="290"/>
      <c r="H63" s="53"/>
      <c r="I63" s="53"/>
      <c r="J63" s="53"/>
      <c r="K63" s="54"/>
      <c r="L63" s="294"/>
      <c r="M63" s="295"/>
      <c r="N63" s="295"/>
      <c r="O63" s="295"/>
      <c r="P63" s="295"/>
      <c r="Q63" s="295"/>
      <c r="R63" s="295"/>
      <c r="S63" s="295"/>
      <c r="T63" s="295"/>
      <c r="U63" s="295"/>
      <c r="V63" s="295"/>
      <c r="W63" s="295"/>
      <c r="X63" s="295"/>
      <c r="Y63" s="295"/>
      <c r="Z63" s="295"/>
      <c r="AA63" s="295"/>
      <c r="AB63" s="295"/>
      <c r="AC63" s="295"/>
      <c r="AD63" s="295"/>
      <c r="AE63" s="295"/>
      <c r="AF63" s="295"/>
      <c r="AG63" s="295"/>
      <c r="AH63" s="295"/>
      <c r="AI63" s="295"/>
      <c r="AJ63" s="295"/>
      <c r="AK63" s="295"/>
      <c r="AL63" s="295"/>
      <c r="AM63" s="295"/>
      <c r="AN63" s="295"/>
      <c r="AO63" s="295"/>
      <c r="AP63" s="295"/>
      <c r="AQ63" s="295"/>
      <c r="AR63" s="295"/>
      <c r="AS63" s="295"/>
      <c r="AT63" s="295"/>
      <c r="AU63" s="295"/>
      <c r="AV63" s="295"/>
      <c r="AW63" s="295"/>
      <c r="AX63" s="295"/>
      <c r="AY63" s="295"/>
      <c r="AZ63" s="295"/>
      <c r="BA63" s="295"/>
      <c r="BB63" s="295"/>
      <c r="BC63" s="295"/>
      <c r="BD63" s="295"/>
      <c r="BE63" s="296"/>
      <c r="BF63" s="304"/>
      <c r="BG63" s="304"/>
      <c r="BH63" s="304"/>
      <c r="BI63" s="304"/>
      <c r="BJ63" s="304"/>
      <c r="BK63" s="304"/>
      <c r="BL63" s="304"/>
      <c r="BM63" s="304"/>
      <c r="BN63" s="304"/>
      <c r="BO63" s="304"/>
      <c r="BP63" s="304"/>
      <c r="BQ63" s="304"/>
      <c r="BR63" s="304"/>
      <c r="BS63" s="304"/>
      <c r="BT63" s="304"/>
      <c r="BU63" s="305"/>
      <c r="BV63" s="263"/>
      <c r="BW63" s="251"/>
      <c r="BX63" s="251"/>
      <c r="BY63" s="251"/>
      <c r="BZ63" s="251"/>
      <c r="CA63" s="251"/>
      <c r="CB63" s="251"/>
      <c r="CC63" s="251"/>
      <c r="CD63" s="251"/>
      <c r="CE63" s="251"/>
      <c r="CF63" s="251"/>
      <c r="CG63" s="251"/>
      <c r="CH63" s="251"/>
      <c r="CI63" s="251"/>
      <c r="CJ63" s="251"/>
      <c r="CK63" s="251"/>
      <c r="CL63" s="251"/>
      <c r="CM63" s="252"/>
    </row>
    <row r="64" spans="1:91" ht="27" customHeight="1">
      <c r="A64" s="288"/>
      <c r="B64" s="289"/>
      <c r="C64" s="289"/>
      <c r="D64" s="52"/>
      <c r="E64" s="290"/>
      <c r="F64" s="290"/>
      <c r="G64" s="290"/>
      <c r="H64" s="53"/>
      <c r="I64" s="53"/>
      <c r="J64" s="53"/>
      <c r="K64" s="54"/>
      <c r="L64" s="294"/>
      <c r="M64" s="295"/>
      <c r="N64" s="295"/>
      <c r="O64" s="295"/>
      <c r="P64" s="295"/>
      <c r="Q64" s="295"/>
      <c r="R64" s="295"/>
      <c r="S64" s="295"/>
      <c r="T64" s="295"/>
      <c r="U64" s="295"/>
      <c r="V64" s="295"/>
      <c r="W64" s="295"/>
      <c r="X64" s="295"/>
      <c r="Y64" s="295"/>
      <c r="Z64" s="295"/>
      <c r="AA64" s="295"/>
      <c r="AB64" s="295"/>
      <c r="AC64" s="295"/>
      <c r="AD64" s="295"/>
      <c r="AE64" s="295"/>
      <c r="AF64" s="295"/>
      <c r="AG64" s="295"/>
      <c r="AH64" s="295"/>
      <c r="AI64" s="295"/>
      <c r="AJ64" s="295"/>
      <c r="AK64" s="295"/>
      <c r="AL64" s="295"/>
      <c r="AM64" s="295"/>
      <c r="AN64" s="295"/>
      <c r="AO64" s="295"/>
      <c r="AP64" s="295"/>
      <c r="AQ64" s="295"/>
      <c r="AR64" s="295"/>
      <c r="AS64" s="295"/>
      <c r="AT64" s="295"/>
      <c r="AU64" s="295"/>
      <c r="AV64" s="295"/>
      <c r="AW64" s="295"/>
      <c r="AX64" s="295"/>
      <c r="AY64" s="295"/>
      <c r="AZ64" s="295"/>
      <c r="BA64" s="295"/>
      <c r="BB64" s="295"/>
      <c r="BC64" s="295"/>
      <c r="BD64" s="295"/>
      <c r="BE64" s="296"/>
      <c r="BF64" s="247" t="s">
        <v>89</v>
      </c>
      <c r="BG64" s="247"/>
      <c r="BH64" s="247"/>
      <c r="BI64" s="247"/>
      <c r="BJ64" s="247"/>
      <c r="BK64" s="247"/>
      <c r="BL64" s="247"/>
      <c r="BM64" s="247"/>
      <c r="BN64" s="247"/>
      <c r="BO64" s="247"/>
      <c r="BP64" s="247"/>
      <c r="BQ64" s="247"/>
      <c r="BR64" s="247"/>
      <c r="BS64" s="247"/>
      <c r="BT64" s="247"/>
      <c r="BU64" s="248"/>
      <c r="BV64" s="279" t="s">
        <v>90</v>
      </c>
      <c r="BW64" s="280"/>
      <c r="BX64" s="280"/>
      <c r="BY64" s="280"/>
      <c r="BZ64" s="280"/>
      <c r="CA64" s="280"/>
      <c r="CB64" s="280"/>
      <c r="CC64" s="280"/>
      <c r="CD64" s="280"/>
      <c r="CE64" s="280"/>
      <c r="CF64" s="280"/>
      <c r="CG64" s="280"/>
      <c r="CH64" s="280"/>
      <c r="CI64" s="280"/>
      <c r="CJ64" s="280"/>
      <c r="CK64" s="280"/>
      <c r="CL64" s="280"/>
      <c r="CM64" s="281"/>
    </row>
    <row r="65" spans="1:91" ht="25.5" customHeight="1">
      <c r="A65" s="288"/>
      <c r="B65" s="289"/>
      <c r="C65" s="289"/>
      <c r="D65" s="52"/>
      <c r="E65" s="290"/>
      <c r="F65" s="290"/>
      <c r="G65" s="290"/>
      <c r="H65" s="53"/>
      <c r="I65" s="53"/>
      <c r="J65" s="53"/>
      <c r="K65" s="54"/>
      <c r="L65" s="294"/>
      <c r="M65" s="295"/>
      <c r="N65" s="295"/>
      <c r="O65" s="295"/>
      <c r="P65" s="295"/>
      <c r="Q65" s="295"/>
      <c r="R65" s="295"/>
      <c r="S65" s="295"/>
      <c r="T65" s="295"/>
      <c r="U65" s="295"/>
      <c r="V65" s="295"/>
      <c r="W65" s="295"/>
      <c r="X65" s="295"/>
      <c r="Y65" s="295"/>
      <c r="Z65" s="295"/>
      <c r="AA65" s="295"/>
      <c r="AB65" s="295"/>
      <c r="AC65" s="295"/>
      <c r="AD65" s="295"/>
      <c r="AE65" s="295"/>
      <c r="AF65" s="295"/>
      <c r="AG65" s="295"/>
      <c r="AH65" s="295"/>
      <c r="AI65" s="295"/>
      <c r="AJ65" s="295"/>
      <c r="AK65" s="295"/>
      <c r="AL65" s="295"/>
      <c r="AM65" s="295"/>
      <c r="AN65" s="295"/>
      <c r="AO65" s="295"/>
      <c r="AP65" s="295"/>
      <c r="AQ65" s="295"/>
      <c r="AR65" s="295"/>
      <c r="AS65" s="295"/>
      <c r="AT65" s="295"/>
      <c r="AU65" s="295"/>
      <c r="AV65" s="295"/>
      <c r="AW65" s="295"/>
      <c r="AX65" s="295"/>
      <c r="AY65" s="295"/>
      <c r="AZ65" s="295"/>
      <c r="BA65" s="295"/>
      <c r="BB65" s="295"/>
      <c r="BC65" s="295"/>
      <c r="BD65" s="295"/>
      <c r="BE65" s="296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50"/>
      <c r="BV65" s="282"/>
      <c r="BW65" s="283"/>
      <c r="BX65" s="283"/>
      <c r="BY65" s="283"/>
      <c r="BZ65" s="283"/>
      <c r="CA65" s="283"/>
      <c r="CB65" s="283"/>
      <c r="CC65" s="283"/>
      <c r="CD65" s="283"/>
      <c r="CE65" s="283"/>
      <c r="CF65" s="283"/>
      <c r="CG65" s="283"/>
      <c r="CH65" s="283"/>
      <c r="CI65" s="283"/>
      <c r="CJ65" s="283"/>
      <c r="CK65" s="283"/>
      <c r="CL65" s="283"/>
      <c r="CM65" s="284"/>
    </row>
    <row r="66" spans="1:91" ht="25.5" customHeight="1" thickBot="1">
      <c r="A66" s="288"/>
      <c r="B66" s="289"/>
      <c r="C66" s="289"/>
      <c r="D66" s="52"/>
      <c r="E66" s="290"/>
      <c r="F66" s="290"/>
      <c r="G66" s="290"/>
      <c r="H66" s="53"/>
      <c r="I66" s="53"/>
      <c r="J66" s="53"/>
      <c r="K66" s="54"/>
      <c r="L66" s="294"/>
      <c r="M66" s="295"/>
      <c r="N66" s="295"/>
      <c r="O66" s="295"/>
      <c r="P66" s="295"/>
      <c r="Q66" s="295"/>
      <c r="R66" s="295"/>
      <c r="S66" s="295"/>
      <c r="T66" s="295"/>
      <c r="U66" s="295"/>
      <c r="V66" s="295"/>
      <c r="W66" s="295"/>
      <c r="X66" s="295"/>
      <c r="Y66" s="295"/>
      <c r="Z66" s="295"/>
      <c r="AA66" s="295"/>
      <c r="AB66" s="295"/>
      <c r="AC66" s="295"/>
      <c r="AD66" s="295"/>
      <c r="AE66" s="295"/>
      <c r="AF66" s="295"/>
      <c r="AG66" s="295"/>
      <c r="AH66" s="295"/>
      <c r="AI66" s="295"/>
      <c r="AJ66" s="295"/>
      <c r="AK66" s="295"/>
      <c r="AL66" s="295"/>
      <c r="AM66" s="295"/>
      <c r="AN66" s="295"/>
      <c r="AO66" s="295"/>
      <c r="AP66" s="295"/>
      <c r="AQ66" s="295"/>
      <c r="AR66" s="295"/>
      <c r="AS66" s="295"/>
      <c r="AT66" s="295"/>
      <c r="AU66" s="295"/>
      <c r="AV66" s="295"/>
      <c r="AW66" s="295"/>
      <c r="AX66" s="295"/>
      <c r="AY66" s="295"/>
      <c r="AZ66" s="295"/>
      <c r="BA66" s="295"/>
      <c r="BB66" s="295"/>
      <c r="BC66" s="295"/>
      <c r="BD66" s="295"/>
      <c r="BE66" s="296"/>
      <c r="BF66" s="251"/>
      <c r="BG66" s="251"/>
      <c r="BH66" s="251"/>
      <c r="BI66" s="251"/>
      <c r="BJ66" s="251"/>
      <c r="BK66" s="251"/>
      <c r="BL66" s="251"/>
      <c r="BM66" s="251"/>
      <c r="BN66" s="251"/>
      <c r="BO66" s="251"/>
      <c r="BP66" s="251"/>
      <c r="BQ66" s="251"/>
      <c r="BR66" s="251"/>
      <c r="BS66" s="251"/>
      <c r="BT66" s="251"/>
      <c r="BU66" s="252"/>
      <c r="BV66" s="285"/>
      <c r="BW66" s="286"/>
      <c r="BX66" s="286"/>
      <c r="BY66" s="286"/>
      <c r="BZ66" s="286"/>
      <c r="CA66" s="286"/>
      <c r="CB66" s="286"/>
      <c r="CC66" s="286"/>
      <c r="CD66" s="286"/>
      <c r="CE66" s="286"/>
      <c r="CF66" s="286"/>
      <c r="CG66" s="286"/>
      <c r="CH66" s="286"/>
      <c r="CI66" s="286"/>
      <c r="CJ66" s="286"/>
      <c r="CK66" s="286"/>
      <c r="CL66" s="286"/>
      <c r="CM66" s="287"/>
    </row>
    <row r="67" spans="1:91" ht="25.5" customHeight="1">
      <c r="A67" s="255" t="e">
        <f>IF(#REF!&lt;&gt;"",#REF!,"")</f>
        <v>#REF!</v>
      </c>
      <c r="B67" s="256"/>
      <c r="C67" s="256"/>
      <c r="D67" s="185"/>
      <c r="E67" s="257" t="e">
        <f>IF(#REF!&lt;&gt;"",#REF!,"")</f>
        <v>#REF!</v>
      </c>
      <c r="F67" s="257"/>
      <c r="G67" s="257"/>
      <c r="H67" s="186" t="e">
        <f>IF(#REF!&lt;&gt;"",#REF!,"")</f>
        <v>#REF!</v>
      </c>
      <c r="I67" s="186" t="e">
        <f>IF(#REF!&lt;&gt;"",#REF!,"")</f>
        <v>#REF!</v>
      </c>
      <c r="J67" s="186" t="e">
        <f>IF(#REF!&lt;&gt;"",#REF!,"")</f>
        <v>#REF!</v>
      </c>
      <c r="K67" s="187" t="e">
        <f>IF(#REF!&lt;&gt;"",#REF!,"")</f>
        <v>#REF!</v>
      </c>
      <c r="L67" s="294"/>
      <c r="M67" s="295"/>
      <c r="N67" s="295"/>
      <c r="O67" s="295"/>
      <c r="P67" s="295"/>
      <c r="Q67" s="295"/>
      <c r="R67" s="295"/>
      <c r="S67" s="295"/>
      <c r="T67" s="295"/>
      <c r="U67" s="295"/>
      <c r="V67" s="295"/>
      <c r="W67" s="295"/>
      <c r="X67" s="295"/>
      <c r="Y67" s="295"/>
      <c r="Z67" s="295"/>
      <c r="AA67" s="295"/>
      <c r="AB67" s="295"/>
      <c r="AC67" s="295"/>
      <c r="AD67" s="295"/>
      <c r="AE67" s="295"/>
      <c r="AF67" s="295"/>
      <c r="AG67" s="295"/>
      <c r="AH67" s="295"/>
      <c r="AI67" s="295"/>
      <c r="AJ67" s="295"/>
      <c r="AK67" s="295"/>
      <c r="AL67" s="295"/>
      <c r="AM67" s="295"/>
      <c r="AN67" s="295"/>
      <c r="AO67" s="295"/>
      <c r="AP67" s="295"/>
      <c r="AQ67" s="295"/>
      <c r="AR67" s="295"/>
      <c r="AS67" s="295"/>
      <c r="AT67" s="295"/>
      <c r="AU67" s="295"/>
      <c r="AV67" s="295"/>
      <c r="AW67" s="295"/>
      <c r="AX67" s="295"/>
      <c r="AY67" s="295"/>
      <c r="AZ67" s="295"/>
      <c r="BA67" s="295"/>
      <c r="BB67" s="295"/>
      <c r="BC67" s="295"/>
      <c r="BD67" s="295"/>
      <c r="BE67" s="296"/>
      <c r="BF67" s="272" t="s">
        <v>34</v>
      </c>
      <c r="BG67" s="272"/>
      <c r="BH67" s="272"/>
      <c r="BI67" s="272"/>
      <c r="BJ67" s="272"/>
      <c r="BK67" s="272"/>
      <c r="BL67" s="272"/>
      <c r="BM67" s="272"/>
      <c r="BN67" s="272"/>
      <c r="BO67" s="272"/>
      <c r="BP67" s="272"/>
      <c r="BQ67" s="272"/>
      <c r="BR67" s="272"/>
      <c r="BS67" s="272"/>
      <c r="BT67" s="272"/>
      <c r="BU67" s="254"/>
      <c r="BV67" s="273" t="s">
        <v>35</v>
      </c>
      <c r="BW67" s="272"/>
      <c r="BX67" s="274"/>
      <c r="BY67" s="253" t="s">
        <v>36</v>
      </c>
      <c r="BZ67" s="272"/>
      <c r="CA67" s="272"/>
      <c r="CB67" s="272"/>
      <c r="CC67" s="272"/>
      <c r="CD67" s="272"/>
      <c r="CE67" s="272"/>
      <c r="CF67" s="272"/>
      <c r="CG67" s="272"/>
      <c r="CH67" s="272"/>
      <c r="CI67" s="272"/>
      <c r="CJ67" s="272"/>
      <c r="CK67" s="274"/>
      <c r="CL67" s="253" t="s">
        <v>37</v>
      </c>
      <c r="CM67" s="254"/>
    </row>
    <row r="68" spans="1:91" ht="25.5" customHeight="1">
      <c r="A68" s="255" t="e">
        <f>IF(#REF!&lt;&gt;"",#REF!,"")</f>
        <v>#REF!</v>
      </c>
      <c r="B68" s="256"/>
      <c r="C68" s="256"/>
      <c r="D68" s="185"/>
      <c r="E68" s="257" t="e">
        <f>IF(#REF!&lt;&gt;"",#REF!,"")</f>
        <v>#REF!</v>
      </c>
      <c r="F68" s="257"/>
      <c r="G68" s="257"/>
      <c r="H68" s="186" t="e">
        <f>IF(#REF!&lt;&gt;"",#REF!,"")</f>
        <v>#REF!</v>
      </c>
      <c r="I68" s="186" t="e">
        <f>IF(#REF!&lt;&gt;"",#REF!,"")</f>
        <v>#REF!</v>
      </c>
      <c r="J68" s="186" t="e">
        <f>IF(#REF!&lt;&gt;"",#REF!,"")</f>
        <v>#REF!</v>
      </c>
      <c r="K68" s="187" t="e">
        <f>IF(#REF!&lt;&gt;"",#REF!,"")</f>
        <v>#REF!</v>
      </c>
      <c r="L68" s="294"/>
      <c r="M68" s="295"/>
      <c r="N68" s="295"/>
      <c r="O68" s="295"/>
      <c r="P68" s="295"/>
      <c r="Q68" s="295"/>
      <c r="R68" s="295"/>
      <c r="S68" s="295"/>
      <c r="T68" s="295"/>
      <c r="U68" s="295"/>
      <c r="V68" s="295"/>
      <c r="W68" s="295"/>
      <c r="X68" s="295"/>
      <c r="Y68" s="295"/>
      <c r="Z68" s="295"/>
      <c r="AA68" s="295"/>
      <c r="AB68" s="295"/>
      <c r="AC68" s="295"/>
      <c r="AD68" s="295"/>
      <c r="AE68" s="295"/>
      <c r="AF68" s="295"/>
      <c r="AG68" s="295"/>
      <c r="AH68" s="295"/>
      <c r="AI68" s="295"/>
      <c r="AJ68" s="295"/>
      <c r="AK68" s="295"/>
      <c r="AL68" s="295"/>
      <c r="AM68" s="295"/>
      <c r="AN68" s="295"/>
      <c r="AO68" s="295"/>
      <c r="AP68" s="295"/>
      <c r="AQ68" s="295"/>
      <c r="AR68" s="295"/>
      <c r="AS68" s="295"/>
      <c r="AT68" s="295"/>
      <c r="AU68" s="295"/>
      <c r="AV68" s="295"/>
      <c r="AW68" s="295"/>
      <c r="AX68" s="295"/>
      <c r="AY68" s="295"/>
      <c r="AZ68" s="295"/>
      <c r="BA68" s="295"/>
      <c r="BB68" s="295"/>
      <c r="BC68" s="295"/>
      <c r="BD68" s="295"/>
      <c r="BE68" s="296"/>
      <c r="BF68" s="258" t="s">
        <v>5</v>
      </c>
      <c r="BG68" s="259"/>
      <c r="BH68" s="259"/>
      <c r="BI68" s="259"/>
      <c r="BJ68" s="259"/>
      <c r="BK68" s="259"/>
      <c r="BL68" s="259"/>
      <c r="BM68" s="259"/>
      <c r="BN68" s="259"/>
      <c r="BO68" s="259"/>
      <c r="BP68" s="259"/>
      <c r="BQ68" s="259"/>
      <c r="BR68" s="259"/>
      <c r="BS68" s="259"/>
      <c r="BT68" s="259"/>
      <c r="BU68" s="260"/>
      <c r="BV68" s="261" t="s">
        <v>12</v>
      </c>
      <c r="BW68" s="259"/>
      <c r="BX68" s="262"/>
      <c r="BY68" s="265" t="s">
        <v>1702</v>
      </c>
      <c r="BZ68" s="266"/>
      <c r="CA68" s="266"/>
      <c r="CB68" s="266"/>
      <c r="CC68" s="266"/>
      <c r="CD68" s="266"/>
      <c r="CE68" s="266"/>
      <c r="CF68" s="266"/>
      <c r="CG68" s="266"/>
      <c r="CH68" s="266"/>
      <c r="CI68" s="266"/>
      <c r="CJ68" s="266"/>
      <c r="CK68" s="267"/>
      <c r="CL68" s="227" t="s">
        <v>11</v>
      </c>
      <c r="CM68" s="260"/>
    </row>
    <row r="69" spans="1:91" ht="25.5" customHeight="1" thickBot="1">
      <c r="A69" s="255" t="e">
        <f>IF(#REF!&lt;&gt;"",#REF!,"")</f>
        <v>#REF!</v>
      </c>
      <c r="B69" s="256"/>
      <c r="C69" s="256"/>
      <c r="D69" s="185"/>
      <c r="E69" s="257" t="e">
        <f>IF(#REF!&lt;&gt;"",#REF!,"")</f>
        <v>#REF!</v>
      </c>
      <c r="F69" s="257"/>
      <c r="G69" s="257"/>
      <c r="H69" s="186" t="e">
        <f>IF(#REF!&lt;&gt;"",#REF!,"")</f>
        <v>#REF!</v>
      </c>
      <c r="I69" s="186" t="e">
        <f>IF(#REF!&lt;&gt;"",#REF!,"")</f>
        <v>#REF!</v>
      </c>
      <c r="J69" s="186" t="e">
        <f>IF(#REF!&lt;&gt;"",#REF!,"")</f>
        <v>#REF!</v>
      </c>
      <c r="K69" s="187" t="e">
        <f>IF(#REF!&lt;&gt;"",#REF!,"")</f>
        <v>#REF!</v>
      </c>
      <c r="L69" s="297"/>
      <c r="M69" s="298"/>
      <c r="N69" s="298"/>
      <c r="O69" s="298"/>
      <c r="P69" s="298"/>
      <c r="Q69" s="298"/>
      <c r="R69" s="298"/>
      <c r="S69" s="298"/>
      <c r="T69" s="298"/>
      <c r="U69" s="298"/>
      <c r="V69" s="298"/>
      <c r="W69" s="298"/>
      <c r="X69" s="298"/>
      <c r="Y69" s="298"/>
      <c r="Z69" s="298"/>
      <c r="AA69" s="298"/>
      <c r="AB69" s="298"/>
      <c r="AC69" s="298"/>
      <c r="AD69" s="298"/>
      <c r="AE69" s="298"/>
      <c r="AF69" s="298"/>
      <c r="AG69" s="298"/>
      <c r="AH69" s="298"/>
      <c r="AI69" s="298"/>
      <c r="AJ69" s="298"/>
      <c r="AK69" s="298"/>
      <c r="AL69" s="298"/>
      <c r="AM69" s="298"/>
      <c r="AN69" s="298"/>
      <c r="AO69" s="298"/>
      <c r="AP69" s="298"/>
      <c r="AQ69" s="298"/>
      <c r="AR69" s="298"/>
      <c r="AS69" s="298"/>
      <c r="AT69" s="298"/>
      <c r="AU69" s="298"/>
      <c r="AV69" s="298"/>
      <c r="AW69" s="298"/>
      <c r="AX69" s="298"/>
      <c r="AY69" s="298"/>
      <c r="AZ69" s="298"/>
      <c r="BA69" s="298"/>
      <c r="BB69" s="298"/>
      <c r="BC69" s="298"/>
      <c r="BD69" s="298"/>
      <c r="BE69" s="299"/>
      <c r="BF69" s="251"/>
      <c r="BG69" s="251"/>
      <c r="BH69" s="251"/>
      <c r="BI69" s="251"/>
      <c r="BJ69" s="251"/>
      <c r="BK69" s="251"/>
      <c r="BL69" s="251"/>
      <c r="BM69" s="251"/>
      <c r="BN69" s="251"/>
      <c r="BO69" s="251"/>
      <c r="BP69" s="251"/>
      <c r="BQ69" s="251"/>
      <c r="BR69" s="251"/>
      <c r="BS69" s="251"/>
      <c r="BT69" s="251"/>
      <c r="BU69" s="252"/>
      <c r="BV69" s="263"/>
      <c r="BW69" s="251"/>
      <c r="BX69" s="264"/>
      <c r="BY69" s="268"/>
      <c r="BZ69" s="269"/>
      <c r="CA69" s="269"/>
      <c r="CB69" s="269"/>
      <c r="CC69" s="269"/>
      <c r="CD69" s="269"/>
      <c r="CE69" s="269"/>
      <c r="CF69" s="269"/>
      <c r="CG69" s="269"/>
      <c r="CH69" s="269"/>
      <c r="CI69" s="269"/>
      <c r="CJ69" s="269"/>
      <c r="CK69" s="270"/>
      <c r="CL69" s="271"/>
      <c r="CM69" s="252"/>
    </row>
    <row r="70" spans="1:91" ht="12" customHeight="1">
      <c r="A70" s="55"/>
      <c r="B70" s="56"/>
      <c r="C70" s="56"/>
      <c r="D70" s="56"/>
      <c r="E70" s="57"/>
      <c r="F70" s="58"/>
      <c r="G70" s="58"/>
      <c r="H70" s="58"/>
      <c r="I70" s="59"/>
      <c r="BL70" s="17"/>
      <c r="BM70" s="17"/>
      <c r="BN70" s="17"/>
      <c r="BO70" s="17"/>
      <c r="BP70" s="17"/>
      <c r="BQ70" s="17"/>
      <c r="BR70" s="17"/>
      <c r="BS70" s="17"/>
      <c r="BT70" s="61"/>
      <c r="CD70" s="57"/>
      <c r="CE70" s="57"/>
      <c r="CF70" s="57"/>
      <c r="CG70" s="57"/>
      <c r="CH70" s="57"/>
      <c r="CI70" s="57"/>
      <c r="CJ70" s="57"/>
      <c r="CK70" s="57"/>
      <c r="CL70" s="57"/>
      <c r="CM70" s="57"/>
    </row>
  </sheetData>
  <mergeCells count="45"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BV64:CM66"/>
    <mergeCell ref="A65:C65"/>
    <mergeCell ref="E65:G65"/>
    <mergeCell ref="A66:C66"/>
    <mergeCell ref="E66:G66"/>
    <mergeCell ref="A67:C67"/>
    <mergeCell ref="E67:G67"/>
    <mergeCell ref="BF67:BU67"/>
    <mergeCell ref="BV67:BX67"/>
    <mergeCell ref="BY67:CK67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BF64:BU66"/>
    <mergeCell ref="G7:G9"/>
    <mergeCell ref="H7:H9"/>
    <mergeCell ref="I7:K7"/>
    <mergeCell ref="J8:K8"/>
    <mergeCell ref="A61:C61"/>
    <mergeCell ref="E61:G61"/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29" orientation="landscape" r:id="rId1"/>
  <headerFooter alignWithMargins="0">
    <oddFooter xml:space="preserve">&amp;L&amp;Z&amp;F&amp;C&amp;D&amp;RConcise DesignShutdown Key 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DQ70"/>
  <sheetViews>
    <sheetView showGridLines="0" view="pageBreakPreview" topLeftCell="C1" zoomScale="50" zoomScaleNormal="50" zoomScaleSheetLayoutView="50" zoomScalePageLayoutView="50" workbookViewId="0">
      <selection activeCell="I1" sqref="I1:K9"/>
    </sheetView>
  </sheetViews>
  <sheetFormatPr defaultColWidth="12.7109375" defaultRowHeight="12" customHeight="1"/>
  <cols>
    <col min="1" max="1" width="8.7109375" style="21" hidden="1" customWidth="1"/>
    <col min="2" max="2" width="7.42578125" style="21" hidden="1" customWidth="1"/>
    <col min="3" max="3" width="19" style="21" customWidth="1"/>
    <col min="4" max="4" width="25.42578125" style="21" hidden="1" customWidth="1"/>
    <col min="5" max="5" width="95.85546875" style="27" bestFit="1" customWidth="1"/>
    <col min="6" max="6" width="18.42578125" style="196" hidden="1" customWidth="1"/>
    <col min="7" max="7" width="31.5703125" style="196" bestFit="1" customWidth="1"/>
    <col min="8" max="8" width="33" style="196" bestFit="1" customWidth="1"/>
    <col min="9" max="10" width="8.42578125" style="41" customWidth="1"/>
    <col min="11" max="11" width="10.85546875" style="41" bestFit="1" customWidth="1"/>
    <col min="12" max="12" width="6.140625" style="60" hidden="1" customWidth="1"/>
    <col min="13" max="14" width="6.140625" style="27" customWidth="1"/>
    <col min="15" max="16" width="6.140625" style="27" hidden="1" customWidth="1"/>
    <col min="17" max="21" width="6.140625" style="27" customWidth="1"/>
    <col min="22" max="22" width="6.140625" style="60" customWidth="1"/>
    <col min="23" max="31" width="6.140625" style="27" customWidth="1"/>
    <col min="32" max="32" width="6.140625" style="60" customWidth="1"/>
    <col min="33" max="41" width="6.140625" style="27" customWidth="1"/>
    <col min="42" max="42" width="6.140625" style="60" customWidth="1"/>
    <col min="43" max="51" width="6.140625" style="27" customWidth="1"/>
    <col min="52" max="52" width="6.140625" style="60" customWidth="1"/>
    <col min="53" max="61" width="6.140625" style="27" customWidth="1"/>
    <col min="62" max="62" width="6.140625" style="60" customWidth="1"/>
    <col min="63" max="71" width="6.140625" style="27" customWidth="1"/>
    <col min="72" max="72" width="6.140625" style="60" customWidth="1"/>
    <col min="73" max="80" width="6.140625" style="27" customWidth="1"/>
    <col min="81" max="81" width="6.140625" style="62" customWidth="1"/>
    <col min="82" max="91" width="6.140625" style="27" customWidth="1"/>
    <col min="92" max="16384" width="12.7109375" style="27"/>
  </cols>
  <sheetData>
    <row r="1" spans="1:121" s="194" customFormat="1" ht="20.25" customHeight="1">
      <c r="A1" s="15"/>
      <c r="B1" s="16"/>
      <c r="C1" s="16"/>
      <c r="D1" s="16"/>
      <c r="E1" s="17"/>
      <c r="F1" s="195"/>
      <c r="G1" s="195"/>
      <c r="H1" s="195"/>
      <c r="I1" s="18"/>
      <c r="J1" s="19" t="s">
        <v>13</v>
      </c>
      <c r="K1" s="20"/>
      <c r="L1" s="407">
        <v>1</v>
      </c>
      <c r="M1" s="402">
        <v>2</v>
      </c>
      <c r="N1" s="402">
        <v>3</v>
      </c>
      <c r="O1" s="402">
        <v>4</v>
      </c>
      <c r="P1" s="408">
        <v>6</v>
      </c>
      <c r="Q1" s="407">
        <v>7</v>
      </c>
      <c r="R1" s="402">
        <v>238</v>
      </c>
      <c r="S1" s="402">
        <v>889</v>
      </c>
      <c r="T1" s="402">
        <v>887</v>
      </c>
      <c r="U1" s="409">
        <v>888</v>
      </c>
      <c r="V1" s="401">
        <v>231</v>
      </c>
      <c r="W1" s="403">
        <v>7777</v>
      </c>
      <c r="X1" s="403"/>
      <c r="Y1" s="403"/>
      <c r="Z1" s="406"/>
      <c r="AA1" s="410"/>
      <c r="AB1" s="403"/>
      <c r="AC1" s="403"/>
      <c r="AD1" s="403"/>
      <c r="AE1" s="404"/>
      <c r="AF1" s="405"/>
      <c r="AG1" s="403"/>
      <c r="AH1" s="403"/>
      <c r="AI1" s="403"/>
      <c r="AJ1" s="406"/>
      <c r="AK1" s="410"/>
      <c r="AL1" s="403"/>
      <c r="AM1" s="403"/>
      <c r="AN1" s="403"/>
      <c r="AO1" s="404"/>
      <c r="AP1" s="405"/>
      <c r="AQ1" s="403"/>
      <c r="AR1" s="403"/>
      <c r="AS1" s="403"/>
      <c r="AT1" s="406"/>
      <c r="AU1" s="410"/>
      <c r="AV1" s="403"/>
      <c r="AW1" s="403"/>
      <c r="AX1" s="403"/>
      <c r="AY1" s="404"/>
      <c r="AZ1" s="405"/>
      <c r="BA1" s="403"/>
      <c r="BB1" s="403"/>
      <c r="BC1" s="403"/>
      <c r="BD1" s="406"/>
      <c r="BE1" s="410"/>
      <c r="BF1" s="403"/>
      <c r="BG1" s="403"/>
      <c r="BH1" s="403"/>
      <c r="BI1" s="404"/>
      <c r="BJ1" s="405"/>
      <c r="BK1" s="403"/>
      <c r="BL1" s="403"/>
      <c r="BM1" s="403"/>
      <c r="BN1" s="406"/>
      <c r="BO1" s="410"/>
      <c r="BP1" s="403"/>
      <c r="BQ1" s="403"/>
      <c r="BR1" s="403"/>
      <c r="BS1" s="404"/>
      <c r="BT1" s="405"/>
      <c r="BU1" s="403"/>
      <c r="BV1" s="403"/>
      <c r="BW1" s="403"/>
      <c r="BX1" s="406"/>
      <c r="BY1" s="410"/>
      <c r="BZ1" s="403"/>
      <c r="CA1" s="403"/>
      <c r="CB1" s="403"/>
      <c r="CC1" s="404"/>
      <c r="CD1" s="405"/>
      <c r="CE1" s="403"/>
      <c r="CF1" s="403"/>
      <c r="CG1" s="403"/>
      <c r="CH1" s="404"/>
      <c r="CI1" s="405"/>
      <c r="CJ1" s="403"/>
      <c r="CK1" s="403"/>
      <c r="CL1" s="403"/>
      <c r="CM1" s="406"/>
      <c r="CN1" s="21"/>
      <c r="CO1" s="21"/>
      <c r="CP1" s="21"/>
      <c r="CQ1" s="21"/>
      <c r="CR1" s="21"/>
      <c r="CS1" s="21"/>
      <c r="CT1" s="21"/>
      <c r="CU1" s="21"/>
      <c r="CV1" s="21"/>
      <c r="CW1" s="21"/>
      <c r="CX1" s="21"/>
      <c r="CY1" s="21"/>
      <c r="CZ1" s="21"/>
      <c r="DA1" s="21"/>
      <c r="DB1" s="21"/>
      <c r="DC1" s="21"/>
      <c r="DD1" s="21"/>
      <c r="DE1" s="21"/>
      <c r="DF1" s="21"/>
      <c r="DG1" s="21"/>
      <c r="DH1" s="21"/>
      <c r="DI1" s="21"/>
      <c r="DJ1" s="21"/>
      <c r="DK1" s="21"/>
      <c r="DL1" s="21"/>
      <c r="DM1" s="21"/>
      <c r="DN1" s="21"/>
      <c r="DO1" s="21"/>
      <c r="DP1" s="21"/>
      <c r="DQ1" s="21"/>
    </row>
    <row r="2" spans="1:121" s="194" customFormat="1" ht="24" customHeight="1" thickBot="1">
      <c r="A2" s="22"/>
      <c r="B2" s="21"/>
      <c r="C2" s="21"/>
      <c r="D2" s="21"/>
      <c r="F2" s="196"/>
      <c r="G2" s="196"/>
      <c r="H2" s="196"/>
      <c r="I2" s="23"/>
      <c r="J2" s="24" t="s">
        <v>14</v>
      </c>
      <c r="K2" s="25"/>
      <c r="L2" s="388" t="s">
        <v>11</v>
      </c>
      <c r="M2" s="387" t="s">
        <v>11</v>
      </c>
      <c r="N2" s="387" t="s">
        <v>11</v>
      </c>
      <c r="O2" s="387" t="s">
        <v>11</v>
      </c>
      <c r="P2" s="389" t="s">
        <v>11</v>
      </c>
      <c r="Q2" s="388" t="s">
        <v>77</v>
      </c>
      <c r="R2" s="387" t="s">
        <v>11</v>
      </c>
      <c r="S2" s="387" t="s">
        <v>11</v>
      </c>
      <c r="T2" s="387" t="s">
        <v>11</v>
      </c>
      <c r="U2" s="390" t="s">
        <v>11</v>
      </c>
      <c r="V2" s="386" t="s">
        <v>11</v>
      </c>
      <c r="W2" s="372" t="s">
        <v>11</v>
      </c>
      <c r="X2" s="372"/>
      <c r="Y2" s="372"/>
      <c r="Z2" s="373"/>
      <c r="AA2" s="374"/>
      <c r="AB2" s="372"/>
      <c r="AC2" s="372"/>
      <c r="AD2" s="372"/>
      <c r="AE2" s="371"/>
      <c r="AF2" s="375"/>
      <c r="AG2" s="372"/>
      <c r="AH2" s="372"/>
      <c r="AI2" s="372"/>
      <c r="AJ2" s="373"/>
      <c r="AK2" s="374"/>
      <c r="AL2" s="372"/>
      <c r="AM2" s="372"/>
      <c r="AN2" s="372"/>
      <c r="AO2" s="371"/>
      <c r="AP2" s="375"/>
      <c r="AQ2" s="372"/>
      <c r="AR2" s="372"/>
      <c r="AS2" s="372"/>
      <c r="AT2" s="373"/>
      <c r="AU2" s="374"/>
      <c r="AV2" s="372"/>
      <c r="AW2" s="372"/>
      <c r="AX2" s="372"/>
      <c r="AY2" s="371"/>
      <c r="AZ2" s="375"/>
      <c r="BA2" s="372"/>
      <c r="BB2" s="372"/>
      <c r="BC2" s="372"/>
      <c r="BD2" s="373"/>
      <c r="BE2" s="374"/>
      <c r="BF2" s="372"/>
      <c r="BG2" s="372"/>
      <c r="BH2" s="372"/>
      <c r="BI2" s="371"/>
      <c r="BJ2" s="375"/>
      <c r="BK2" s="372"/>
      <c r="BL2" s="372"/>
      <c r="BM2" s="372"/>
      <c r="BN2" s="373"/>
      <c r="BO2" s="374"/>
      <c r="BP2" s="372"/>
      <c r="BQ2" s="372"/>
      <c r="BR2" s="372"/>
      <c r="BS2" s="371"/>
      <c r="BT2" s="375"/>
      <c r="BU2" s="372"/>
      <c r="BV2" s="372"/>
      <c r="BW2" s="372"/>
      <c r="BX2" s="373"/>
      <c r="BY2" s="374"/>
      <c r="BZ2" s="372"/>
      <c r="CA2" s="372"/>
      <c r="CB2" s="372"/>
      <c r="CC2" s="371"/>
      <c r="CD2" s="375"/>
      <c r="CE2" s="372"/>
      <c r="CF2" s="372"/>
      <c r="CG2" s="372"/>
      <c r="CH2" s="371"/>
      <c r="CI2" s="375"/>
      <c r="CJ2" s="372"/>
      <c r="CK2" s="372"/>
      <c r="CL2" s="372"/>
      <c r="CM2" s="373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  <c r="DO2" s="26"/>
      <c r="DP2" s="26"/>
      <c r="DQ2" s="21"/>
    </row>
    <row r="3" spans="1:121" ht="111" customHeight="1">
      <c r="A3" s="22"/>
      <c r="I3" s="307" t="s">
        <v>15</v>
      </c>
      <c r="J3" s="308"/>
      <c r="K3" s="309"/>
      <c r="L3" s="421" t="s">
        <v>76</v>
      </c>
      <c r="M3" s="422" t="s">
        <v>76</v>
      </c>
      <c r="N3" s="422" t="s">
        <v>76</v>
      </c>
      <c r="O3" s="422" t="s">
        <v>76</v>
      </c>
      <c r="P3" s="423" t="s">
        <v>76</v>
      </c>
      <c r="Q3" s="421"/>
      <c r="R3" s="422" t="s">
        <v>16</v>
      </c>
      <c r="S3" s="422" t="s">
        <v>44</v>
      </c>
      <c r="T3" s="422" t="s">
        <v>44</v>
      </c>
      <c r="U3" s="424" t="s">
        <v>44</v>
      </c>
      <c r="V3" s="425" t="s">
        <v>44</v>
      </c>
      <c r="W3" s="372" t="s">
        <v>93</v>
      </c>
      <c r="X3" s="372"/>
      <c r="Y3" s="372"/>
      <c r="Z3" s="373"/>
      <c r="AA3" s="374"/>
      <c r="AB3" s="372"/>
      <c r="AC3" s="372"/>
      <c r="AD3" s="372"/>
      <c r="AE3" s="371"/>
      <c r="AF3" s="375"/>
      <c r="AG3" s="372"/>
      <c r="AH3" s="372"/>
      <c r="AI3" s="372"/>
      <c r="AJ3" s="373"/>
      <c r="AK3" s="374"/>
      <c r="AL3" s="372"/>
      <c r="AM3" s="372"/>
      <c r="AN3" s="372"/>
      <c r="AO3" s="371"/>
      <c r="AP3" s="375"/>
      <c r="AQ3" s="372"/>
      <c r="AR3" s="372"/>
      <c r="AS3" s="372"/>
      <c r="AT3" s="373"/>
      <c r="AU3" s="374"/>
      <c r="AV3" s="372"/>
      <c r="AW3" s="372"/>
      <c r="AX3" s="372"/>
      <c r="AY3" s="371"/>
      <c r="AZ3" s="375"/>
      <c r="BA3" s="372"/>
      <c r="BB3" s="372"/>
      <c r="BC3" s="372"/>
      <c r="BD3" s="373"/>
      <c r="BE3" s="374"/>
      <c r="BF3" s="372"/>
      <c r="BG3" s="372"/>
      <c r="BH3" s="372"/>
      <c r="BI3" s="371"/>
      <c r="BJ3" s="375"/>
      <c r="BK3" s="372"/>
      <c r="BL3" s="372"/>
      <c r="BM3" s="372"/>
      <c r="BN3" s="373"/>
      <c r="BO3" s="374"/>
      <c r="BP3" s="372"/>
      <c r="BQ3" s="372"/>
      <c r="BR3" s="372"/>
      <c r="BS3" s="371"/>
      <c r="BT3" s="375"/>
      <c r="BU3" s="372"/>
      <c r="BV3" s="372"/>
      <c r="BW3" s="372"/>
      <c r="BX3" s="373"/>
      <c r="BY3" s="374"/>
      <c r="BZ3" s="372"/>
      <c r="CA3" s="372"/>
      <c r="CB3" s="372"/>
      <c r="CC3" s="371"/>
      <c r="CD3" s="375"/>
      <c r="CE3" s="372"/>
      <c r="CF3" s="372"/>
      <c r="CG3" s="372"/>
      <c r="CH3" s="371"/>
      <c r="CI3" s="375"/>
      <c r="CJ3" s="372"/>
      <c r="CK3" s="372"/>
      <c r="CL3" s="372"/>
      <c r="CM3" s="373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</row>
    <row r="4" spans="1:121" s="29" customFormat="1" ht="156.75" customHeight="1">
      <c r="A4" s="22"/>
      <c r="B4" s="21"/>
      <c r="C4" s="21"/>
      <c r="D4" s="21"/>
      <c r="F4" s="21"/>
      <c r="G4" s="21"/>
      <c r="H4" s="30"/>
      <c r="I4" s="310" t="s">
        <v>17</v>
      </c>
      <c r="J4" s="311"/>
      <c r="K4" s="312"/>
      <c r="L4" s="421" t="s">
        <v>76</v>
      </c>
      <c r="M4" s="422" t="s">
        <v>76</v>
      </c>
      <c r="N4" s="422" t="s">
        <v>76</v>
      </c>
      <c r="O4" s="422" t="s">
        <v>76</v>
      </c>
      <c r="P4" s="423" t="s">
        <v>76</v>
      </c>
      <c r="Q4" s="421" t="s">
        <v>77</v>
      </c>
      <c r="R4" s="422" t="s">
        <v>76</v>
      </c>
      <c r="S4" s="422" t="s">
        <v>76</v>
      </c>
      <c r="T4" s="422" t="s">
        <v>76</v>
      </c>
      <c r="U4" s="424" t="s">
        <v>76</v>
      </c>
      <c r="V4" s="425" t="s">
        <v>76</v>
      </c>
      <c r="W4" s="372" t="s">
        <v>93</v>
      </c>
      <c r="X4" s="372"/>
      <c r="Y4" s="372"/>
      <c r="Z4" s="373"/>
      <c r="AA4" s="374"/>
      <c r="AB4" s="372"/>
      <c r="AC4" s="372"/>
      <c r="AD4" s="372"/>
      <c r="AE4" s="371"/>
      <c r="AF4" s="375"/>
      <c r="AG4" s="372"/>
      <c r="AH4" s="372"/>
      <c r="AI4" s="372"/>
      <c r="AJ4" s="373"/>
      <c r="AK4" s="374"/>
      <c r="AL4" s="372"/>
      <c r="AM4" s="372"/>
      <c r="AN4" s="372"/>
      <c r="AO4" s="371"/>
      <c r="AP4" s="375"/>
      <c r="AQ4" s="372"/>
      <c r="AR4" s="372"/>
      <c r="AS4" s="372"/>
      <c r="AT4" s="373"/>
      <c r="AU4" s="374"/>
      <c r="AV4" s="372"/>
      <c r="AW4" s="372"/>
      <c r="AX4" s="372"/>
      <c r="AY4" s="371"/>
      <c r="AZ4" s="375"/>
      <c r="BA4" s="372"/>
      <c r="BB4" s="372"/>
      <c r="BC4" s="372"/>
      <c r="BD4" s="373"/>
      <c r="BE4" s="374"/>
      <c r="BF4" s="372"/>
      <c r="BG4" s="372"/>
      <c r="BH4" s="372"/>
      <c r="BI4" s="371"/>
      <c r="BJ4" s="375"/>
      <c r="BK4" s="372"/>
      <c r="BL4" s="372"/>
      <c r="BM4" s="372"/>
      <c r="BN4" s="373"/>
      <c r="BO4" s="374"/>
      <c r="BP4" s="372"/>
      <c r="BQ4" s="372"/>
      <c r="BR4" s="372"/>
      <c r="BS4" s="371"/>
      <c r="BT4" s="375"/>
      <c r="BU4" s="372"/>
      <c r="BV4" s="372"/>
      <c r="BW4" s="372"/>
      <c r="BX4" s="373"/>
      <c r="BY4" s="374"/>
      <c r="BZ4" s="372"/>
      <c r="CA4" s="372"/>
      <c r="CB4" s="372"/>
      <c r="CC4" s="371"/>
      <c r="CD4" s="375"/>
      <c r="CE4" s="372"/>
      <c r="CF4" s="372"/>
      <c r="CG4" s="372"/>
      <c r="CH4" s="371"/>
      <c r="CI4" s="375"/>
      <c r="CJ4" s="372"/>
      <c r="CK4" s="372"/>
      <c r="CL4" s="372"/>
      <c r="CM4" s="373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6"/>
      <c r="DF4" s="28"/>
      <c r="DG4" s="26"/>
      <c r="DH4" s="28"/>
      <c r="DI4" s="26"/>
      <c r="DJ4" s="28"/>
      <c r="DK4" s="26"/>
      <c r="DL4" s="28"/>
      <c r="DM4" s="26"/>
      <c r="DN4" s="28"/>
      <c r="DO4" s="26"/>
      <c r="DP4" s="28"/>
      <c r="DQ4" s="28"/>
    </row>
    <row r="5" spans="1:121" s="21" customFormat="1" ht="408" customHeight="1">
      <c r="A5" s="22"/>
      <c r="H5" s="30" t="s">
        <v>18</v>
      </c>
      <c r="I5" s="203" t="s">
        <v>7</v>
      </c>
      <c r="J5" s="204"/>
      <c r="K5" s="313"/>
      <c r="L5" s="426" t="s">
        <v>69</v>
      </c>
      <c r="M5" s="427" t="s">
        <v>72</v>
      </c>
      <c r="N5" s="427" t="s">
        <v>71</v>
      </c>
      <c r="O5" s="427" t="s">
        <v>83</v>
      </c>
      <c r="P5" s="428" t="s">
        <v>82</v>
      </c>
      <c r="Q5" s="426"/>
      <c r="R5" s="427" t="s">
        <v>56</v>
      </c>
      <c r="S5" s="427" t="s">
        <v>59</v>
      </c>
      <c r="T5" s="427" t="s">
        <v>57</v>
      </c>
      <c r="U5" s="429" t="s">
        <v>58</v>
      </c>
      <c r="V5" s="430" t="s">
        <v>55</v>
      </c>
      <c r="W5" s="372" t="s">
        <v>93</v>
      </c>
      <c r="X5" s="372"/>
      <c r="Y5" s="372"/>
      <c r="Z5" s="373"/>
      <c r="AA5" s="374"/>
      <c r="AB5" s="372"/>
      <c r="AC5" s="372"/>
      <c r="AD5" s="372"/>
      <c r="AE5" s="371"/>
      <c r="AF5" s="375"/>
      <c r="AG5" s="372"/>
      <c r="AH5" s="372"/>
      <c r="AI5" s="372"/>
      <c r="AJ5" s="373"/>
      <c r="AK5" s="374"/>
      <c r="AL5" s="372"/>
      <c r="AM5" s="372"/>
      <c r="AN5" s="372"/>
      <c r="AO5" s="371"/>
      <c r="AP5" s="375"/>
      <c r="AQ5" s="372"/>
      <c r="AR5" s="372"/>
      <c r="AS5" s="372"/>
      <c r="AT5" s="373"/>
      <c r="AU5" s="374"/>
      <c r="AV5" s="372"/>
      <c r="AW5" s="372"/>
      <c r="AX5" s="372"/>
      <c r="AY5" s="371"/>
      <c r="AZ5" s="375"/>
      <c r="BA5" s="372"/>
      <c r="BB5" s="372"/>
      <c r="BC5" s="372"/>
      <c r="BD5" s="373"/>
      <c r="BE5" s="374"/>
      <c r="BF5" s="372"/>
      <c r="BG5" s="372"/>
      <c r="BH5" s="372"/>
      <c r="BI5" s="371"/>
      <c r="BJ5" s="375"/>
      <c r="BK5" s="372"/>
      <c r="BL5" s="372"/>
      <c r="BM5" s="372"/>
      <c r="BN5" s="373"/>
      <c r="BO5" s="374"/>
      <c r="BP5" s="372"/>
      <c r="BQ5" s="372"/>
      <c r="BR5" s="372"/>
      <c r="BS5" s="371"/>
      <c r="BT5" s="375"/>
      <c r="BU5" s="372"/>
      <c r="BV5" s="372"/>
      <c r="BW5" s="372"/>
      <c r="BX5" s="373"/>
      <c r="BY5" s="374"/>
      <c r="BZ5" s="372"/>
      <c r="CA5" s="372"/>
      <c r="CB5" s="372"/>
      <c r="CC5" s="371"/>
      <c r="CD5" s="375"/>
      <c r="CE5" s="372"/>
      <c r="CF5" s="372"/>
      <c r="CG5" s="372"/>
      <c r="CH5" s="371"/>
      <c r="CI5" s="375"/>
      <c r="CJ5" s="372"/>
      <c r="CK5" s="372"/>
      <c r="CL5" s="372"/>
      <c r="CM5" s="373"/>
      <c r="CN5" s="31"/>
      <c r="CO5" s="32"/>
      <c r="CP5" s="31"/>
      <c r="CQ5" s="32"/>
      <c r="CR5" s="31"/>
      <c r="CS5" s="32"/>
      <c r="CT5" s="31"/>
      <c r="CU5" s="32"/>
      <c r="CV5" s="31"/>
      <c r="CW5" s="33"/>
      <c r="CX5" s="31"/>
      <c r="CY5" s="33"/>
      <c r="CZ5" s="31"/>
      <c r="DA5" s="31"/>
      <c r="DB5" s="31"/>
      <c r="DC5" s="32"/>
      <c r="DD5" s="31"/>
      <c r="DE5" s="31"/>
      <c r="DF5" s="31"/>
      <c r="DG5" s="31"/>
      <c r="DH5" s="31"/>
      <c r="DI5" s="31"/>
      <c r="DJ5" s="31"/>
      <c r="DK5" s="32"/>
      <c r="DL5" s="31"/>
      <c r="DM5" s="33"/>
      <c r="DN5" s="31"/>
      <c r="DO5" s="31"/>
      <c r="DP5" s="31"/>
      <c r="DQ5" s="33"/>
    </row>
    <row r="6" spans="1:121" s="21" customFormat="1" ht="140.25" customHeight="1" thickBot="1">
      <c r="A6" s="22"/>
      <c r="D6" s="197"/>
      <c r="E6" s="197" t="s">
        <v>19</v>
      </c>
      <c r="I6" s="232" t="s">
        <v>20</v>
      </c>
      <c r="J6" s="233"/>
      <c r="K6" s="314"/>
      <c r="L6" s="431" t="s">
        <v>66</v>
      </c>
      <c r="M6" s="432" t="s">
        <v>64</v>
      </c>
      <c r="N6" s="432" t="s">
        <v>65</v>
      </c>
      <c r="O6" s="432" t="s">
        <v>67</v>
      </c>
      <c r="P6" s="433" t="s">
        <v>68</v>
      </c>
      <c r="Q6" s="431"/>
      <c r="R6" s="432" t="s">
        <v>21</v>
      </c>
      <c r="S6" s="432" t="s">
        <v>63</v>
      </c>
      <c r="T6" s="432" t="s">
        <v>61</v>
      </c>
      <c r="U6" s="434" t="s">
        <v>62</v>
      </c>
      <c r="V6" s="435" t="s">
        <v>60</v>
      </c>
      <c r="W6" s="393" t="s">
        <v>92</v>
      </c>
      <c r="X6" s="393"/>
      <c r="Y6" s="393"/>
      <c r="Z6" s="396"/>
      <c r="AA6" s="400"/>
      <c r="AB6" s="393"/>
      <c r="AC6" s="393"/>
      <c r="AD6" s="393"/>
      <c r="AE6" s="394"/>
      <c r="AF6" s="395"/>
      <c r="AG6" s="393"/>
      <c r="AH6" s="393"/>
      <c r="AI6" s="393"/>
      <c r="AJ6" s="396"/>
      <c r="AK6" s="400"/>
      <c r="AL6" s="393"/>
      <c r="AM6" s="393"/>
      <c r="AN6" s="393"/>
      <c r="AO6" s="394"/>
      <c r="AP6" s="395"/>
      <c r="AQ6" s="393"/>
      <c r="AR6" s="393"/>
      <c r="AS6" s="393"/>
      <c r="AT6" s="396"/>
      <c r="AU6" s="400"/>
      <c r="AV6" s="393"/>
      <c r="AW6" s="393"/>
      <c r="AX6" s="393"/>
      <c r="AY6" s="394"/>
      <c r="AZ6" s="395"/>
      <c r="BA6" s="393"/>
      <c r="BB6" s="393"/>
      <c r="BC6" s="393"/>
      <c r="BD6" s="396"/>
      <c r="BE6" s="400"/>
      <c r="BF6" s="393"/>
      <c r="BG6" s="393"/>
      <c r="BH6" s="393"/>
      <c r="BI6" s="394"/>
      <c r="BJ6" s="395"/>
      <c r="BK6" s="393"/>
      <c r="BL6" s="393"/>
      <c r="BM6" s="393"/>
      <c r="BN6" s="396"/>
      <c r="BO6" s="400"/>
      <c r="BP6" s="393"/>
      <c r="BQ6" s="393"/>
      <c r="BR6" s="393"/>
      <c r="BS6" s="394"/>
      <c r="BT6" s="395"/>
      <c r="BU6" s="393"/>
      <c r="BV6" s="393"/>
      <c r="BW6" s="393"/>
      <c r="BX6" s="396"/>
      <c r="BY6" s="400"/>
      <c r="BZ6" s="393"/>
      <c r="CA6" s="393"/>
      <c r="CB6" s="393"/>
      <c r="CC6" s="394"/>
      <c r="CD6" s="395"/>
      <c r="CE6" s="393"/>
      <c r="CF6" s="393"/>
      <c r="CG6" s="393"/>
      <c r="CH6" s="394"/>
      <c r="CI6" s="395"/>
      <c r="CJ6" s="393"/>
      <c r="CK6" s="393"/>
      <c r="CL6" s="393"/>
      <c r="CM6" s="396"/>
      <c r="CN6" s="28"/>
      <c r="CO6" s="28"/>
      <c r="CP6" s="28"/>
      <c r="CQ6" s="34"/>
      <c r="CR6" s="33"/>
      <c r="CS6" s="33"/>
      <c r="CT6" s="34"/>
      <c r="CU6" s="35"/>
      <c r="CV6" s="36"/>
      <c r="CW6" s="37"/>
      <c r="CX6" s="37"/>
      <c r="CY6" s="37"/>
      <c r="CZ6" s="38"/>
      <c r="DA6" s="39"/>
      <c r="DB6" s="39"/>
      <c r="DC6" s="39"/>
      <c r="DD6" s="28"/>
      <c r="DE6" s="39"/>
      <c r="DF6" s="40"/>
      <c r="DG6" s="39"/>
      <c r="DH6" s="40"/>
      <c r="DI6" s="39"/>
      <c r="DJ6" s="40"/>
      <c r="DK6" s="39"/>
      <c r="DL6" s="40"/>
      <c r="DM6" s="39"/>
      <c r="DN6" s="40"/>
      <c r="DO6" s="39"/>
      <c r="DP6" s="40"/>
      <c r="DQ6" s="40"/>
    </row>
    <row r="7" spans="1:121" s="41" customFormat="1" ht="25.5" customHeight="1">
      <c r="A7" s="221" t="s">
        <v>22</v>
      </c>
      <c r="B7" s="212" t="s">
        <v>23</v>
      </c>
      <c r="C7" s="212" t="s">
        <v>24</v>
      </c>
      <c r="D7" s="212" t="s">
        <v>25</v>
      </c>
      <c r="E7" s="212" t="s">
        <v>7</v>
      </c>
      <c r="F7" s="212" t="s">
        <v>26</v>
      </c>
      <c r="G7" s="212" t="s">
        <v>20</v>
      </c>
      <c r="H7" s="225" t="s">
        <v>27</v>
      </c>
      <c r="I7" s="318" t="s">
        <v>28</v>
      </c>
      <c r="J7" s="212"/>
      <c r="K7" s="319"/>
      <c r="L7" s="407"/>
      <c r="M7" s="402"/>
      <c r="N7" s="402"/>
      <c r="O7" s="402"/>
      <c r="P7" s="408"/>
      <c r="Q7" s="407"/>
      <c r="R7" s="402"/>
      <c r="S7" s="402"/>
      <c r="T7" s="402"/>
      <c r="U7" s="409"/>
      <c r="V7" s="401"/>
      <c r="W7" s="403" t="s">
        <v>93</v>
      </c>
      <c r="X7" s="403"/>
      <c r="Y7" s="403"/>
      <c r="Z7" s="406"/>
      <c r="AA7" s="410"/>
      <c r="AB7" s="403"/>
      <c r="AC7" s="403"/>
      <c r="AD7" s="403"/>
      <c r="AE7" s="404"/>
      <c r="AF7" s="405"/>
      <c r="AG7" s="403"/>
      <c r="AH7" s="403"/>
      <c r="AI7" s="403"/>
      <c r="AJ7" s="406"/>
      <c r="AK7" s="410"/>
      <c r="AL7" s="403"/>
      <c r="AM7" s="403"/>
      <c r="AN7" s="403"/>
      <c r="AO7" s="404"/>
      <c r="AP7" s="405"/>
      <c r="AQ7" s="403"/>
      <c r="AR7" s="403"/>
      <c r="AS7" s="403"/>
      <c r="AT7" s="406"/>
      <c r="AU7" s="410"/>
      <c r="AV7" s="403"/>
      <c r="AW7" s="403"/>
      <c r="AX7" s="403"/>
      <c r="AY7" s="404"/>
      <c r="AZ7" s="405"/>
      <c r="BA7" s="403"/>
      <c r="BB7" s="403"/>
      <c r="BC7" s="403"/>
      <c r="BD7" s="406"/>
      <c r="BE7" s="410"/>
      <c r="BF7" s="403"/>
      <c r="BG7" s="403"/>
      <c r="BH7" s="403"/>
      <c r="BI7" s="404"/>
      <c r="BJ7" s="405"/>
      <c r="BK7" s="403"/>
      <c r="BL7" s="403"/>
      <c r="BM7" s="403"/>
      <c r="BN7" s="406"/>
      <c r="BO7" s="410"/>
      <c r="BP7" s="403"/>
      <c r="BQ7" s="403"/>
      <c r="BR7" s="403"/>
      <c r="BS7" s="404"/>
      <c r="BT7" s="405"/>
      <c r="BU7" s="403"/>
      <c r="BV7" s="403"/>
      <c r="BW7" s="403"/>
      <c r="BX7" s="406"/>
      <c r="BY7" s="410"/>
      <c r="BZ7" s="403"/>
      <c r="CA7" s="403"/>
      <c r="CB7" s="403"/>
      <c r="CC7" s="404"/>
      <c r="CD7" s="405"/>
      <c r="CE7" s="403"/>
      <c r="CF7" s="403"/>
      <c r="CG7" s="403"/>
      <c r="CH7" s="404"/>
      <c r="CI7" s="405"/>
      <c r="CJ7" s="403"/>
      <c r="CK7" s="403"/>
      <c r="CL7" s="403"/>
      <c r="CM7" s="406"/>
    </row>
    <row r="8" spans="1:121" s="41" customFormat="1" ht="25.5" customHeight="1">
      <c r="A8" s="222"/>
      <c r="B8" s="213"/>
      <c r="C8" s="213"/>
      <c r="D8" s="213"/>
      <c r="E8" s="213"/>
      <c r="F8" s="213"/>
      <c r="G8" s="213"/>
      <c r="H8" s="226"/>
      <c r="I8" s="42"/>
      <c r="J8" s="214" t="s">
        <v>29</v>
      </c>
      <c r="K8" s="320"/>
      <c r="L8" s="388"/>
      <c r="M8" s="387"/>
      <c r="N8" s="387"/>
      <c r="O8" s="387"/>
      <c r="P8" s="389"/>
      <c r="Q8" s="388"/>
      <c r="R8" s="387"/>
      <c r="S8" s="387"/>
      <c r="T8" s="387"/>
      <c r="U8" s="390"/>
      <c r="V8" s="386"/>
      <c r="W8" s="372" t="s">
        <v>93</v>
      </c>
      <c r="X8" s="372"/>
      <c r="Y8" s="372"/>
      <c r="Z8" s="373"/>
      <c r="AA8" s="374"/>
      <c r="AB8" s="372"/>
      <c r="AC8" s="372"/>
      <c r="AD8" s="372"/>
      <c r="AE8" s="371"/>
      <c r="AF8" s="375"/>
      <c r="AG8" s="372"/>
      <c r="AH8" s="372"/>
      <c r="AI8" s="372"/>
      <c r="AJ8" s="373"/>
      <c r="AK8" s="374"/>
      <c r="AL8" s="372"/>
      <c r="AM8" s="372"/>
      <c r="AN8" s="372"/>
      <c r="AO8" s="371"/>
      <c r="AP8" s="375"/>
      <c r="AQ8" s="372"/>
      <c r="AR8" s="372"/>
      <c r="AS8" s="372"/>
      <c r="AT8" s="373"/>
      <c r="AU8" s="374"/>
      <c r="AV8" s="372"/>
      <c r="AW8" s="372"/>
      <c r="AX8" s="372"/>
      <c r="AY8" s="371"/>
      <c r="AZ8" s="375"/>
      <c r="BA8" s="372"/>
      <c r="BB8" s="372"/>
      <c r="BC8" s="372"/>
      <c r="BD8" s="373"/>
      <c r="BE8" s="374"/>
      <c r="BF8" s="372"/>
      <c r="BG8" s="372"/>
      <c r="BH8" s="372"/>
      <c r="BI8" s="371"/>
      <c r="BJ8" s="375"/>
      <c r="BK8" s="372"/>
      <c r="BL8" s="372"/>
      <c r="BM8" s="372"/>
      <c r="BN8" s="373"/>
      <c r="BO8" s="374"/>
      <c r="BP8" s="372"/>
      <c r="BQ8" s="372"/>
      <c r="BR8" s="372"/>
      <c r="BS8" s="371"/>
      <c r="BT8" s="375"/>
      <c r="BU8" s="372"/>
      <c r="BV8" s="372"/>
      <c r="BW8" s="372"/>
      <c r="BX8" s="373"/>
      <c r="BY8" s="374"/>
      <c r="BZ8" s="372"/>
      <c r="CA8" s="372"/>
      <c r="CB8" s="372"/>
      <c r="CC8" s="371"/>
      <c r="CD8" s="375"/>
      <c r="CE8" s="372"/>
      <c r="CF8" s="372"/>
      <c r="CG8" s="372"/>
      <c r="CH8" s="371"/>
      <c r="CI8" s="375"/>
      <c r="CJ8" s="372"/>
      <c r="CK8" s="372"/>
      <c r="CL8" s="372"/>
      <c r="CM8" s="373"/>
    </row>
    <row r="9" spans="1:121" s="41" customFormat="1" ht="25.5" customHeight="1" thickBot="1">
      <c r="A9" s="315"/>
      <c r="B9" s="316"/>
      <c r="C9" s="316"/>
      <c r="D9" s="316"/>
      <c r="E9" s="316"/>
      <c r="F9" s="316"/>
      <c r="G9" s="316"/>
      <c r="H9" s="317"/>
      <c r="I9" s="43"/>
      <c r="J9" s="191"/>
      <c r="K9" s="44" t="s">
        <v>30</v>
      </c>
      <c r="L9" s="413"/>
      <c r="M9" s="412"/>
      <c r="N9" s="412"/>
      <c r="O9" s="412"/>
      <c r="P9" s="414"/>
      <c r="Q9" s="413"/>
      <c r="R9" s="412"/>
      <c r="S9" s="412"/>
      <c r="T9" s="412"/>
      <c r="U9" s="415"/>
      <c r="V9" s="411"/>
      <c r="W9" s="377" t="s">
        <v>93</v>
      </c>
      <c r="X9" s="377"/>
      <c r="Y9" s="377"/>
      <c r="Z9" s="378"/>
      <c r="AA9" s="379"/>
      <c r="AB9" s="377"/>
      <c r="AC9" s="377"/>
      <c r="AD9" s="377"/>
      <c r="AE9" s="376"/>
      <c r="AF9" s="380"/>
      <c r="AG9" s="377"/>
      <c r="AH9" s="377"/>
      <c r="AI9" s="377"/>
      <c r="AJ9" s="378"/>
      <c r="AK9" s="379"/>
      <c r="AL9" s="377"/>
      <c r="AM9" s="377"/>
      <c r="AN9" s="377"/>
      <c r="AO9" s="376"/>
      <c r="AP9" s="380"/>
      <c r="AQ9" s="377"/>
      <c r="AR9" s="377"/>
      <c r="AS9" s="377"/>
      <c r="AT9" s="378"/>
      <c r="AU9" s="379"/>
      <c r="AV9" s="377"/>
      <c r="AW9" s="377"/>
      <c r="AX9" s="377"/>
      <c r="AY9" s="376"/>
      <c r="AZ9" s="380"/>
      <c r="BA9" s="377"/>
      <c r="BB9" s="377"/>
      <c r="BC9" s="377"/>
      <c r="BD9" s="378"/>
      <c r="BE9" s="379"/>
      <c r="BF9" s="377"/>
      <c r="BG9" s="377"/>
      <c r="BH9" s="377"/>
      <c r="BI9" s="376"/>
      <c r="BJ9" s="380"/>
      <c r="BK9" s="377"/>
      <c r="BL9" s="377"/>
      <c r="BM9" s="377"/>
      <c r="BN9" s="378"/>
      <c r="BO9" s="379"/>
      <c r="BP9" s="377"/>
      <c r="BQ9" s="377"/>
      <c r="BR9" s="377"/>
      <c r="BS9" s="376"/>
      <c r="BT9" s="380"/>
      <c r="BU9" s="377"/>
      <c r="BV9" s="377"/>
      <c r="BW9" s="377"/>
      <c r="BX9" s="378"/>
      <c r="BY9" s="379"/>
      <c r="BZ9" s="377"/>
      <c r="CA9" s="377"/>
      <c r="CB9" s="377"/>
      <c r="CC9" s="376"/>
      <c r="CD9" s="380"/>
      <c r="CE9" s="377"/>
      <c r="CF9" s="377"/>
      <c r="CG9" s="377"/>
      <c r="CH9" s="376"/>
      <c r="CI9" s="380"/>
      <c r="CJ9" s="377"/>
      <c r="CK9" s="377"/>
      <c r="CL9" s="377"/>
      <c r="CM9" s="378"/>
    </row>
    <row r="10" spans="1:121" ht="25.5" hidden="1" customHeight="1">
      <c r="A10" s="100">
        <v>4403</v>
      </c>
      <c r="B10" s="101" t="s">
        <v>11</v>
      </c>
      <c r="C10" s="101" t="s">
        <v>44</v>
      </c>
      <c r="D10" s="101" t="s">
        <v>76</v>
      </c>
      <c r="E10" s="102" t="s">
        <v>53</v>
      </c>
      <c r="F10" s="101"/>
      <c r="G10" s="102" t="s">
        <v>1374</v>
      </c>
      <c r="H10" s="177" t="s">
        <v>54</v>
      </c>
      <c r="I10" s="104"/>
      <c r="J10" s="102"/>
      <c r="K10" s="103"/>
      <c r="L10" s="347" t="s">
        <v>78</v>
      </c>
      <c r="M10" s="342" t="s">
        <v>77</v>
      </c>
      <c r="N10" s="342"/>
      <c r="O10" s="342" t="s">
        <v>77</v>
      </c>
      <c r="P10" s="348" t="s">
        <v>77</v>
      </c>
      <c r="Q10" s="347"/>
      <c r="R10" s="342"/>
      <c r="S10" s="342"/>
      <c r="T10" s="342"/>
      <c r="U10" s="349" t="s">
        <v>80</v>
      </c>
      <c r="V10" s="341"/>
      <c r="W10" s="343"/>
      <c r="X10" s="343"/>
      <c r="Y10" s="343"/>
      <c r="Z10" s="346"/>
      <c r="AA10" s="350"/>
      <c r="AB10" s="343"/>
      <c r="AC10" s="343"/>
      <c r="AD10" s="343"/>
      <c r="AE10" s="344"/>
      <c r="AF10" s="345"/>
      <c r="AG10" s="343"/>
      <c r="AH10" s="343"/>
      <c r="AI10" s="343"/>
      <c r="AJ10" s="346"/>
      <c r="AK10" s="350"/>
      <c r="AL10" s="343"/>
      <c r="AM10" s="343"/>
      <c r="AN10" s="343"/>
      <c r="AO10" s="344"/>
      <c r="AP10" s="345"/>
      <c r="AQ10" s="343"/>
      <c r="AR10" s="343"/>
      <c r="AS10" s="343"/>
      <c r="AT10" s="346"/>
      <c r="AU10" s="350"/>
      <c r="AV10" s="343"/>
      <c r="AW10" s="343"/>
      <c r="AX10" s="343"/>
      <c r="AY10" s="344"/>
      <c r="AZ10" s="345"/>
      <c r="BA10" s="343"/>
      <c r="BB10" s="343"/>
      <c r="BC10" s="343"/>
      <c r="BD10" s="346"/>
      <c r="BE10" s="350"/>
      <c r="BF10" s="343"/>
      <c r="BG10" s="343"/>
      <c r="BH10" s="343"/>
      <c r="BI10" s="344"/>
      <c r="BJ10" s="345"/>
      <c r="BK10" s="343"/>
      <c r="BL10" s="343"/>
      <c r="BM10" s="343"/>
      <c r="BN10" s="346"/>
      <c r="BO10" s="350"/>
      <c r="BP10" s="343"/>
      <c r="BQ10" s="343"/>
      <c r="BR10" s="343"/>
      <c r="BS10" s="344"/>
      <c r="BT10" s="345"/>
      <c r="BU10" s="343"/>
      <c r="BV10" s="343"/>
      <c r="BW10" s="343"/>
      <c r="BX10" s="346"/>
      <c r="BY10" s="350"/>
      <c r="BZ10" s="343"/>
      <c r="CA10" s="343"/>
      <c r="CB10" s="343"/>
      <c r="CC10" s="344"/>
      <c r="CD10" s="345"/>
      <c r="CE10" s="343"/>
      <c r="CF10" s="343"/>
      <c r="CG10" s="343"/>
      <c r="CH10" s="344"/>
      <c r="CI10" s="345"/>
      <c r="CJ10" s="343"/>
      <c r="CK10" s="343"/>
      <c r="CL10" s="343"/>
      <c r="CM10" s="346"/>
      <c r="CN10" s="45"/>
      <c r="CO10" s="45"/>
      <c r="CP10" s="45"/>
      <c r="CQ10" s="45"/>
      <c r="CR10" s="45"/>
      <c r="CS10" s="45"/>
      <c r="CT10" s="45"/>
      <c r="CU10" s="45"/>
      <c r="CV10" s="45"/>
      <c r="CW10" s="45"/>
      <c r="CX10" s="45"/>
      <c r="CY10" s="45"/>
      <c r="CZ10" s="45"/>
      <c r="DA10" s="45"/>
      <c r="DB10" s="45"/>
      <c r="DC10" s="45"/>
      <c r="DD10" s="45"/>
      <c r="DE10" s="45"/>
      <c r="DF10" s="45"/>
      <c r="DG10" s="45"/>
      <c r="DH10" s="45"/>
      <c r="DI10" s="45"/>
      <c r="DJ10" s="45"/>
      <c r="DK10" s="45"/>
      <c r="DL10" s="45"/>
      <c r="DM10" s="45"/>
      <c r="DN10" s="45"/>
    </row>
    <row r="11" spans="1:121" ht="25.5" customHeight="1">
      <c r="A11" s="321">
        <v>4404</v>
      </c>
      <c r="B11" s="322" t="s">
        <v>11</v>
      </c>
      <c r="C11" s="322" t="s">
        <v>44</v>
      </c>
      <c r="D11" s="322" t="s">
        <v>76</v>
      </c>
      <c r="E11" s="323" t="s">
        <v>53</v>
      </c>
      <c r="F11" s="322"/>
      <c r="G11" s="323" t="s">
        <v>1376</v>
      </c>
      <c r="H11" s="324" t="s">
        <v>54</v>
      </c>
      <c r="I11" s="325"/>
      <c r="J11" s="323"/>
      <c r="K11" s="326"/>
      <c r="L11" s="327" t="s">
        <v>78</v>
      </c>
      <c r="M11" s="322" t="s">
        <v>77</v>
      </c>
      <c r="N11" s="322"/>
      <c r="O11" s="322" t="s">
        <v>77</v>
      </c>
      <c r="P11" s="328" t="s">
        <v>77</v>
      </c>
      <c r="Q11" s="327"/>
      <c r="R11" s="322"/>
      <c r="S11" s="322"/>
      <c r="T11" s="322"/>
      <c r="U11" s="329" t="s">
        <v>80</v>
      </c>
      <c r="V11" s="321"/>
      <c r="W11" s="323"/>
      <c r="X11" s="323"/>
      <c r="Y11" s="323"/>
      <c r="Z11" s="326"/>
      <c r="AA11" s="330"/>
      <c r="AB11" s="323"/>
      <c r="AC11" s="323"/>
      <c r="AD11" s="323"/>
      <c r="AE11" s="324"/>
      <c r="AF11" s="325"/>
      <c r="AG11" s="323"/>
      <c r="AH11" s="323"/>
      <c r="AI11" s="323"/>
      <c r="AJ11" s="326"/>
      <c r="AK11" s="330"/>
      <c r="AL11" s="323"/>
      <c r="AM11" s="323"/>
      <c r="AN11" s="323"/>
      <c r="AO11" s="324"/>
      <c r="AP11" s="325"/>
      <c r="AQ11" s="323"/>
      <c r="AR11" s="323"/>
      <c r="AS11" s="323"/>
      <c r="AT11" s="326"/>
      <c r="AU11" s="330"/>
      <c r="AV11" s="323"/>
      <c r="AW11" s="323"/>
      <c r="AX11" s="323"/>
      <c r="AY11" s="324"/>
      <c r="AZ11" s="325"/>
      <c r="BA11" s="323"/>
      <c r="BB11" s="323"/>
      <c r="BC11" s="323"/>
      <c r="BD11" s="326"/>
      <c r="BE11" s="330"/>
      <c r="BF11" s="323"/>
      <c r="BG11" s="323"/>
      <c r="BH11" s="323"/>
      <c r="BI11" s="324"/>
      <c r="BJ11" s="325"/>
      <c r="BK11" s="323"/>
      <c r="BL11" s="323"/>
      <c r="BM11" s="323"/>
      <c r="BN11" s="326"/>
      <c r="BO11" s="330"/>
      <c r="BP11" s="323"/>
      <c r="BQ11" s="323"/>
      <c r="BR11" s="323"/>
      <c r="BS11" s="324"/>
      <c r="BT11" s="325"/>
      <c r="BU11" s="323"/>
      <c r="BV11" s="323"/>
      <c r="BW11" s="323"/>
      <c r="BX11" s="326"/>
      <c r="BY11" s="330"/>
      <c r="BZ11" s="323"/>
      <c r="CA11" s="323"/>
      <c r="CB11" s="323"/>
      <c r="CC11" s="324"/>
      <c r="CD11" s="325"/>
      <c r="CE11" s="323"/>
      <c r="CF11" s="323"/>
      <c r="CG11" s="323"/>
      <c r="CH11" s="324"/>
      <c r="CI11" s="325"/>
      <c r="CJ11" s="323"/>
      <c r="CK11" s="323"/>
      <c r="CL11" s="323"/>
      <c r="CM11" s="326"/>
      <c r="CN11" s="46"/>
      <c r="CO11" s="45"/>
      <c r="CP11" s="45"/>
      <c r="CQ11" s="45"/>
      <c r="CR11" s="46"/>
      <c r="CS11" s="45"/>
      <c r="CT11" s="45"/>
      <c r="CU11" s="45"/>
      <c r="CV11" s="45"/>
      <c r="CW11" s="45"/>
      <c r="CX11" s="46"/>
      <c r="CY11" s="45"/>
      <c r="CZ11" s="45"/>
      <c r="DA11" s="46"/>
      <c r="DB11" s="47"/>
      <c r="DC11" s="46"/>
      <c r="DD11" s="46"/>
      <c r="DE11" s="45"/>
      <c r="DF11" s="46"/>
      <c r="DG11" s="46"/>
      <c r="DH11" s="45"/>
      <c r="DI11" s="45"/>
      <c r="DJ11" s="45"/>
      <c r="DK11" s="45"/>
      <c r="DL11" s="45"/>
      <c r="DM11" s="45"/>
      <c r="DN11" s="45"/>
    </row>
    <row r="12" spans="1:121" ht="25.5" customHeight="1">
      <c r="A12" s="321">
        <v>4405</v>
      </c>
      <c r="B12" s="322" t="s">
        <v>11</v>
      </c>
      <c r="C12" s="322" t="s">
        <v>44</v>
      </c>
      <c r="D12" s="322" t="s">
        <v>76</v>
      </c>
      <c r="E12" s="323" t="s">
        <v>53</v>
      </c>
      <c r="F12" s="322"/>
      <c r="G12" s="323" t="s">
        <v>1378</v>
      </c>
      <c r="H12" s="324" t="s">
        <v>54</v>
      </c>
      <c r="I12" s="325"/>
      <c r="J12" s="323"/>
      <c r="K12" s="326"/>
      <c r="L12" s="327" t="s">
        <v>78</v>
      </c>
      <c r="M12" s="322" t="s">
        <v>77</v>
      </c>
      <c r="N12" s="322"/>
      <c r="O12" s="322" t="s">
        <v>77</v>
      </c>
      <c r="P12" s="328" t="s">
        <v>77</v>
      </c>
      <c r="Q12" s="327"/>
      <c r="R12" s="322"/>
      <c r="S12" s="322"/>
      <c r="T12" s="322"/>
      <c r="U12" s="329" t="s">
        <v>80</v>
      </c>
      <c r="V12" s="321"/>
      <c r="W12" s="323"/>
      <c r="X12" s="323"/>
      <c r="Y12" s="323"/>
      <c r="Z12" s="326"/>
      <c r="AA12" s="330"/>
      <c r="AB12" s="323"/>
      <c r="AC12" s="323"/>
      <c r="AD12" s="323"/>
      <c r="AE12" s="324"/>
      <c r="AF12" s="325"/>
      <c r="AG12" s="323"/>
      <c r="AH12" s="323"/>
      <c r="AI12" s="323"/>
      <c r="AJ12" s="326"/>
      <c r="AK12" s="330"/>
      <c r="AL12" s="323"/>
      <c r="AM12" s="323"/>
      <c r="AN12" s="323"/>
      <c r="AO12" s="324"/>
      <c r="AP12" s="325"/>
      <c r="AQ12" s="323"/>
      <c r="AR12" s="323"/>
      <c r="AS12" s="323"/>
      <c r="AT12" s="326"/>
      <c r="AU12" s="330"/>
      <c r="AV12" s="323"/>
      <c r="AW12" s="323"/>
      <c r="AX12" s="323"/>
      <c r="AY12" s="324"/>
      <c r="AZ12" s="325"/>
      <c r="BA12" s="323"/>
      <c r="BB12" s="323"/>
      <c r="BC12" s="323"/>
      <c r="BD12" s="326"/>
      <c r="BE12" s="330"/>
      <c r="BF12" s="323"/>
      <c r="BG12" s="323"/>
      <c r="BH12" s="323"/>
      <c r="BI12" s="324"/>
      <c r="BJ12" s="325"/>
      <c r="BK12" s="323"/>
      <c r="BL12" s="323"/>
      <c r="BM12" s="323"/>
      <c r="BN12" s="326"/>
      <c r="BO12" s="330"/>
      <c r="BP12" s="323"/>
      <c r="BQ12" s="323"/>
      <c r="BR12" s="323"/>
      <c r="BS12" s="324"/>
      <c r="BT12" s="325"/>
      <c r="BU12" s="323"/>
      <c r="BV12" s="323"/>
      <c r="BW12" s="323"/>
      <c r="BX12" s="326"/>
      <c r="BY12" s="330"/>
      <c r="BZ12" s="323"/>
      <c r="CA12" s="323"/>
      <c r="CB12" s="323"/>
      <c r="CC12" s="324"/>
      <c r="CD12" s="325"/>
      <c r="CE12" s="323"/>
      <c r="CF12" s="323"/>
      <c r="CG12" s="323"/>
      <c r="CH12" s="324"/>
      <c r="CI12" s="325"/>
      <c r="CJ12" s="323"/>
      <c r="CK12" s="323"/>
      <c r="CL12" s="323"/>
      <c r="CM12" s="326"/>
      <c r="CN12" s="45"/>
      <c r="CO12" s="45"/>
      <c r="CP12" s="45"/>
      <c r="CQ12" s="45"/>
      <c r="CR12" s="45"/>
      <c r="CS12" s="45"/>
      <c r="CT12" s="45"/>
      <c r="CU12" s="45"/>
      <c r="CV12" s="45"/>
      <c r="CW12" s="45"/>
      <c r="CX12" s="46"/>
      <c r="CY12" s="45"/>
      <c r="CZ12" s="45"/>
      <c r="DA12" s="46"/>
      <c r="DB12" s="45"/>
      <c r="DC12" s="46"/>
      <c r="DD12" s="46"/>
      <c r="DE12" s="45"/>
      <c r="DF12" s="46"/>
      <c r="DG12" s="46"/>
      <c r="DH12" s="45"/>
      <c r="DI12" s="45"/>
      <c r="DJ12" s="45"/>
      <c r="DK12" s="45"/>
      <c r="DL12" s="45"/>
      <c r="DM12" s="45"/>
      <c r="DN12" s="45"/>
    </row>
    <row r="13" spans="1:121" ht="25.5" hidden="1" customHeight="1">
      <c r="A13" s="321">
        <v>4406</v>
      </c>
      <c r="B13" s="322" t="s">
        <v>11</v>
      </c>
      <c r="C13" s="322" t="s">
        <v>44</v>
      </c>
      <c r="D13" s="322" t="s">
        <v>76</v>
      </c>
      <c r="E13" s="323" t="s">
        <v>53</v>
      </c>
      <c r="F13" s="322"/>
      <c r="G13" s="323" t="s">
        <v>1380</v>
      </c>
      <c r="H13" s="324" t="s">
        <v>54</v>
      </c>
      <c r="I13" s="325"/>
      <c r="J13" s="323"/>
      <c r="K13" s="326"/>
      <c r="L13" s="327" t="s">
        <v>78</v>
      </c>
      <c r="M13" s="322" t="s">
        <v>77</v>
      </c>
      <c r="N13" s="322"/>
      <c r="O13" s="322" t="s">
        <v>77</v>
      </c>
      <c r="P13" s="328" t="s">
        <v>77</v>
      </c>
      <c r="Q13" s="327"/>
      <c r="R13" s="322"/>
      <c r="S13" s="322"/>
      <c r="T13" s="322"/>
      <c r="U13" s="329" t="s">
        <v>80</v>
      </c>
      <c r="V13" s="321"/>
      <c r="W13" s="323"/>
      <c r="X13" s="323"/>
      <c r="Y13" s="323"/>
      <c r="Z13" s="326"/>
      <c r="AA13" s="330"/>
      <c r="AB13" s="323"/>
      <c r="AC13" s="323"/>
      <c r="AD13" s="323"/>
      <c r="AE13" s="324"/>
      <c r="AF13" s="325"/>
      <c r="AG13" s="323"/>
      <c r="AH13" s="323"/>
      <c r="AI13" s="323"/>
      <c r="AJ13" s="326"/>
      <c r="AK13" s="330"/>
      <c r="AL13" s="323"/>
      <c r="AM13" s="323"/>
      <c r="AN13" s="323"/>
      <c r="AO13" s="324"/>
      <c r="AP13" s="325"/>
      <c r="AQ13" s="323"/>
      <c r="AR13" s="323"/>
      <c r="AS13" s="323"/>
      <c r="AT13" s="326"/>
      <c r="AU13" s="330"/>
      <c r="AV13" s="323"/>
      <c r="AW13" s="323"/>
      <c r="AX13" s="323"/>
      <c r="AY13" s="324"/>
      <c r="AZ13" s="325"/>
      <c r="BA13" s="323"/>
      <c r="BB13" s="323"/>
      <c r="BC13" s="323"/>
      <c r="BD13" s="326"/>
      <c r="BE13" s="330"/>
      <c r="BF13" s="323"/>
      <c r="BG13" s="323"/>
      <c r="BH13" s="323"/>
      <c r="BI13" s="324"/>
      <c r="BJ13" s="325"/>
      <c r="BK13" s="323"/>
      <c r="BL13" s="323"/>
      <c r="BM13" s="323"/>
      <c r="BN13" s="326"/>
      <c r="BO13" s="330"/>
      <c r="BP13" s="323"/>
      <c r="BQ13" s="323"/>
      <c r="BR13" s="323"/>
      <c r="BS13" s="324"/>
      <c r="BT13" s="325"/>
      <c r="BU13" s="323"/>
      <c r="BV13" s="323"/>
      <c r="BW13" s="323"/>
      <c r="BX13" s="326"/>
      <c r="BY13" s="330"/>
      <c r="BZ13" s="323"/>
      <c r="CA13" s="323"/>
      <c r="CB13" s="323"/>
      <c r="CC13" s="324"/>
      <c r="CD13" s="325"/>
      <c r="CE13" s="323"/>
      <c r="CF13" s="323"/>
      <c r="CG13" s="323"/>
      <c r="CH13" s="324"/>
      <c r="CI13" s="325"/>
      <c r="CJ13" s="323"/>
      <c r="CK13" s="323"/>
      <c r="CL13" s="323"/>
      <c r="CM13" s="326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  <c r="DA13" s="45"/>
      <c r="DB13" s="45"/>
      <c r="DC13" s="45"/>
      <c r="DD13" s="45"/>
      <c r="DE13" s="45"/>
      <c r="DF13" s="45"/>
      <c r="DG13" s="46"/>
      <c r="DH13" s="45"/>
      <c r="DI13" s="45"/>
      <c r="DJ13" s="45"/>
      <c r="DK13" s="45"/>
      <c r="DL13" s="45"/>
      <c r="DM13" s="45"/>
      <c r="DN13" s="45"/>
    </row>
    <row r="14" spans="1:121" ht="25.5" hidden="1" customHeight="1" thickBot="1">
      <c r="A14" s="331">
        <v>4407</v>
      </c>
      <c r="B14" s="332" t="s">
        <v>11</v>
      </c>
      <c r="C14" s="332" t="s">
        <v>44</v>
      </c>
      <c r="D14" s="332" t="s">
        <v>76</v>
      </c>
      <c r="E14" s="333" t="s">
        <v>53</v>
      </c>
      <c r="F14" s="332"/>
      <c r="G14" s="333" t="s">
        <v>1382</v>
      </c>
      <c r="H14" s="334" t="s">
        <v>54</v>
      </c>
      <c r="I14" s="335"/>
      <c r="J14" s="333"/>
      <c r="K14" s="336"/>
      <c r="L14" s="337" t="s">
        <v>78</v>
      </c>
      <c r="M14" s="332" t="s">
        <v>77</v>
      </c>
      <c r="N14" s="332"/>
      <c r="O14" s="332" t="s">
        <v>77</v>
      </c>
      <c r="P14" s="338" t="s">
        <v>77</v>
      </c>
      <c r="Q14" s="337"/>
      <c r="R14" s="332"/>
      <c r="S14" s="332"/>
      <c r="T14" s="332"/>
      <c r="U14" s="339" t="s">
        <v>80</v>
      </c>
      <c r="V14" s="331"/>
      <c r="W14" s="333"/>
      <c r="X14" s="333"/>
      <c r="Y14" s="333"/>
      <c r="Z14" s="336"/>
      <c r="AA14" s="340"/>
      <c r="AB14" s="333"/>
      <c r="AC14" s="333"/>
      <c r="AD14" s="333"/>
      <c r="AE14" s="334"/>
      <c r="AF14" s="335"/>
      <c r="AG14" s="333"/>
      <c r="AH14" s="333"/>
      <c r="AI14" s="333"/>
      <c r="AJ14" s="336"/>
      <c r="AK14" s="340"/>
      <c r="AL14" s="333"/>
      <c r="AM14" s="333"/>
      <c r="AN14" s="333"/>
      <c r="AO14" s="334"/>
      <c r="AP14" s="335"/>
      <c r="AQ14" s="333"/>
      <c r="AR14" s="333"/>
      <c r="AS14" s="333"/>
      <c r="AT14" s="336"/>
      <c r="AU14" s="340"/>
      <c r="AV14" s="333"/>
      <c r="AW14" s="333"/>
      <c r="AX14" s="333"/>
      <c r="AY14" s="334"/>
      <c r="AZ14" s="335"/>
      <c r="BA14" s="333"/>
      <c r="BB14" s="333"/>
      <c r="BC14" s="333"/>
      <c r="BD14" s="336"/>
      <c r="BE14" s="340"/>
      <c r="BF14" s="333"/>
      <c r="BG14" s="333"/>
      <c r="BH14" s="333"/>
      <c r="BI14" s="334"/>
      <c r="BJ14" s="335"/>
      <c r="BK14" s="333"/>
      <c r="BL14" s="333"/>
      <c r="BM14" s="333"/>
      <c r="BN14" s="336"/>
      <c r="BO14" s="340"/>
      <c r="BP14" s="333"/>
      <c r="BQ14" s="333"/>
      <c r="BR14" s="333"/>
      <c r="BS14" s="334"/>
      <c r="BT14" s="335"/>
      <c r="BU14" s="333"/>
      <c r="BV14" s="333"/>
      <c r="BW14" s="333"/>
      <c r="BX14" s="336"/>
      <c r="BY14" s="340"/>
      <c r="BZ14" s="333"/>
      <c r="CA14" s="333"/>
      <c r="CB14" s="333"/>
      <c r="CC14" s="334"/>
      <c r="CD14" s="335"/>
      <c r="CE14" s="333"/>
      <c r="CF14" s="333"/>
      <c r="CG14" s="333"/>
      <c r="CH14" s="334"/>
      <c r="CI14" s="335"/>
      <c r="CJ14" s="333"/>
      <c r="CK14" s="333"/>
      <c r="CL14" s="333"/>
      <c r="CM14" s="336"/>
      <c r="CN14" s="45"/>
      <c r="CO14" s="45"/>
      <c r="CP14" s="45"/>
      <c r="CQ14" s="45"/>
      <c r="CR14" s="45"/>
      <c r="CS14" s="45"/>
      <c r="CT14" s="45"/>
      <c r="CU14" s="45"/>
      <c r="CV14" s="45"/>
      <c r="CW14" s="45"/>
      <c r="CX14" s="45"/>
      <c r="CY14" s="45"/>
      <c r="CZ14" s="45"/>
      <c r="DA14" s="45"/>
      <c r="DB14" s="45"/>
      <c r="DC14" s="45"/>
      <c r="DD14" s="45"/>
      <c r="DE14" s="45"/>
      <c r="DF14" s="45"/>
      <c r="DG14" s="46"/>
      <c r="DH14" s="45"/>
      <c r="DI14" s="45"/>
      <c r="DJ14" s="45"/>
      <c r="DK14" s="45"/>
      <c r="DL14" s="45"/>
      <c r="DM14" s="45"/>
      <c r="DN14" s="45"/>
    </row>
    <row r="15" spans="1:121" ht="25.5" customHeight="1">
      <c r="A15" s="341">
        <v>4408</v>
      </c>
      <c r="B15" s="342" t="s">
        <v>11</v>
      </c>
      <c r="C15" s="342" t="s">
        <v>44</v>
      </c>
      <c r="D15" s="342" t="s">
        <v>76</v>
      </c>
      <c r="E15" s="343" t="s">
        <v>53</v>
      </c>
      <c r="F15" s="342"/>
      <c r="G15" s="343" t="s">
        <v>1384</v>
      </c>
      <c r="H15" s="344" t="s">
        <v>54</v>
      </c>
      <c r="I15" s="345"/>
      <c r="J15" s="343"/>
      <c r="K15" s="346"/>
      <c r="L15" s="347" t="s">
        <v>78</v>
      </c>
      <c r="M15" s="342" t="s">
        <v>77</v>
      </c>
      <c r="N15" s="342"/>
      <c r="O15" s="342" t="s">
        <v>77</v>
      </c>
      <c r="P15" s="348" t="s">
        <v>77</v>
      </c>
      <c r="Q15" s="347"/>
      <c r="R15" s="342"/>
      <c r="S15" s="342"/>
      <c r="T15" s="342"/>
      <c r="U15" s="349" t="s">
        <v>80</v>
      </c>
      <c r="V15" s="341"/>
      <c r="W15" s="343"/>
      <c r="X15" s="343"/>
      <c r="Y15" s="343"/>
      <c r="Z15" s="346"/>
      <c r="AA15" s="350"/>
      <c r="AB15" s="343"/>
      <c r="AC15" s="343"/>
      <c r="AD15" s="343"/>
      <c r="AE15" s="344"/>
      <c r="AF15" s="345"/>
      <c r="AG15" s="343"/>
      <c r="AH15" s="343"/>
      <c r="AI15" s="343"/>
      <c r="AJ15" s="346"/>
      <c r="AK15" s="350"/>
      <c r="AL15" s="343"/>
      <c r="AM15" s="343"/>
      <c r="AN15" s="343"/>
      <c r="AO15" s="344"/>
      <c r="AP15" s="345"/>
      <c r="AQ15" s="343"/>
      <c r="AR15" s="343"/>
      <c r="AS15" s="343"/>
      <c r="AT15" s="346"/>
      <c r="AU15" s="350"/>
      <c r="AV15" s="343"/>
      <c r="AW15" s="343"/>
      <c r="AX15" s="343"/>
      <c r="AY15" s="344"/>
      <c r="AZ15" s="345"/>
      <c r="BA15" s="343"/>
      <c r="BB15" s="343"/>
      <c r="BC15" s="343"/>
      <c r="BD15" s="346"/>
      <c r="BE15" s="350"/>
      <c r="BF15" s="343"/>
      <c r="BG15" s="343"/>
      <c r="BH15" s="343"/>
      <c r="BI15" s="344"/>
      <c r="BJ15" s="345"/>
      <c r="BK15" s="343"/>
      <c r="BL15" s="343"/>
      <c r="BM15" s="343"/>
      <c r="BN15" s="346"/>
      <c r="BO15" s="350"/>
      <c r="BP15" s="343"/>
      <c r="BQ15" s="343"/>
      <c r="BR15" s="343"/>
      <c r="BS15" s="344"/>
      <c r="BT15" s="345"/>
      <c r="BU15" s="343"/>
      <c r="BV15" s="343"/>
      <c r="BW15" s="343"/>
      <c r="BX15" s="346"/>
      <c r="BY15" s="350"/>
      <c r="BZ15" s="343"/>
      <c r="CA15" s="343"/>
      <c r="CB15" s="343"/>
      <c r="CC15" s="344"/>
      <c r="CD15" s="345"/>
      <c r="CE15" s="343"/>
      <c r="CF15" s="343"/>
      <c r="CG15" s="343"/>
      <c r="CH15" s="344"/>
      <c r="CI15" s="345"/>
      <c r="CJ15" s="343"/>
      <c r="CK15" s="343"/>
      <c r="CL15" s="343"/>
      <c r="CM15" s="346"/>
      <c r="CN15" s="45"/>
      <c r="CO15" s="45"/>
      <c r="CP15" s="46"/>
      <c r="CQ15" s="45"/>
      <c r="CR15" s="45"/>
      <c r="CS15" s="45"/>
      <c r="CT15" s="45"/>
      <c r="CU15" s="45"/>
      <c r="CV15" s="45"/>
      <c r="CW15" s="45"/>
      <c r="CX15" s="46"/>
      <c r="CY15" s="45"/>
      <c r="CZ15" s="45"/>
      <c r="DA15" s="46"/>
      <c r="DB15" s="45"/>
      <c r="DC15" s="46"/>
      <c r="DD15" s="46"/>
      <c r="DE15" s="45"/>
      <c r="DF15" s="46"/>
      <c r="DG15" s="46"/>
      <c r="DH15" s="45"/>
      <c r="DI15" s="46"/>
      <c r="DJ15" s="46"/>
      <c r="DK15" s="45"/>
      <c r="DL15" s="46"/>
      <c r="DM15" s="45"/>
      <c r="DN15" s="45"/>
    </row>
    <row r="16" spans="1:121" ht="25.5" customHeight="1">
      <c r="A16" s="321">
        <v>4409</v>
      </c>
      <c r="B16" s="322" t="s">
        <v>11</v>
      </c>
      <c r="C16" s="322" t="s">
        <v>44</v>
      </c>
      <c r="D16" s="322" t="s">
        <v>76</v>
      </c>
      <c r="E16" s="323" t="s">
        <v>53</v>
      </c>
      <c r="F16" s="322"/>
      <c r="G16" s="323" t="s">
        <v>1386</v>
      </c>
      <c r="H16" s="324" t="s">
        <v>54</v>
      </c>
      <c r="I16" s="325"/>
      <c r="J16" s="323"/>
      <c r="K16" s="326"/>
      <c r="L16" s="327" t="s">
        <v>78</v>
      </c>
      <c r="M16" s="322" t="s">
        <v>77</v>
      </c>
      <c r="N16" s="322"/>
      <c r="O16" s="322" t="s">
        <v>77</v>
      </c>
      <c r="P16" s="328" t="s">
        <v>77</v>
      </c>
      <c r="Q16" s="327"/>
      <c r="R16" s="322"/>
      <c r="S16" s="322"/>
      <c r="T16" s="322"/>
      <c r="U16" s="329" t="s">
        <v>80</v>
      </c>
      <c r="V16" s="321"/>
      <c r="W16" s="323"/>
      <c r="X16" s="323"/>
      <c r="Y16" s="323"/>
      <c r="Z16" s="326"/>
      <c r="AA16" s="330"/>
      <c r="AB16" s="323"/>
      <c r="AC16" s="323"/>
      <c r="AD16" s="323"/>
      <c r="AE16" s="324"/>
      <c r="AF16" s="325"/>
      <c r="AG16" s="323"/>
      <c r="AH16" s="323"/>
      <c r="AI16" s="323"/>
      <c r="AJ16" s="326"/>
      <c r="AK16" s="330"/>
      <c r="AL16" s="323"/>
      <c r="AM16" s="323"/>
      <c r="AN16" s="323"/>
      <c r="AO16" s="324"/>
      <c r="AP16" s="325"/>
      <c r="AQ16" s="323"/>
      <c r="AR16" s="323"/>
      <c r="AS16" s="323"/>
      <c r="AT16" s="326"/>
      <c r="AU16" s="330"/>
      <c r="AV16" s="323"/>
      <c r="AW16" s="323"/>
      <c r="AX16" s="323"/>
      <c r="AY16" s="324"/>
      <c r="AZ16" s="325"/>
      <c r="BA16" s="323"/>
      <c r="BB16" s="323"/>
      <c r="BC16" s="323"/>
      <c r="BD16" s="326"/>
      <c r="BE16" s="330"/>
      <c r="BF16" s="323"/>
      <c r="BG16" s="323"/>
      <c r="BH16" s="323"/>
      <c r="BI16" s="324"/>
      <c r="BJ16" s="325"/>
      <c r="BK16" s="323"/>
      <c r="BL16" s="323"/>
      <c r="BM16" s="323"/>
      <c r="BN16" s="326"/>
      <c r="BO16" s="330"/>
      <c r="BP16" s="323"/>
      <c r="BQ16" s="323"/>
      <c r="BR16" s="323"/>
      <c r="BS16" s="324"/>
      <c r="BT16" s="325"/>
      <c r="BU16" s="323"/>
      <c r="BV16" s="323"/>
      <c r="BW16" s="323"/>
      <c r="BX16" s="326"/>
      <c r="BY16" s="330"/>
      <c r="BZ16" s="323"/>
      <c r="CA16" s="323"/>
      <c r="CB16" s="323"/>
      <c r="CC16" s="324"/>
      <c r="CD16" s="325"/>
      <c r="CE16" s="323"/>
      <c r="CF16" s="323"/>
      <c r="CG16" s="323"/>
      <c r="CH16" s="324"/>
      <c r="CI16" s="325"/>
      <c r="CJ16" s="323"/>
      <c r="CK16" s="323"/>
      <c r="CL16" s="323"/>
      <c r="CM16" s="326"/>
      <c r="CN16" s="45"/>
      <c r="CO16" s="45"/>
      <c r="CP16" s="45"/>
      <c r="CQ16" s="45"/>
      <c r="CR16" s="45"/>
      <c r="CS16" s="45"/>
      <c r="CT16" s="45"/>
      <c r="CU16" s="45"/>
      <c r="CV16" s="45"/>
      <c r="CW16" s="45"/>
      <c r="CX16" s="45"/>
      <c r="CY16" s="45"/>
      <c r="CZ16" s="45"/>
      <c r="DA16" s="45"/>
      <c r="DB16" s="45"/>
      <c r="DC16" s="45"/>
      <c r="DD16" s="45"/>
      <c r="DE16" s="45"/>
      <c r="DF16" s="45"/>
      <c r="DG16" s="45"/>
      <c r="DH16" s="45"/>
      <c r="DI16" s="45"/>
      <c r="DJ16" s="45"/>
      <c r="DK16" s="45"/>
      <c r="DL16" s="45"/>
      <c r="DM16" s="45"/>
      <c r="DN16" s="45"/>
    </row>
    <row r="17" spans="1:118" ht="25.5" customHeight="1">
      <c r="A17" s="321">
        <v>4410</v>
      </c>
      <c r="B17" s="322" t="s">
        <v>11</v>
      </c>
      <c r="C17" s="322" t="s">
        <v>44</v>
      </c>
      <c r="D17" s="322" t="s">
        <v>76</v>
      </c>
      <c r="E17" s="323" t="s">
        <v>53</v>
      </c>
      <c r="F17" s="322"/>
      <c r="G17" s="323" t="s">
        <v>1388</v>
      </c>
      <c r="H17" s="324" t="s">
        <v>54</v>
      </c>
      <c r="I17" s="325"/>
      <c r="J17" s="323"/>
      <c r="K17" s="326"/>
      <c r="L17" s="327" t="s">
        <v>78</v>
      </c>
      <c r="M17" s="322" t="s">
        <v>77</v>
      </c>
      <c r="N17" s="322"/>
      <c r="O17" s="322" t="s">
        <v>77</v>
      </c>
      <c r="P17" s="328" t="s">
        <v>77</v>
      </c>
      <c r="Q17" s="327"/>
      <c r="R17" s="322"/>
      <c r="S17" s="322"/>
      <c r="T17" s="322"/>
      <c r="U17" s="329" t="s">
        <v>80</v>
      </c>
      <c r="V17" s="321"/>
      <c r="W17" s="323"/>
      <c r="X17" s="323"/>
      <c r="Y17" s="323"/>
      <c r="Z17" s="326"/>
      <c r="AA17" s="330"/>
      <c r="AB17" s="323"/>
      <c r="AC17" s="323"/>
      <c r="AD17" s="323"/>
      <c r="AE17" s="324"/>
      <c r="AF17" s="325"/>
      <c r="AG17" s="323"/>
      <c r="AH17" s="323"/>
      <c r="AI17" s="323"/>
      <c r="AJ17" s="326"/>
      <c r="AK17" s="330"/>
      <c r="AL17" s="323"/>
      <c r="AM17" s="323"/>
      <c r="AN17" s="323"/>
      <c r="AO17" s="324"/>
      <c r="AP17" s="325"/>
      <c r="AQ17" s="323"/>
      <c r="AR17" s="323"/>
      <c r="AS17" s="323"/>
      <c r="AT17" s="326"/>
      <c r="AU17" s="330"/>
      <c r="AV17" s="323"/>
      <c r="AW17" s="323"/>
      <c r="AX17" s="323"/>
      <c r="AY17" s="324"/>
      <c r="AZ17" s="325"/>
      <c r="BA17" s="323"/>
      <c r="BB17" s="323"/>
      <c r="BC17" s="323"/>
      <c r="BD17" s="326"/>
      <c r="BE17" s="330"/>
      <c r="BF17" s="323"/>
      <c r="BG17" s="323"/>
      <c r="BH17" s="323"/>
      <c r="BI17" s="324"/>
      <c r="BJ17" s="325"/>
      <c r="BK17" s="323"/>
      <c r="BL17" s="323"/>
      <c r="BM17" s="323"/>
      <c r="BN17" s="326"/>
      <c r="BO17" s="330"/>
      <c r="BP17" s="323"/>
      <c r="BQ17" s="323"/>
      <c r="BR17" s="323"/>
      <c r="BS17" s="324"/>
      <c r="BT17" s="325"/>
      <c r="BU17" s="323"/>
      <c r="BV17" s="323"/>
      <c r="BW17" s="323"/>
      <c r="BX17" s="326"/>
      <c r="BY17" s="330"/>
      <c r="BZ17" s="323"/>
      <c r="CA17" s="323"/>
      <c r="CB17" s="323"/>
      <c r="CC17" s="324"/>
      <c r="CD17" s="325"/>
      <c r="CE17" s="323"/>
      <c r="CF17" s="323"/>
      <c r="CG17" s="323"/>
      <c r="CH17" s="324"/>
      <c r="CI17" s="325"/>
      <c r="CJ17" s="323"/>
      <c r="CK17" s="323"/>
      <c r="CL17" s="323"/>
      <c r="CM17" s="326"/>
      <c r="CN17" s="45"/>
      <c r="CO17" s="45"/>
      <c r="CP17" s="45"/>
      <c r="CQ17" s="45"/>
      <c r="CR17" s="45"/>
      <c r="CS17" s="45"/>
      <c r="CT17" s="45"/>
      <c r="CU17" s="45"/>
      <c r="CV17" s="45"/>
      <c r="CW17" s="45"/>
      <c r="CX17" s="45"/>
      <c r="CY17" s="45"/>
      <c r="CZ17" s="45"/>
      <c r="DA17" s="45"/>
      <c r="DB17" s="45"/>
      <c r="DC17" s="45"/>
      <c r="DD17" s="45"/>
      <c r="DE17" s="45"/>
      <c r="DF17" s="45"/>
      <c r="DG17" s="45"/>
      <c r="DH17" s="45"/>
      <c r="DI17" s="45"/>
      <c r="DJ17" s="45"/>
      <c r="DK17" s="45"/>
      <c r="DL17" s="45"/>
      <c r="DM17" s="45"/>
      <c r="DN17" s="45"/>
    </row>
    <row r="18" spans="1:118" ht="25.5" customHeight="1">
      <c r="A18" s="321">
        <v>4411</v>
      </c>
      <c r="B18" s="322" t="s">
        <v>11</v>
      </c>
      <c r="C18" s="322" t="s">
        <v>44</v>
      </c>
      <c r="D18" s="322" t="s">
        <v>76</v>
      </c>
      <c r="E18" s="323" t="s">
        <v>53</v>
      </c>
      <c r="F18" s="322"/>
      <c r="G18" s="323" t="s">
        <v>1390</v>
      </c>
      <c r="H18" s="324" t="s">
        <v>54</v>
      </c>
      <c r="I18" s="325"/>
      <c r="J18" s="323"/>
      <c r="K18" s="326"/>
      <c r="L18" s="327" t="s">
        <v>78</v>
      </c>
      <c r="M18" s="322" t="s">
        <v>77</v>
      </c>
      <c r="N18" s="322"/>
      <c r="O18" s="322" t="s">
        <v>77</v>
      </c>
      <c r="P18" s="328" t="s">
        <v>77</v>
      </c>
      <c r="Q18" s="327"/>
      <c r="R18" s="322"/>
      <c r="S18" s="322"/>
      <c r="T18" s="322"/>
      <c r="U18" s="329" t="s">
        <v>80</v>
      </c>
      <c r="V18" s="321"/>
      <c r="W18" s="323"/>
      <c r="X18" s="323"/>
      <c r="Y18" s="323"/>
      <c r="Z18" s="326"/>
      <c r="AA18" s="330"/>
      <c r="AB18" s="323"/>
      <c r="AC18" s="323"/>
      <c r="AD18" s="323"/>
      <c r="AE18" s="324"/>
      <c r="AF18" s="325"/>
      <c r="AG18" s="323"/>
      <c r="AH18" s="323"/>
      <c r="AI18" s="323"/>
      <c r="AJ18" s="326"/>
      <c r="AK18" s="330"/>
      <c r="AL18" s="323"/>
      <c r="AM18" s="323"/>
      <c r="AN18" s="323"/>
      <c r="AO18" s="324"/>
      <c r="AP18" s="325"/>
      <c r="AQ18" s="323"/>
      <c r="AR18" s="323"/>
      <c r="AS18" s="323"/>
      <c r="AT18" s="326"/>
      <c r="AU18" s="330"/>
      <c r="AV18" s="323"/>
      <c r="AW18" s="323"/>
      <c r="AX18" s="323"/>
      <c r="AY18" s="324"/>
      <c r="AZ18" s="325"/>
      <c r="BA18" s="323"/>
      <c r="BB18" s="323"/>
      <c r="BC18" s="323"/>
      <c r="BD18" s="326"/>
      <c r="BE18" s="330"/>
      <c r="BF18" s="323"/>
      <c r="BG18" s="323"/>
      <c r="BH18" s="323"/>
      <c r="BI18" s="324"/>
      <c r="BJ18" s="325"/>
      <c r="BK18" s="323"/>
      <c r="BL18" s="323"/>
      <c r="BM18" s="323"/>
      <c r="BN18" s="326"/>
      <c r="BO18" s="330"/>
      <c r="BP18" s="323"/>
      <c r="BQ18" s="323"/>
      <c r="BR18" s="323"/>
      <c r="BS18" s="324"/>
      <c r="BT18" s="325"/>
      <c r="BU18" s="323"/>
      <c r="BV18" s="323"/>
      <c r="BW18" s="323"/>
      <c r="BX18" s="326"/>
      <c r="BY18" s="330"/>
      <c r="BZ18" s="323"/>
      <c r="CA18" s="323"/>
      <c r="CB18" s="323"/>
      <c r="CC18" s="324"/>
      <c r="CD18" s="325"/>
      <c r="CE18" s="323"/>
      <c r="CF18" s="323"/>
      <c r="CG18" s="323"/>
      <c r="CH18" s="324"/>
      <c r="CI18" s="325"/>
      <c r="CJ18" s="323"/>
      <c r="CK18" s="323"/>
      <c r="CL18" s="323"/>
      <c r="CM18" s="326"/>
      <c r="CN18" s="45"/>
      <c r="CO18" s="45"/>
      <c r="CP18" s="45"/>
      <c r="CQ18" s="45"/>
      <c r="CR18" s="45"/>
      <c r="CS18" s="45"/>
      <c r="CT18" s="45"/>
      <c r="CU18" s="45"/>
      <c r="CV18" s="45"/>
      <c r="CW18" s="45"/>
      <c r="CX18" s="45"/>
      <c r="CY18" s="45"/>
      <c r="CZ18" s="45"/>
      <c r="DA18" s="45"/>
      <c r="DB18" s="45"/>
      <c r="DC18" s="45"/>
      <c r="DD18" s="45"/>
      <c r="DE18" s="45"/>
      <c r="DF18" s="45"/>
      <c r="DG18" s="45"/>
      <c r="DH18" s="45"/>
      <c r="DI18" s="45"/>
      <c r="DJ18" s="45"/>
      <c r="DK18" s="45"/>
      <c r="DL18" s="45"/>
      <c r="DM18" s="45"/>
      <c r="DN18" s="45"/>
    </row>
    <row r="19" spans="1:118" ht="25.5" customHeight="1" thickBot="1">
      <c r="A19" s="351">
        <v>4412</v>
      </c>
      <c r="B19" s="352" t="s">
        <v>11</v>
      </c>
      <c r="C19" s="352" t="s">
        <v>44</v>
      </c>
      <c r="D19" s="352" t="s">
        <v>76</v>
      </c>
      <c r="E19" s="353" t="s">
        <v>53</v>
      </c>
      <c r="F19" s="352"/>
      <c r="G19" s="353" t="s">
        <v>1392</v>
      </c>
      <c r="H19" s="354" t="s">
        <v>54</v>
      </c>
      <c r="I19" s="355"/>
      <c r="J19" s="353"/>
      <c r="K19" s="356"/>
      <c r="L19" s="357" t="s">
        <v>78</v>
      </c>
      <c r="M19" s="352" t="s">
        <v>77</v>
      </c>
      <c r="N19" s="352"/>
      <c r="O19" s="352" t="s">
        <v>77</v>
      </c>
      <c r="P19" s="358" t="s">
        <v>77</v>
      </c>
      <c r="Q19" s="357"/>
      <c r="R19" s="352"/>
      <c r="S19" s="352"/>
      <c r="T19" s="352"/>
      <c r="U19" s="359" t="s">
        <v>80</v>
      </c>
      <c r="V19" s="351"/>
      <c r="W19" s="353"/>
      <c r="X19" s="353"/>
      <c r="Y19" s="353"/>
      <c r="Z19" s="356"/>
      <c r="AA19" s="360"/>
      <c r="AB19" s="353"/>
      <c r="AC19" s="353"/>
      <c r="AD19" s="353"/>
      <c r="AE19" s="354"/>
      <c r="AF19" s="355"/>
      <c r="AG19" s="353"/>
      <c r="AH19" s="353"/>
      <c r="AI19" s="353"/>
      <c r="AJ19" s="356"/>
      <c r="AK19" s="360"/>
      <c r="AL19" s="353"/>
      <c r="AM19" s="353"/>
      <c r="AN19" s="353"/>
      <c r="AO19" s="354"/>
      <c r="AP19" s="355"/>
      <c r="AQ19" s="353"/>
      <c r="AR19" s="353"/>
      <c r="AS19" s="353"/>
      <c r="AT19" s="356"/>
      <c r="AU19" s="360"/>
      <c r="AV19" s="353"/>
      <c r="AW19" s="353"/>
      <c r="AX19" s="353"/>
      <c r="AY19" s="354"/>
      <c r="AZ19" s="355"/>
      <c r="BA19" s="353"/>
      <c r="BB19" s="353"/>
      <c r="BC19" s="353"/>
      <c r="BD19" s="356"/>
      <c r="BE19" s="360"/>
      <c r="BF19" s="353"/>
      <c r="BG19" s="353"/>
      <c r="BH19" s="353"/>
      <c r="BI19" s="354"/>
      <c r="BJ19" s="355"/>
      <c r="BK19" s="353"/>
      <c r="BL19" s="353"/>
      <c r="BM19" s="353"/>
      <c r="BN19" s="356"/>
      <c r="BO19" s="360"/>
      <c r="BP19" s="353"/>
      <c r="BQ19" s="353"/>
      <c r="BR19" s="353"/>
      <c r="BS19" s="354"/>
      <c r="BT19" s="355"/>
      <c r="BU19" s="353"/>
      <c r="BV19" s="353"/>
      <c r="BW19" s="353"/>
      <c r="BX19" s="356"/>
      <c r="BY19" s="360"/>
      <c r="BZ19" s="353"/>
      <c r="CA19" s="353"/>
      <c r="CB19" s="353"/>
      <c r="CC19" s="354"/>
      <c r="CD19" s="355"/>
      <c r="CE19" s="353"/>
      <c r="CF19" s="353"/>
      <c r="CG19" s="353"/>
      <c r="CH19" s="354"/>
      <c r="CI19" s="355"/>
      <c r="CJ19" s="353"/>
      <c r="CK19" s="353"/>
      <c r="CL19" s="353"/>
      <c r="CM19" s="356"/>
      <c r="CN19" s="45"/>
      <c r="CO19" s="45"/>
      <c r="CP19" s="45"/>
      <c r="CQ19" s="45"/>
      <c r="CR19" s="45"/>
      <c r="CS19" s="45"/>
      <c r="CT19" s="45"/>
      <c r="CU19" s="45"/>
      <c r="CV19" s="45"/>
      <c r="CW19" s="45"/>
      <c r="CX19" s="45"/>
      <c r="CY19" s="45"/>
      <c r="CZ19" s="45"/>
      <c r="DA19" s="45"/>
      <c r="DB19" s="45"/>
      <c r="DC19" s="45"/>
      <c r="DD19" s="45"/>
      <c r="DE19" s="45"/>
      <c r="DF19" s="45"/>
      <c r="DG19" s="45"/>
      <c r="DH19" s="45"/>
      <c r="DI19" s="45"/>
      <c r="DJ19" s="45"/>
      <c r="DK19" s="45"/>
      <c r="DL19" s="45"/>
      <c r="DM19" s="45"/>
      <c r="DN19" s="45"/>
    </row>
    <row r="20" spans="1:118" ht="25.5" customHeight="1">
      <c r="A20" s="361">
        <v>4413</v>
      </c>
      <c r="B20" s="362" t="s">
        <v>11</v>
      </c>
      <c r="C20" s="362" t="s">
        <v>44</v>
      </c>
      <c r="D20" s="362" t="s">
        <v>76</v>
      </c>
      <c r="E20" s="363" t="s">
        <v>53</v>
      </c>
      <c r="F20" s="362"/>
      <c r="G20" s="363" t="s">
        <v>1394</v>
      </c>
      <c r="H20" s="364" t="s">
        <v>54</v>
      </c>
      <c r="I20" s="365"/>
      <c r="J20" s="363"/>
      <c r="K20" s="366"/>
      <c r="L20" s="367" t="s">
        <v>78</v>
      </c>
      <c r="M20" s="362" t="s">
        <v>77</v>
      </c>
      <c r="N20" s="362"/>
      <c r="O20" s="362" t="s">
        <v>77</v>
      </c>
      <c r="P20" s="368" t="s">
        <v>77</v>
      </c>
      <c r="Q20" s="367"/>
      <c r="R20" s="362"/>
      <c r="S20" s="362"/>
      <c r="T20" s="362"/>
      <c r="U20" s="369" t="s">
        <v>80</v>
      </c>
      <c r="V20" s="361"/>
      <c r="W20" s="363"/>
      <c r="X20" s="363"/>
      <c r="Y20" s="363"/>
      <c r="Z20" s="366"/>
      <c r="AA20" s="370"/>
      <c r="AB20" s="363"/>
      <c r="AC20" s="363"/>
      <c r="AD20" s="363"/>
      <c r="AE20" s="364"/>
      <c r="AF20" s="365"/>
      <c r="AG20" s="363"/>
      <c r="AH20" s="363"/>
      <c r="AI20" s="363"/>
      <c r="AJ20" s="366"/>
      <c r="AK20" s="370"/>
      <c r="AL20" s="363"/>
      <c r="AM20" s="363"/>
      <c r="AN20" s="363"/>
      <c r="AO20" s="364"/>
      <c r="AP20" s="365"/>
      <c r="AQ20" s="363"/>
      <c r="AR20" s="363"/>
      <c r="AS20" s="363"/>
      <c r="AT20" s="366"/>
      <c r="AU20" s="370"/>
      <c r="AV20" s="363"/>
      <c r="AW20" s="363"/>
      <c r="AX20" s="363"/>
      <c r="AY20" s="364"/>
      <c r="AZ20" s="365"/>
      <c r="BA20" s="363"/>
      <c r="BB20" s="363"/>
      <c r="BC20" s="363"/>
      <c r="BD20" s="366"/>
      <c r="BE20" s="370"/>
      <c r="BF20" s="363"/>
      <c r="BG20" s="363"/>
      <c r="BH20" s="363"/>
      <c r="BI20" s="364"/>
      <c r="BJ20" s="365"/>
      <c r="BK20" s="363"/>
      <c r="BL20" s="363"/>
      <c r="BM20" s="363"/>
      <c r="BN20" s="366"/>
      <c r="BO20" s="370"/>
      <c r="BP20" s="363"/>
      <c r="BQ20" s="363"/>
      <c r="BR20" s="363"/>
      <c r="BS20" s="364"/>
      <c r="BT20" s="365"/>
      <c r="BU20" s="363"/>
      <c r="BV20" s="363"/>
      <c r="BW20" s="363"/>
      <c r="BX20" s="366"/>
      <c r="BY20" s="370"/>
      <c r="BZ20" s="363"/>
      <c r="CA20" s="363"/>
      <c r="CB20" s="363"/>
      <c r="CC20" s="364"/>
      <c r="CD20" s="365"/>
      <c r="CE20" s="363"/>
      <c r="CF20" s="363"/>
      <c r="CG20" s="363"/>
      <c r="CH20" s="364"/>
      <c r="CI20" s="365"/>
      <c r="CJ20" s="363"/>
      <c r="CK20" s="363"/>
      <c r="CL20" s="363"/>
      <c r="CM20" s="366"/>
      <c r="CN20" s="45"/>
      <c r="CO20" s="45"/>
      <c r="CP20" s="45"/>
      <c r="CQ20" s="45"/>
      <c r="CR20" s="45"/>
      <c r="CS20" s="45"/>
      <c r="CT20" s="45"/>
      <c r="CU20" s="45"/>
      <c r="CV20" s="45"/>
      <c r="CW20" s="45"/>
      <c r="CX20" s="46"/>
      <c r="CY20" s="45"/>
      <c r="CZ20" s="45"/>
      <c r="DA20" s="46"/>
      <c r="DB20" s="45"/>
      <c r="DC20" s="45"/>
      <c r="DD20" s="45"/>
      <c r="DE20" s="45"/>
      <c r="DF20" s="46"/>
      <c r="DG20" s="45"/>
      <c r="DH20" s="45"/>
      <c r="DI20" s="45"/>
      <c r="DJ20" s="45"/>
      <c r="DK20" s="45"/>
      <c r="DL20" s="45"/>
      <c r="DM20" s="45"/>
      <c r="DN20" s="45"/>
    </row>
    <row r="21" spans="1:118" ht="25.5" customHeight="1">
      <c r="A21" s="321">
        <v>4414</v>
      </c>
      <c r="B21" s="322" t="s">
        <v>11</v>
      </c>
      <c r="C21" s="322" t="s">
        <v>44</v>
      </c>
      <c r="D21" s="322" t="s">
        <v>76</v>
      </c>
      <c r="E21" s="323" t="s">
        <v>53</v>
      </c>
      <c r="F21" s="322"/>
      <c r="G21" s="323" t="s">
        <v>1396</v>
      </c>
      <c r="H21" s="324" t="s">
        <v>54</v>
      </c>
      <c r="I21" s="325"/>
      <c r="J21" s="323"/>
      <c r="K21" s="326"/>
      <c r="L21" s="327" t="s">
        <v>78</v>
      </c>
      <c r="M21" s="322" t="s">
        <v>77</v>
      </c>
      <c r="N21" s="322"/>
      <c r="O21" s="322" t="s">
        <v>77</v>
      </c>
      <c r="P21" s="328" t="s">
        <v>77</v>
      </c>
      <c r="Q21" s="327"/>
      <c r="R21" s="322"/>
      <c r="S21" s="322"/>
      <c r="T21" s="322"/>
      <c r="U21" s="329" t="s">
        <v>80</v>
      </c>
      <c r="V21" s="321"/>
      <c r="W21" s="323"/>
      <c r="X21" s="323"/>
      <c r="Y21" s="323"/>
      <c r="Z21" s="326"/>
      <c r="AA21" s="330"/>
      <c r="AB21" s="323"/>
      <c r="AC21" s="323"/>
      <c r="AD21" s="323"/>
      <c r="AE21" s="324"/>
      <c r="AF21" s="325"/>
      <c r="AG21" s="323"/>
      <c r="AH21" s="323"/>
      <c r="AI21" s="323"/>
      <c r="AJ21" s="326"/>
      <c r="AK21" s="330"/>
      <c r="AL21" s="323"/>
      <c r="AM21" s="323"/>
      <c r="AN21" s="323"/>
      <c r="AO21" s="324"/>
      <c r="AP21" s="325"/>
      <c r="AQ21" s="323"/>
      <c r="AR21" s="323"/>
      <c r="AS21" s="323"/>
      <c r="AT21" s="326"/>
      <c r="AU21" s="330"/>
      <c r="AV21" s="323"/>
      <c r="AW21" s="323"/>
      <c r="AX21" s="323"/>
      <c r="AY21" s="324"/>
      <c r="AZ21" s="325"/>
      <c r="BA21" s="323"/>
      <c r="BB21" s="323"/>
      <c r="BC21" s="323"/>
      <c r="BD21" s="326"/>
      <c r="BE21" s="330"/>
      <c r="BF21" s="323"/>
      <c r="BG21" s="323"/>
      <c r="BH21" s="323"/>
      <c r="BI21" s="324"/>
      <c r="BJ21" s="325"/>
      <c r="BK21" s="323"/>
      <c r="BL21" s="323"/>
      <c r="BM21" s="323"/>
      <c r="BN21" s="326"/>
      <c r="BO21" s="330"/>
      <c r="BP21" s="323"/>
      <c r="BQ21" s="323"/>
      <c r="BR21" s="323"/>
      <c r="BS21" s="324"/>
      <c r="BT21" s="325"/>
      <c r="BU21" s="323"/>
      <c r="BV21" s="323"/>
      <c r="BW21" s="323"/>
      <c r="BX21" s="326"/>
      <c r="BY21" s="330"/>
      <c r="BZ21" s="323"/>
      <c r="CA21" s="323"/>
      <c r="CB21" s="323"/>
      <c r="CC21" s="324"/>
      <c r="CD21" s="325"/>
      <c r="CE21" s="323"/>
      <c r="CF21" s="323"/>
      <c r="CG21" s="323"/>
      <c r="CH21" s="324"/>
      <c r="CI21" s="325"/>
      <c r="CJ21" s="323"/>
      <c r="CK21" s="323"/>
      <c r="CL21" s="323"/>
      <c r="CM21" s="326"/>
    </row>
    <row r="22" spans="1:118" ht="25.5" customHeight="1">
      <c r="A22" s="321">
        <v>4415</v>
      </c>
      <c r="B22" s="322" t="s">
        <v>11</v>
      </c>
      <c r="C22" s="322" t="s">
        <v>44</v>
      </c>
      <c r="D22" s="322" t="s">
        <v>76</v>
      </c>
      <c r="E22" s="323" t="s">
        <v>53</v>
      </c>
      <c r="F22" s="322"/>
      <c r="G22" s="323" t="s">
        <v>1398</v>
      </c>
      <c r="H22" s="371" t="s">
        <v>54</v>
      </c>
      <c r="I22" s="325"/>
      <c r="J22" s="323"/>
      <c r="K22" s="326"/>
      <c r="L22" s="327" t="s">
        <v>78</v>
      </c>
      <c r="M22" s="322" t="s">
        <v>77</v>
      </c>
      <c r="N22" s="322"/>
      <c r="O22" s="322" t="s">
        <v>77</v>
      </c>
      <c r="P22" s="328" t="s">
        <v>77</v>
      </c>
      <c r="Q22" s="327"/>
      <c r="R22" s="322"/>
      <c r="S22" s="322"/>
      <c r="T22" s="322"/>
      <c r="U22" s="329" t="s">
        <v>80</v>
      </c>
      <c r="V22" s="321"/>
      <c r="W22" s="372"/>
      <c r="X22" s="372"/>
      <c r="Y22" s="372"/>
      <c r="Z22" s="373"/>
      <c r="AA22" s="374"/>
      <c r="AB22" s="372"/>
      <c r="AC22" s="372"/>
      <c r="AD22" s="372"/>
      <c r="AE22" s="371"/>
      <c r="AF22" s="375"/>
      <c r="AG22" s="372"/>
      <c r="AH22" s="372"/>
      <c r="AI22" s="372"/>
      <c r="AJ22" s="373"/>
      <c r="AK22" s="374"/>
      <c r="AL22" s="372"/>
      <c r="AM22" s="372"/>
      <c r="AN22" s="372"/>
      <c r="AO22" s="371"/>
      <c r="AP22" s="375"/>
      <c r="AQ22" s="372"/>
      <c r="AR22" s="372"/>
      <c r="AS22" s="372"/>
      <c r="AT22" s="373"/>
      <c r="AU22" s="374"/>
      <c r="AV22" s="372"/>
      <c r="AW22" s="372"/>
      <c r="AX22" s="372"/>
      <c r="AY22" s="371"/>
      <c r="AZ22" s="375"/>
      <c r="BA22" s="372"/>
      <c r="BB22" s="372"/>
      <c r="BC22" s="372"/>
      <c r="BD22" s="373"/>
      <c r="BE22" s="374"/>
      <c r="BF22" s="372"/>
      <c r="BG22" s="372"/>
      <c r="BH22" s="372"/>
      <c r="BI22" s="371"/>
      <c r="BJ22" s="375"/>
      <c r="BK22" s="372"/>
      <c r="BL22" s="372"/>
      <c r="BM22" s="372"/>
      <c r="BN22" s="373"/>
      <c r="BO22" s="374"/>
      <c r="BP22" s="372"/>
      <c r="BQ22" s="372"/>
      <c r="BR22" s="372"/>
      <c r="BS22" s="371"/>
      <c r="BT22" s="375"/>
      <c r="BU22" s="372"/>
      <c r="BV22" s="372"/>
      <c r="BW22" s="372"/>
      <c r="BX22" s="373"/>
      <c r="BY22" s="374"/>
      <c r="BZ22" s="372"/>
      <c r="CA22" s="372"/>
      <c r="CB22" s="372"/>
      <c r="CC22" s="371"/>
      <c r="CD22" s="375"/>
      <c r="CE22" s="372"/>
      <c r="CF22" s="372"/>
      <c r="CG22" s="372"/>
      <c r="CH22" s="371"/>
      <c r="CI22" s="375"/>
      <c r="CJ22" s="372"/>
      <c r="CK22" s="372"/>
      <c r="CL22" s="372"/>
      <c r="CM22" s="373"/>
    </row>
    <row r="23" spans="1:118" ht="25.5" customHeight="1">
      <c r="A23" s="321">
        <v>4416</v>
      </c>
      <c r="B23" s="322" t="s">
        <v>11</v>
      </c>
      <c r="C23" s="322" t="s">
        <v>44</v>
      </c>
      <c r="D23" s="322" t="s">
        <v>76</v>
      </c>
      <c r="E23" s="323" t="s">
        <v>53</v>
      </c>
      <c r="F23" s="322"/>
      <c r="G23" s="323" t="s">
        <v>1400</v>
      </c>
      <c r="H23" s="371" t="s">
        <v>54</v>
      </c>
      <c r="I23" s="325"/>
      <c r="J23" s="323"/>
      <c r="K23" s="326"/>
      <c r="L23" s="327" t="s">
        <v>78</v>
      </c>
      <c r="M23" s="322" t="s">
        <v>77</v>
      </c>
      <c r="N23" s="322"/>
      <c r="O23" s="322" t="s">
        <v>77</v>
      </c>
      <c r="P23" s="328" t="s">
        <v>77</v>
      </c>
      <c r="Q23" s="327"/>
      <c r="R23" s="322"/>
      <c r="S23" s="322"/>
      <c r="T23" s="322"/>
      <c r="U23" s="329" t="s">
        <v>80</v>
      </c>
      <c r="V23" s="321"/>
      <c r="W23" s="372"/>
      <c r="X23" s="372"/>
      <c r="Y23" s="372"/>
      <c r="Z23" s="373"/>
      <c r="AA23" s="374"/>
      <c r="AB23" s="372"/>
      <c r="AC23" s="372"/>
      <c r="AD23" s="372"/>
      <c r="AE23" s="371"/>
      <c r="AF23" s="375"/>
      <c r="AG23" s="372"/>
      <c r="AH23" s="372"/>
      <c r="AI23" s="372"/>
      <c r="AJ23" s="373"/>
      <c r="AK23" s="374"/>
      <c r="AL23" s="372"/>
      <c r="AM23" s="372"/>
      <c r="AN23" s="372"/>
      <c r="AO23" s="371"/>
      <c r="AP23" s="375"/>
      <c r="AQ23" s="372"/>
      <c r="AR23" s="372"/>
      <c r="AS23" s="372"/>
      <c r="AT23" s="373"/>
      <c r="AU23" s="374"/>
      <c r="AV23" s="372"/>
      <c r="AW23" s="372"/>
      <c r="AX23" s="372"/>
      <c r="AY23" s="371"/>
      <c r="AZ23" s="375"/>
      <c r="BA23" s="372"/>
      <c r="BB23" s="372"/>
      <c r="BC23" s="372"/>
      <c r="BD23" s="373"/>
      <c r="BE23" s="374"/>
      <c r="BF23" s="372"/>
      <c r="BG23" s="372"/>
      <c r="BH23" s="372"/>
      <c r="BI23" s="371"/>
      <c r="BJ23" s="375"/>
      <c r="BK23" s="372"/>
      <c r="BL23" s="372"/>
      <c r="BM23" s="372"/>
      <c r="BN23" s="373"/>
      <c r="BO23" s="374"/>
      <c r="BP23" s="372"/>
      <c r="BQ23" s="372"/>
      <c r="BR23" s="372"/>
      <c r="BS23" s="371"/>
      <c r="BT23" s="375"/>
      <c r="BU23" s="372"/>
      <c r="BV23" s="372"/>
      <c r="BW23" s="372"/>
      <c r="BX23" s="373"/>
      <c r="BY23" s="374"/>
      <c r="BZ23" s="372"/>
      <c r="CA23" s="372"/>
      <c r="CB23" s="372"/>
      <c r="CC23" s="371"/>
      <c r="CD23" s="375"/>
      <c r="CE23" s="372"/>
      <c r="CF23" s="372"/>
      <c r="CG23" s="372"/>
      <c r="CH23" s="371"/>
      <c r="CI23" s="375"/>
      <c r="CJ23" s="372"/>
      <c r="CK23" s="372"/>
      <c r="CL23" s="372"/>
      <c r="CM23" s="373"/>
    </row>
    <row r="24" spans="1:118" ht="25.5" customHeight="1" thickBot="1">
      <c r="A24" s="331">
        <v>4417</v>
      </c>
      <c r="B24" s="332" t="s">
        <v>11</v>
      </c>
      <c r="C24" s="332" t="s">
        <v>44</v>
      </c>
      <c r="D24" s="332" t="s">
        <v>76</v>
      </c>
      <c r="E24" s="333" t="s">
        <v>53</v>
      </c>
      <c r="F24" s="332"/>
      <c r="G24" s="333" t="s">
        <v>1402</v>
      </c>
      <c r="H24" s="376" t="s">
        <v>54</v>
      </c>
      <c r="I24" s="335"/>
      <c r="J24" s="333"/>
      <c r="K24" s="336"/>
      <c r="L24" s="337" t="s">
        <v>78</v>
      </c>
      <c r="M24" s="332" t="s">
        <v>77</v>
      </c>
      <c r="N24" s="332"/>
      <c r="O24" s="332" t="s">
        <v>77</v>
      </c>
      <c r="P24" s="338" t="s">
        <v>77</v>
      </c>
      <c r="Q24" s="337"/>
      <c r="R24" s="332"/>
      <c r="S24" s="332"/>
      <c r="T24" s="332"/>
      <c r="U24" s="339" t="s">
        <v>80</v>
      </c>
      <c r="V24" s="331"/>
      <c r="W24" s="377"/>
      <c r="X24" s="377"/>
      <c r="Y24" s="377"/>
      <c r="Z24" s="378"/>
      <c r="AA24" s="379"/>
      <c r="AB24" s="377"/>
      <c r="AC24" s="377"/>
      <c r="AD24" s="377"/>
      <c r="AE24" s="376"/>
      <c r="AF24" s="380"/>
      <c r="AG24" s="377"/>
      <c r="AH24" s="377"/>
      <c r="AI24" s="377"/>
      <c r="AJ24" s="378"/>
      <c r="AK24" s="379"/>
      <c r="AL24" s="377"/>
      <c r="AM24" s="377"/>
      <c r="AN24" s="377"/>
      <c r="AO24" s="376"/>
      <c r="AP24" s="380"/>
      <c r="AQ24" s="377"/>
      <c r="AR24" s="377"/>
      <c r="AS24" s="377"/>
      <c r="AT24" s="378"/>
      <c r="AU24" s="379"/>
      <c r="AV24" s="377"/>
      <c r="AW24" s="377"/>
      <c r="AX24" s="377"/>
      <c r="AY24" s="376"/>
      <c r="AZ24" s="380"/>
      <c r="BA24" s="377"/>
      <c r="BB24" s="377"/>
      <c r="BC24" s="377"/>
      <c r="BD24" s="378"/>
      <c r="BE24" s="379"/>
      <c r="BF24" s="377"/>
      <c r="BG24" s="377"/>
      <c r="BH24" s="377"/>
      <c r="BI24" s="376"/>
      <c r="BJ24" s="380"/>
      <c r="BK24" s="377"/>
      <c r="BL24" s="377"/>
      <c r="BM24" s="377"/>
      <c r="BN24" s="378"/>
      <c r="BO24" s="379"/>
      <c r="BP24" s="377"/>
      <c r="BQ24" s="377"/>
      <c r="BR24" s="377"/>
      <c r="BS24" s="376"/>
      <c r="BT24" s="380"/>
      <c r="BU24" s="377"/>
      <c r="BV24" s="377"/>
      <c r="BW24" s="377"/>
      <c r="BX24" s="378"/>
      <c r="BY24" s="379"/>
      <c r="BZ24" s="377"/>
      <c r="CA24" s="377"/>
      <c r="CB24" s="377"/>
      <c r="CC24" s="376"/>
      <c r="CD24" s="380"/>
      <c r="CE24" s="377"/>
      <c r="CF24" s="377"/>
      <c r="CG24" s="377"/>
      <c r="CH24" s="376"/>
      <c r="CI24" s="380"/>
      <c r="CJ24" s="377"/>
      <c r="CK24" s="377"/>
      <c r="CL24" s="377"/>
      <c r="CM24" s="378"/>
    </row>
    <row r="25" spans="1:118" ht="25.5" customHeight="1">
      <c r="A25" s="341">
        <v>4418</v>
      </c>
      <c r="B25" s="342" t="s">
        <v>11</v>
      </c>
      <c r="C25" s="342" t="s">
        <v>44</v>
      </c>
      <c r="D25" s="342" t="s">
        <v>76</v>
      </c>
      <c r="E25" s="343" t="s">
        <v>53</v>
      </c>
      <c r="F25" s="342"/>
      <c r="G25" s="343" t="s">
        <v>1404</v>
      </c>
      <c r="H25" s="344" t="s">
        <v>54</v>
      </c>
      <c r="I25" s="345"/>
      <c r="J25" s="343"/>
      <c r="K25" s="346"/>
      <c r="L25" s="347" t="s">
        <v>78</v>
      </c>
      <c r="M25" s="342" t="s">
        <v>77</v>
      </c>
      <c r="N25" s="342"/>
      <c r="O25" s="342" t="s">
        <v>77</v>
      </c>
      <c r="P25" s="348" t="s">
        <v>77</v>
      </c>
      <c r="Q25" s="347"/>
      <c r="R25" s="342"/>
      <c r="S25" s="342"/>
      <c r="T25" s="342"/>
      <c r="U25" s="349" t="s">
        <v>80</v>
      </c>
      <c r="V25" s="341"/>
      <c r="W25" s="381"/>
      <c r="X25" s="381"/>
      <c r="Y25" s="381"/>
      <c r="Z25" s="382"/>
      <c r="AA25" s="383"/>
      <c r="AB25" s="381"/>
      <c r="AC25" s="381"/>
      <c r="AD25" s="381"/>
      <c r="AE25" s="384"/>
      <c r="AF25" s="385"/>
      <c r="AG25" s="381"/>
      <c r="AH25" s="381"/>
      <c r="AI25" s="381"/>
      <c r="AJ25" s="382"/>
      <c r="AK25" s="383"/>
      <c r="AL25" s="381"/>
      <c r="AM25" s="381"/>
      <c r="AN25" s="381"/>
      <c r="AO25" s="384"/>
      <c r="AP25" s="385"/>
      <c r="AQ25" s="381"/>
      <c r="AR25" s="381"/>
      <c r="AS25" s="381"/>
      <c r="AT25" s="382"/>
      <c r="AU25" s="383"/>
      <c r="AV25" s="381"/>
      <c r="AW25" s="381"/>
      <c r="AX25" s="381"/>
      <c r="AY25" s="384"/>
      <c r="AZ25" s="385"/>
      <c r="BA25" s="381"/>
      <c r="BB25" s="381"/>
      <c r="BC25" s="381"/>
      <c r="BD25" s="382"/>
      <c r="BE25" s="383"/>
      <c r="BF25" s="381"/>
      <c r="BG25" s="381"/>
      <c r="BH25" s="381"/>
      <c r="BI25" s="384"/>
      <c r="BJ25" s="385"/>
      <c r="BK25" s="381"/>
      <c r="BL25" s="381"/>
      <c r="BM25" s="381"/>
      <c r="BN25" s="382"/>
      <c r="BO25" s="383"/>
      <c r="BP25" s="381"/>
      <c r="BQ25" s="381"/>
      <c r="BR25" s="381"/>
      <c r="BS25" s="384"/>
      <c r="BT25" s="385"/>
      <c r="BU25" s="381"/>
      <c r="BV25" s="381"/>
      <c r="BW25" s="381"/>
      <c r="BX25" s="382"/>
      <c r="BY25" s="383"/>
      <c r="BZ25" s="381"/>
      <c r="CA25" s="381"/>
      <c r="CB25" s="381"/>
      <c r="CC25" s="384"/>
      <c r="CD25" s="385"/>
      <c r="CE25" s="381"/>
      <c r="CF25" s="381"/>
      <c r="CG25" s="381"/>
      <c r="CH25" s="384"/>
      <c r="CI25" s="385"/>
      <c r="CJ25" s="381"/>
      <c r="CK25" s="381"/>
      <c r="CL25" s="381"/>
      <c r="CM25" s="382"/>
    </row>
    <row r="26" spans="1:118" ht="25.5" customHeight="1">
      <c r="A26" s="386">
        <v>4419</v>
      </c>
      <c r="B26" s="387" t="s">
        <v>11</v>
      </c>
      <c r="C26" s="387" t="s">
        <v>44</v>
      </c>
      <c r="D26" s="387" t="s">
        <v>76</v>
      </c>
      <c r="E26" s="372" t="s">
        <v>53</v>
      </c>
      <c r="F26" s="387"/>
      <c r="G26" s="372" t="s">
        <v>1406</v>
      </c>
      <c r="H26" s="371" t="s">
        <v>54</v>
      </c>
      <c r="I26" s="375"/>
      <c r="J26" s="372"/>
      <c r="K26" s="373"/>
      <c r="L26" s="388" t="s">
        <v>78</v>
      </c>
      <c r="M26" s="387" t="s">
        <v>77</v>
      </c>
      <c r="N26" s="387"/>
      <c r="O26" s="387" t="s">
        <v>77</v>
      </c>
      <c r="P26" s="389" t="s">
        <v>77</v>
      </c>
      <c r="Q26" s="388"/>
      <c r="R26" s="387"/>
      <c r="S26" s="387"/>
      <c r="T26" s="387"/>
      <c r="U26" s="390" t="s">
        <v>80</v>
      </c>
      <c r="V26" s="386"/>
      <c r="W26" s="372"/>
      <c r="X26" s="372"/>
      <c r="Y26" s="372"/>
      <c r="Z26" s="373"/>
      <c r="AA26" s="374"/>
      <c r="AB26" s="372"/>
      <c r="AC26" s="372"/>
      <c r="AD26" s="372"/>
      <c r="AE26" s="371"/>
      <c r="AF26" s="375"/>
      <c r="AG26" s="372"/>
      <c r="AH26" s="372"/>
      <c r="AI26" s="372"/>
      <c r="AJ26" s="373"/>
      <c r="AK26" s="374"/>
      <c r="AL26" s="372"/>
      <c r="AM26" s="372"/>
      <c r="AN26" s="372"/>
      <c r="AO26" s="371"/>
      <c r="AP26" s="375"/>
      <c r="AQ26" s="372"/>
      <c r="AR26" s="372"/>
      <c r="AS26" s="372"/>
      <c r="AT26" s="373"/>
      <c r="AU26" s="374"/>
      <c r="AV26" s="372"/>
      <c r="AW26" s="372"/>
      <c r="AX26" s="372"/>
      <c r="AY26" s="371"/>
      <c r="AZ26" s="375"/>
      <c r="BA26" s="372"/>
      <c r="BB26" s="372"/>
      <c r="BC26" s="372"/>
      <c r="BD26" s="373"/>
      <c r="BE26" s="374"/>
      <c r="BF26" s="372"/>
      <c r="BG26" s="372"/>
      <c r="BH26" s="372"/>
      <c r="BI26" s="371"/>
      <c r="BJ26" s="375"/>
      <c r="BK26" s="372"/>
      <c r="BL26" s="372"/>
      <c r="BM26" s="372"/>
      <c r="BN26" s="373"/>
      <c r="BO26" s="374"/>
      <c r="BP26" s="372"/>
      <c r="BQ26" s="372"/>
      <c r="BR26" s="372"/>
      <c r="BS26" s="371"/>
      <c r="BT26" s="375"/>
      <c r="BU26" s="372"/>
      <c r="BV26" s="372"/>
      <c r="BW26" s="372"/>
      <c r="BX26" s="373"/>
      <c r="BY26" s="374"/>
      <c r="BZ26" s="372"/>
      <c r="CA26" s="372"/>
      <c r="CB26" s="372"/>
      <c r="CC26" s="371"/>
      <c r="CD26" s="375"/>
      <c r="CE26" s="372"/>
      <c r="CF26" s="372"/>
      <c r="CG26" s="372"/>
      <c r="CH26" s="371"/>
      <c r="CI26" s="375"/>
      <c r="CJ26" s="372"/>
      <c r="CK26" s="372"/>
      <c r="CL26" s="372"/>
      <c r="CM26" s="373"/>
    </row>
    <row r="27" spans="1:118" ht="25.5" customHeight="1">
      <c r="A27" s="386">
        <v>4420</v>
      </c>
      <c r="B27" s="387" t="s">
        <v>11</v>
      </c>
      <c r="C27" s="387" t="s">
        <v>44</v>
      </c>
      <c r="D27" s="387" t="s">
        <v>76</v>
      </c>
      <c r="E27" s="372" t="s">
        <v>53</v>
      </c>
      <c r="F27" s="387"/>
      <c r="G27" s="372" t="s">
        <v>1408</v>
      </c>
      <c r="H27" s="371" t="s">
        <v>54</v>
      </c>
      <c r="I27" s="375"/>
      <c r="J27" s="372"/>
      <c r="K27" s="373"/>
      <c r="L27" s="388" t="s">
        <v>78</v>
      </c>
      <c r="M27" s="387" t="s">
        <v>77</v>
      </c>
      <c r="N27" s="387"/>
      <c r="O27" s="387" t="s">
        <v>77</v>
      </c>
      <c r="P27" s="389" t="s">
        <v>77</v>
      </c>
      <c r="Q27" s="388"/>
      <c r="R27" s="387"/>
      <c r="S27" s="387"/>
      <c r="T27" s="387"/>
      <c r="U27" s="390" t="s">
        <v>80</v>
      </c>
      <c r="V27" s="386"/>
      <c r="W27" s="372"/>
      <c r="X27" s="372"/>
      <c r="Y27" s="372"/>
      <c r="Z27" s="373"/>
      <c r="AA27" s="374"/>
      <c r="AB27" s="372"/>
      <c r="AC27" s="372"/>
      <c r="AD27" s="372"/>
      <c r="AE27" s="371"/>
      <c r="AF27" s="375"/>
      <c r="AG27" s="372"/>
      <c r="AH27" s="372"/>
      <c r="AI27" s="372"/>
      <c r="AJ27" s="373"/>
      <c r="AK27" s="374"/>
      <c r="AL27" s="372"/>
      <c r="AM27" s="372"/>
      <c r="AN27" s="372"/>
      <c r="AO27" s="371"/>
      <c r="AP27" s="375"/>
      <c r="AQ27" s="372"/>
      <c r="AR27" s="372"/>
      <c r="AS27" s="372"/>
      <c r="AT27" s="373"/>
      <c r="AU27" s="374"/>
      <c r="AV27" s="372"/>
      <c r="AW27" s="372"/>
      <c r="AX27" s="372"/>
      <c r="AY27" s="371"/>
      <c r="AZ27" s="375"/>
      <c r="BA27" s="372"/>
      <c r="BB27" s="372"/>
      <c r="BC27" s="372"/>
      <c r="BD27" s="373"/>
      <c r="BE27" s="374"/>
      <c r="BF27" s="372"/>
      <c r="BG27" s="372"/>
      <c r="BH27" s="372"/>
      <c r="BI27" s="371"/>
      <c r="BJ27" s="375"/>
      <c r="BK27" s="372"/>
      <c r="BL27" s="372"/>
      <c r="BM27" s="372"/>
      <c r="BN27" s="373"/>
      <c r="BO27" s="374"/>
      <c r="BP27" s="372"/>
      <c r="BQ27" s="372"/>
      <c r="BR27" s="372"/>
      <c r="BS27" s="371"/>
      <c r="BT27" s="375"/>
      <c r="BU27" s="372"/>
      <c r="BV27" s="372"/>
      <c r="BW27" s="372"/>
      <c r="BX27" s="373"/>
      <c r="BY27" s="374"/>
      <c r="BZ27" s="372"/>
      <c r="CA27" s="372"/>
      <c r="CB27" s="372"/>
      <c r="CC27" s="371"/>
      <c r="CD27" s="375"/>
      <c r="CE27" s="372"/>
      <c r="CF27" s="372"/>
      <c r="CG27" s="372"/>
      <c r="CH27" s="371"/>
      <c r="CI27" s="375"/>
      <c r="CJ27" s="372"/>
      <c r="CK27" s="372"/>
      <c r="CL27" s="372"/>
      <c r="CM27" s="373"/>
    </row>
    <row r="28" spans="1:118" ht="25.5" customHeight="1">
      <c r="A28" s="386">
        <v>4421</v>
      </c>
      <c r="B28" s="387" t="s">
        <v>11</v>
      </c>
      <c r="C28" s="387" t="s">
        <v>44</v>
      </c>
      <c r="D28" s="387" t="s">
        <v>76</v>
      </c>
      <c r="E28" s="372" t="s">
        <v>53</v>
      </c>
      <c r="F28" s="387"/>
      <c r="G28" s="372" t="s">
        <v>1410</v>
      </c>
      <c r="H28" s="371" t="s">
        <v>54</v>
      </c>
      <c r="I28" s="375"/>
      <c r="J28" s="372"/>
      <c r="K28" s="373"/>
      <c r="L28" s="388" t="s">
        <v>78</v>
      </c>
      <c r="M28" s="387" t="s">
        <v>77</v>
      </c>
      <c r="N28" s="387"/>
      <c r="O28" s="387" t="s">
        <v>77</v>
      </c>
      <c r="P28" s="389" t="s">
        <v>77</v>
      </c>
      <c r="Q28" s="388"/>
      <c r="R28" s="387"/>
      <c r="S28" s="387"/>
      <c r="T28" s="387"/>
      <c r="U28" s="390" t="s">
        <v>80</v>
      </c>
      <c r="V28" s="386"/>
      <c r="W28" s="372"/>
      <c r="X28" s="372"/>
      <c r="Y28" s="372"/>
      <c r="Z28" s="373"/>
      <c r="AA28" s="374"/>
      <c r="AB28" s="372"/>
      <c r="AC28" s="372"/>
      <c r="AD28" s="372"/>
      <c r="AE28" s="371"/>
      <c r="AF28" s="375"/>
      <c r="AG28" s="372"/>
      <c r="AH28" s="372"/>
      <c r="AI28" s="372"/>
      <c r="AJ28" s="373"/>
      <c r="AK28" s="374"/>
      <c r="AL28" s="372"/>
      <c r="AM28" s="372"/>
      <c r="AN28" s="372"/>
      <c r="AO28" s="371"/>
      <c r="AP28" s="375"/>
      <c r="AQ28" s="372"/>
      <c r="AR28" s="372"/>
      <c r="AS28" s="372"/>
      <c r="AT28" s="373"/>
      <c r="AU28" s="374"/>
      <c r="AV28" s="372"/>
      <c r="AW28" s="372"/>
      <c r="AX28" s="372"/>
      <c r="AY28" s="371"/>
      <c r="AZ28" s="375"/>
      <c r="BA28" s="372"/>
      <c r="BB28" s="372"/>
      <c r="BC28" s="372"/>
      <c r="BD28" s="373"/>
      <c r="BE28" s="374"/>
      <c r="BF28" s="372"/>
      <c r="BG28" s="372"/>
      <c r="BH28" s="372"/>
      <c r="BI28" s="371"/>
      <c r="BJ28" s="375"/>
      <c r="BK28" s="372"/>
      <c r="BL28" s="372"/>
      <c r="BM28" s="372"/>
      <c r="BN28" s="373"/>
      <c r="BO28" s="374"/>
      <c r="BP28" s="372"/>
      <c r="BQ28" s="372"/>
      <c r="BR28" s="372"/>
      <c r="BS28" s="371"/>
      <c r="BT28" s="375"/>
      <c r="BU28" s="372"/>
      <c r="BV28" s="372"/>
      <c r="BW28" s="372"/>
      <c r="BX28" s="373"/>
      <c r="BY28" s="374"/>
      <c r="BZ28" s="372"/>
      <c r="CA28" s="372"/>
      <c r="CB28" s="372"/>
      <c r="CC28" s="371"/>
      <c r="CD28" s="375"/>
      <c r="CE28" s="372"/>
      <c r="CF28" s="372"/>
      <c r="CG28" s="372"/>
      <c r="CH28" s="371"/>
      <c r="CI28" s="375"/>
      <c r="CJ28" s="372"/>
      <c r="CK28" s="372"/>
      <c r="CL28" s="372"/>
      <c r="CM28" s="373"/>
    </row>
    <row r="29" spans="1:118" ht="25.5" customHeight="1" thickBot="1">
      <c r="A29" s="391">
        <v>4422</v>
      </c>
      <c r="B29" s="392" t="s">
        <v>11</v>
      </c>
      <c r="C29" s="392" t="s">
        <v>44</v>
      </c>
      <c r="D29" s="392" t="s">
        <v>76</v>
      </c>
      <c r="E29" s="393" t="s">
        <v>53</v>
      </c>
      <c r="F29" s="392"/>
      <c r="G29" s="393" t="s">
        <v>1412</v>
      </c>
      <c r="H29" s="394" t="s">
        <v>54</v>
      </c>
      <c r="I29" s="395"/>
      <c r="J29" s="393"/>
      <c r="K29" s="396"/>
      <c r="L29" s="397" t="s">
        <v>78</v>
      </c>
      <c r="M29" s="392" t="s">
        <v>77</v>
      </c>
      <c r="N29" s="392"/>
      <c r="O29" s="392" t="s">
        <v>77</v>
      </c>
      <c r="P29" s="398" t="s">
        <v>77</v>
      </c>
      <c r="Q29" s="397"/>
      <c r="R29" s="392"/>
      <c r="S29" s="392"/>
      <c r="T29" s="392"/>
      <c r="U29" s="399" t="s">
        <v>80</v>
      </c>
      <c r="V29" s="391"/>
      <c r="W29" s="393"/>
      <c r="X29" s="393"/>
      <c r="Y29" s="393"/>
      <c r="Z29" s="396"/>
      <c r="AA29" s="400"/>
      <c r="AB29" s="393"/>
      <c r="AC29" s="393"/>
      <c r="AD29" s="393"/>
      <c r="AE29" s="394"/>
      <c r="AF29" s="395"/>
      <c r="AG29" s="393"/>
      <c r="AH29" s="393"/>
      <c r="AI29" s="393"/>
      <c r="AJ29" s="396"/>
      <c r="AK29" s="400"/>
      <c r="AL29" s="393"/>
      <c r="AM29" s="393"/>
      <c r="AN29" s="393"/>
      <c r="AO29" s="394"/>
      <c r="AP29" s="395"/>
      <c r="AQ29" s="393"/>
      <c r="AR29" s="393"/>
      <c r="AS29" s="393"/>
      <c r="AT29" s="396"/>
      <c r="AU29" s="400"/>
      <c r="AV29" s="393"/>
      <c r="AW29" s="393"/>
      <c r="AX29" s="393"/>
      <c r="AY29" s="394"/>
      <c r="AZ29" s="395"/>
      <c r="BA29" s="393"/>
      <c r="BB29" s="393"/>
      <c r="BC29" s="393"/>
      <c r="BD29" s="396"/>
      <c r="BE29" s="400"/>
      <c r="BF29" s="393"/>
      <c r="BG29" s="393"/>
      <c r="BH29" s="393"/>
      <c r="BI29" s="394"/>
      <c r="BJ29" s="395"/>
      <c r="BK29" s="393"/>
      <c r="BL29" s="393"/>
      <c r="BM29" s="393"/>
      <c r="BN29" s="396"/>
      <c r="BO29" s="400"/>
      <c r="BP29" s="393"/>
      <c r="BQ29" s="393"/>
      <c r="BR29" s="393"/>
      <c r="BS29" s="394"/>
      <c r="BT29" s="395"/>
      <c r="BU29" s="393"/>
      <c r="BV29" s="393"/>
      <c r="BW29" s="393"/>
      <c r="BX29" s="396"/>
      <c r="BY29" s="400"/>
      <c r="BZ29" s="393"/>
      <c r="CA29" s="393"/>
      <c r="CB29" s="393"/>
      <c r="CC29" s="394"/>
      <c r="CD29" s="395"/>
      <c r="CE29" s="393"/>
      <c r="CF29" s="393"/>
      <c r="CG29" s="393"/>
      <c r="CH29" s="394"/>
      <c r="CI29" s="395"/>
      <c r="CJ29" s="393"/>
      <c r="CK29" s="393"/>
      <c r="CL29" s="393"/>
      <c r="CM29" s="396"/>
    </row>
    <row r="30" spans="1:118" ht="25.5" customHeight="1">
      <c r="A30" s="401">
        <v>4423</v>
      </c>
      <c r="B30" s="402" t="s">
        <v>11</v>
      </c>
      <c r="C30" s="402" t="s">
        <v>44</v>
      </c>
      <c r="D30" s="402" t="s">
        <v>76</v>
      </c>
      <c r="E30" s="403" t="s">
        <v>53</v>
      </c>
      <c r="F30" s="402"/>
      <c r="G30" s="403" t="s">
        <v>1414</v>
      </c>
      <c r="H30" s="404" t="s">
        <v>54</v>
      </c>
      <c r="I30" s="405"/>
      <c r="J30" s="403"/>
      <c r="K30" s="406"/>
      <c r="L30" s="407" t="s">
        <v>78</v>
      </c>
      <c r="M30" s="402" t="s">
        <v>77</v>
      </c>
      <c r="N30" s="402"/>
      <c r="O30" s="402" t="s">
        <v>77</v>
      </c>
      <c r="P30" s="408" t="s">
        <v>77</v>
      </c>
      <c r="Q30" s="407"/>
      <c r="R30" s="402"/>
      <c r="S30" s="402"/>
      <c r="T30" s="402"/>
      <c r="U30" s="409" t="s">
        <v>80</v>
      </c>
      <c r="V30" s="401"/>
      <c r="W30" s="403"/>
      <c r="X30" s="403"/>
      <c r="Y30" s="403"/>
      <c r="Z30" s="406"/>
      <c r="AA30" s="410"/>
      <c r="AB30" s="403"/>
      <c r="AC30" s="403"/>
      <c r="AD30" s="403"/>
      <c r="AE30" s="404"/>
      <c r="AF30" s="405"/>
      <c r="AG30" s="403"/>
      <c r="AH30" s="403"/>
      <c r="AI30" s="403"/>
      <c r="AJ30" s="406"/>
      <c r="AK30" s="410"/>
      <c r="AL30" s="403"/>
      <c r="AM30" s="403"/>
      <c r="AN30" s="403"/>
      <c r="AO30" s="404"/>
      <c r="AP30" s="405"/>
      <c r="AQ30" s="403"/>
      <c r="AR30" s="403"/>
      <c r="AS30" s="403"/>
      <c r="AT30" s="406"/>
      <c r="AU30" s="410"/>
      <c r="AV30" s="403"/>
      <c r="AW30" s="403"/>
      <c r="AX30" s="403"/>
      <c r="AY30" s="404"/>
      <c r="AZ30" s="405"/>
      <c r="BA30" s="403"/>
      <c r="BB30" s="403"/>
      <c r="BC30" s="403"/>
      <c r="BD30" s="406"/>
      <c r="BE30" s="410"/>
      <c r="BF30" s="403"/>
      <c r="BG30" s="403"/>
      <c r="BH30" s="403"/>
      <c r="BI30" s="404"/>
      <c r="BJ30" s="405"/>
      <c r="BK30" s="403"/>
      <c r="BL30" s="403"/>
      <c r="BM30" s="403"/>
      <c r="BN30" s="406"/>
      <c r="BO30" s="410"/>
      <c r="BP30" s="403"/>
      <c r="BQ30" s="403"/>
      <c r="BR30" s="403"/>
      <c r="BS30" s="404"/>
      <c r="BT30" s="405"/>
      <c r="BU30" s="403"/>
      <c r="BV30" s="403"/>
      <c r="BW30" s="403"/>
      <c r="BX30" s="406"/>
      <c r="BY30" s="410"/>
      <c r="BZ30" s="403"/>
      <c r="CA30" s="403"/>
      <c r="CB30" s="403"/>
      <c r="CC30" s="404"/>
      <c r="CD30" s="405"/>
      <c r="CE30" s="403"/>
      <c r="CF30" s="403"/>
      <c r="CG30" s="403"/>
      <c r="CH30" s="404"/>
      <c r="CI30" s="405"/>
      <c r="CJ30" s="403"/>
      <c r="CK30" s="403"/>
      <c r="CL30" s="403"/>
      <c r="CM30" s="406"/>
    </row>
    <row r="31" spans="1:118" ht="25.5" customHeight="1">
      <c r="A31" s="386">
        <v>4424</v>
      </c>
      <c r="B31" s="387" t="s">
        <v>11</v>
      </c>
      <c r="C31" s="387" t="s">
        <v>44</v>
      </c>
      <c r="D31" s="387" t="s">
        <v>76</v>
      </c>
      <c r="E31" s="372" t="s">
        <v>53</v>
      </c>
      <c r="F31" s="387"/>
      <c r="G31" s="372" t="s">
        <v>1416</v>
      </c>
      <c r="H31" s="371" t="s">
        <v>54</v>
      </c>
      <c r="I31" s="375"/>
      <c r="J31" s="372"/>
      <c r="K31" s="373"/>
      <c r="L31" s="388" t="s">
        <v>78</v>
      </c>
      <c r="M31" s="387" t="s">
        <v>77</v>
      </c>
      <c r="N31" s="387"/>
      <c r="O31" s="387" t="s">
        <v>77</v>
      </c>
      <c r="P31" s="389" t="s">
        <v>77</v>
      </c>
      <c r="Q31" s="388"/>
      <c r="R31" s="387"/>
      <c r="S31" s="387"/>
      <c r="T31" s="387"/>
      <c r="U31" s="390" t="s">
        <v>80</v>
      </c>
      <c r="V31" s="386"/>
      <c r="W31" s="372"/>
      <c r="X31" s="372"/>
      <c r="Y31" s="372"/>
      <c r="Z31" s="373"/>
      <c r="AA31" s="374"/>
      <c r="AB31" s="372"/>
      <c r="AC31" s="372"/>
      <c r="AD31" s="372"/>
      <c r="AE31" s="371"/>
      <c r="AF31" s="375"/>
      <c r="AG31" s="372"/>
      <c r="AH31" s="372"/>
      <c r="AI31" s="372"/>
      <c r="AJ31" s="373"/>
      <c r="AK31" s="374"/>
      <c r="AL31" s="372"/>
      <c r="AM31" s="372"/>
      <c r="AN31" s="372"/>
      <c r="AO31" s="371"/>
      <c r="AP31" s="375"/>
      <c r="AQ31" s="372"/>
      <c r="AR31" s="372"/>
      <c r="AS31" s="372"/>
      <c r="AT31" s="373"/>
      <c r="AU31" s="374"/>
      <c r="AV31" s="372"/>
      <c r="AW31" s="372"/>
      <c r="AX31" s="372"/>
      <c r="AY31" s="371"/>
      <c r="AZ31" s="375"/>
      <c r="BA31" s="372"/>
      <c r="BB31" s="372"/>
      <c r="BC31" s="372"/>
      <c r="BD31" s="373"/>
      <c r="BE31" s="374"/>
      <c r="BF31" s="372"/>
      <c r="BG31" s="372"/>
      <c r="BH31" s="372"/>
      <c r="BI31" s="371"/>
      <c r="BJ31" s="375"/>
      <c r="BK31" s="372"/>
      <c r="BL31" s="372"/>
      <c r="BM31" s="372"/>
      <c r="BN31" s="373"/>
      <c r="BO31" s="374"/>
      <c r="BP31" s="372"/>
      <c r="BQ31" s="372"/>
      <c r="BR31" s="372"/>
      <c r="BS31" s="371"/>
      <c r="BT31" s="375"/>
      <c r="BU31" s="372"/>
      <c r="BV31" s="372"/>
      <c r="BW31" s="372"/>
      <c r="BX31" s="373"/>
      <c r="BY31" s="374"/>
      <c r="BZ31" s="372"/>
      <c r="CA31" s="372"/>
      <c r="CB31" s="372"/>
      <c r="CC31" s="371"/>
      <c r="CD31" s="375"/>
      <c r="CE31" s="372"/>
      <c r="CF31" s="372"/>
      <c r="CG31" s="372"/>
      <c r="CH31" s="371"/>
      <c r="CI31" s="375"/>
      <c r="CJ31" s="372"/>
      <c r="CK31" s="372"/>
      <c r="CL31" s="372"/>
      <c r="CM31" s="373"/>
    </row>
    <row r="32" spans="1:118" ht="25.5" customHeight="1">
      <c r="A32" s="386">
        <v>4425</v>
      </c>
      <c r="B32" s="387" t="s">
        <v>11</v>
      </c>
      <c r="C32" s="387" t="s">
        <v>44</v>
      </c>
      <c r="D32" s="387" t="s">
        <v>76</v>
      </c>
      <c r="E32" s="372" t="s">
        <v>53</v>
      </c>
      <c r="F32" s="387"/>
      <c r="G32" s="372" t="s">
        <v>1418</v>
      </c>
      <c r="H32" s="371" t="s">
        <v>54</v>
      </c>
      <c r="I32" s="375"/>
      <c r="J32" s="372"/>
      <c r="K32" s="373"/>
      <c r="L32" s="388" t="s">
        <v>78</v>
      </c>
      <c r="M32" s="387" t="s">
        <v>77</v>
      </c>
      <c r="N32" s="387"/>
      <c r="O32" s="387" t="s">
        <v>77</v>
      </c>
      <c r="P32" s="389" t="s">
        <v>77</v>
      </c>
      <c r="Q32" s="388"/>
      <c r="R32" s="387"/>
      <c r="S32" s="387"/>
      <c r="T32" s="387"/>
      <c r="U32" s="390" t="s">
        <v>80</v>
      </c>
      <c r="V32" s="386"/>
      <c r="W32" s="372"/>
      <c r="X32" s="372"/>
      <c r="Y32" s="372"/>
      <c r="Z32" s="373"/>
      <c r="AA32" s="374"/>
      <c r="AB32" s="372"/>
      <c r="AC32" s="372"/>
      <c r="AD32" s="372"/>
      <c r="AE32" s="371"/>
      <c r="AF32" s="375"/>
      <c r="AG32" s="372"/>
      <c r="AH32" s="372"/>
      <c r="AI32" s="372"/>
      <c r="AJ32" s="373"/>
      <c r="AK32" s="374"/>
      <c r="AL32" s="372"/>
      <c r="AM32" s="372"/>
      <c r="AN32" s="372"/>
      <c r="AO32" s="371"/>
      <c r="AP32" s="375"/>
      <c r="AQ32" s="372"/>
      <c r="AR32" s="372"/>
      <c r="AS32" s="372"/>
      <c r="AT32" s="373"/>
      <c r="AU32" s="374"/>
      <c r="AV32" s="372"/>
      <c r="AW32" s="372"/>
      <c r="AX32" s="372"/>
      <c r="AY32" s="371"/>
      <c r="AZ32" s="375"/>
      <c r="BA32" s="372"/>
      <c r="BB32" s="372"/>
      <c r="BC32" s="372"/>
      <c r="BD32" s="373"/>
      <c r="BE32" s="374"/>
      <c r="BF32" s="372"/>
      <c r="BG32" s="372"/>
      <c r="BH32" s="372"/>
      <c r="BI32" s="371"/>
      <c r="BJ32" s="375"/>
      <c r="BK32" s="372"/>
      <c r="BL32" s="372"/>
      <c r="BM32" s="372"/>
      <c r="BN32" s="373"/>
      <c r="BO32" s="374"/>
      <c r="BP32" s="372"/>
      <c r="BQ32" s="372"/>
      <c r="BR32" s="372"/>
      <c r="BS32" s="371"/>
      <c r="BT32" s="375"/>
      <c r="BU32" s="372"/>
      <c r="BV32" s="372"/>
      <c r="BW32" s="372"/>
      <c r="BX32" s="373"/>
      <c r="BY32" s="374"/>
      <c r="BZ32" s="372"/>
      <c r="CA32" s="372"/>
      <c r="CB32" s="372"/>
      <c r="CC32" s="371"/>
      <c r="CD32" s="375"/>
      <c r="CE32" s="372"/>
      <c r="CF32" s="372"/>
      <c r="CG32" s="372"/>
      <c r="CH32" s="371"/>
      <c r="CI32" s="375"/>
      <c r="CJ32" s="372"/>
      <c r="CK32" s="372"/>
      <c r="CL32" s="372"/>
      <c r="CM32" s="373"/>
    </row>
    <row r="33" spans="1:91" ht="25.5" customHeight="1">
      <c r="A33" s="386">
        <v>4426</v>
      </c>
      <c r="B33" s="387" t="s">
        <v>11</v>
      </c>
      <c r="C33" s="387" t="s">
        <v>44</v>
      </c>
      <c r="D33" s="387" t="s">
        <v>76</v>
      </c>
      <c r="E33" s="372" t="s">
        <v>53</v>
      </c>
      <c r="F33" s="387"/>
      <c r="G33" s="372" t="s">
        <v>1420</v>
      </c>
      <c r="H33" s="371" t="s">
        <v>54</v>
      </c>
      <c r="I33" s="375"/>
      <c r="J33" s="372"/>
      <c r="K33" s="373"/>
      <c r="L33" s="388" t="s">
        <v>78</v>
      </c>
      <c r="M33" s="387" t="s">
        <v>77</v>
      </c>
      <c r="N33" s="387"/>
      <c r="O33" s="387" t="s">
        <v>77</v>
      </c>
      <c r="P33" s="389" t="s">
        <v>77</v>
      </c>
      <c r="Q33" s="388"/>
      <c r="R33" s="387"/>
      <c r="S33" s="387"/>
      <c r="T33" s="387"/>
      <c r="U33" s="390" t="s">
        <v>80</v>
      </c>
      <c r="V33" s="386"/>
      <c r="W33" s="372"/>
      <c r="X33" s="372"/>
      <c r="Y33" s="372"/>
      <c r="Z33" s="373"/>
      <c r="AA33" s="374"/>
      <c r="AB33" s="372"/>
      <c r="AC33" s="372"/>
      <c r="AD33" s="372"/>
      <c r="AE33" s="371"/>
      <c r="AF33" s="375"/>
      <c r="AG33" s="372"/>
      <c r="AH33" s="372"/>
      <c r="AI33" s="372"/>
      <c r="AJ33" s="373"/>
      <c r="AK33" s="374"/>
      <c r="AL33" s="372"/>
      <c r="AM33" s="372"/>
      <c r="AN33" s="372"/>
      <c r="AO33" s="371"/>
      <c r="AP33" s="375"/>
      <c r="AQ33" s="372"/>
      <c r="AR33" s="372"/>
      <c r="AS33" s="372"/>
      <c r="AT33" s="373"/>
      <c r="AU33" s="374"/>
      <c r="AV33" s="372"/>
      <c r="AW33" s="372"/>
      <c r="AX33" s="372"/>
      <c r="AY33" s="371"/>
      <c r="AZ33" s="375"/>
      <c r="BA33" s="372"/>
      <c r="BB33" s="372"/>
      <c r="BC33" s="372"/>
      <c r="BD33" s="373"/>
      <c r="BE33" s="374"/>
      <c r="BF33" s="372"/>
      <c r="BG33" s="372"/>
      <c r="BH33" s="372"/>
      <c r="BI33" s="371"/>
      <c r="BJ33" s="375"/>
      <c r="BK33" s="372"/>
      <c r="BL33" s="372"/>
      <c r="BM33" s="372"/>
      <c r="BN33" s="373"/>
      <c r="BO33" s="374"/>
      <c r="BP33" s="372"/>
      <c r="BQ33" s="372"/>
      <c r="BR33" s="372"/>
      <c r="BS33" s="371"/>
      <c r="BT33" s="375"/>
      <c r="BU33" s="372"/>
      <c r="BV33" s="372"/>
      <c r="BW33" s="372"/>
      <c r="BX33" s="373"/>
      <c r="BY33" s="374"/>
      <c r="BZ33" s="372"/>
      <c r="CA33" s="372"/>
      <c r="CB33" s="372"/>
      <c r="CC33" s="371"/>
      <c r="CD33" s="375"/>
      <c r="CE33" s="372"/>
      <c r="CF33" s="372"/>
      <c r="CG33" s="372"/>
      <c r="CH33" s="371"/>
      <c r="CI33" s="375"/>
      <c r="CJ33" s="372"/>
      <c r="CK33" s="372"/>
      <c r="CL33" s="372"/>
      <c r="CM33" s="373"/>
    </row>
    <row r="34" spans="1:91" ht="25.5" customHeight="1" thickBot="1">
      <c r="A34" s="411">
        <v>4427</v>
      </c>
      <c r="B34" s="412" t="s">
        <v>11</v>
      </c>
      <c r="C34" s="412" t="s">
        <v>44</v>
      </c>
      <c r="D34" s="412" t="s">
        <v>76</v>
      </c>
      <c r="E34" s="377" t="s">
        <v>53</v>
      </c>
      <c r="F34" s="412"/>
      <c r="G34" s="377" t="s">
        <v>1422</v>
      </c>
      <c r="H34" s="376" t="s">
        <v>54</v>
      </c>
      <c r="I34" s="380"/>
      <c r="J34" s="377"/>
      <c r="K34" s="378"/>
      <c r="L34" s="413" t="s">
        <v>78</v>
      </c>
      <c r="M34" s="412" t="s">
        <v>77</v>
      </c>
      <c r="N34" s="412"/>
      <c r="O34" s="412" t="s">
        <v>77</v>
      </c>
      <c r="P34" s="414" t="s">
        <v>77</v>
      </c>
      <c r="Q34" s="413"/>
      <c r="R34" s="412"/>
      <c r="S34" s="412"/>
      <c r="T34" s="412"/>
      <c r="U34" s="415" t="s">
        <v>80</v>
      </c>
      <c r="V34" s="411"/>
      <c r="W34" s="377"/>
      <c r="X34" s="377"/>
      <c r="Y34" s="377"/>
      <c r="Z34" s="378"/>
      <c r="AA34" s="379"/>
      <c r="AB34" s="377"/>
      <c r="AC34" s="377"/>
      <c r="AD34" s="377"/>
      <c r="AE34" s="376"/>
      <c r="AF34" s="380"/>
      <c r="AG34" s="377"/>
      <c r="AH34" s="377"/>
      <c r="AI34" s="377"/>
      <c r="AJ34" s="378"/>
      <c r="AK34" s="379"/>
      <c r="AL34" s="377"/>
      <c r="AM34" s="377"/>
      <c r="AN34" s="377"/>
      <c r="AO34" s="376"/>
      <c r="AP34" s="380"/>
      <c r="AQ34" s="377"/>
      <c r="AR34" s="377"/>
      <c r="AS34" s="377"/>
      <c r="AT34" s="378"/>
      <c r="AU34" s="379"/>
      <c r="AV34" s="377"/>
      <c r="AW34" s="377"/>
      <c r="AX34" s="377"/>
      <c r="AY34" s="376"/>
      <c r="AZ34" s="380"/>
      <c r="BA34" s="377"/>
      <c r="BB34" s="377"/>
      <c r="BC34" s="377"/>
      <c r="BD34" s="378"/>
      <c r="BE34" s="379"/>
      <c r="BF34" s="377"/>
      <c r="BG34" s="377"/>
      <c r="BH34" s="377"/>
      <c r="BI34" s="376"/>
      <c r="BJ34" s="380"/>
      <c r="BK34" s="377"/>
      <c r="BL34" s="377"/>
      <c r="BM34" s="377"/>
      <c r="BN34" s="378"/>
      <c r="BO34" s="379"/>
      <c r="BP34" s="377"/>
      <c r="BQ34" s="377"/>
      <c r="BR34" s="377"/>
      <c r="BS34" s="376"/>
      <c r="BT34" s="380"/>
      <c r="BU34" s="377"/>
      <c r="BV34" s="377"/>
      <c r="BW34" s="377"/>
      <c r="BX34" s="378"/>
      <c r="BY34" s="379"/>
      <c r="BZ34" s="377"/>
      <c r="CA34" s="377"/>
      <c r="CB34" s="377"/>
      <c r="CC34" s="376"/>
      <c r="CD34" s="380"/>
      <c r="CE34" s="377"/>
      <c r="CF34" s="377"/>
      <c r="CG34" s="377"/>
      <c r="CH34" s="376"/>
      <c r="CI34" s="380"/>
      <c r="CJ34" s="377"/>
      <c r="CK34" s="377"/>
      <c r="CL34" s="377"/>
      <c r="CM34" s="378"/>
    </row>
    <row r="35" spans="1:91" ht="25.5" customHeight="1">
      <c r="A35" s="416">
        <v>4428</v>
      </c>
      <c r="B35" s="417" t="s">
        <v>11</v>
      </c>
      <c r="C35" s="417" t="s">
        <v>44</v>
      </c>
      <c r="D35" s="417" t="s">
        <v>76</v>
      </c>
      <c r="E35" s="381" t="s">
        <v>53</v>
      </c>
      <c r="F35" s="417"/>
      <c r="G35" s="381" t="s">
        <v>1424</v>
      </c>
      <c r="H35" s="384" t="s">
        <v>54</v>
      </c>
      <c r="I35" s="385"/>
      <c r="J35" s="381"/>
      <c r="K35" s="382"/>
      <c r="L35" s="418" t="s">
        <v>78</v>
      </c>
      <c r="M35" s="417" t="s">
        <v>77</v>
      </c>
      <c r="N35" s="417"/>
      <c r="O35" s="417" t="s">
        <v>77</v>
      </c>
      <c r="P35" s="419" t="s">
        <v>77</v>
      </c>
      <c r="Q35" s="418"/>
      <c r="R35" s="417"/>
      <c r="S35" s="417"/>
      <c r="T35" s="417"/>
      <c r="U35" s="420" t="s">
        <v>80</v>
      </c>
      <c r="V35" s="416"/>
      <c r="W35" s="381"/>
      <c r="X35" s="381"/>
      <c r="Y35" s="381"/>
      <c r="Z35" s="382"/>
      <c r="AA35" s="383"/>
      <c r="AB35" s="381"/>
      <c r="AC35" s="381"/>
      <c r="AD35" s="381"/>
      <c r="AE35" s="384"/>
      <c r="AF35" s="385"/>
      <c r="AG35" s="381"/>
      <c r="AH35" s="381"/>
      <c r="AI35" s="381"/>
      <c r="AJ35" s="382"/>
      <c r="AK35" s="383"/>
      <c r="AL35" s="381"/>
      <c r="AM35" s="381"/>
      <c r="AN35" s="381"/>
      <c r="AO35" s="384"/>
      <c r="AP35" s="385"/>
      <c r="AQ35" s="381"/>
      <c r="AR35" s="381"/>
      <c r="AS35" s="381"/>
      <c r="AT35" s="382"/>
      <c r="AU35" s="383"/>
      <c r="AV35" s="381"/>
      <c r="AW35" s="381"/>
      <c r="AX35" s="381"/>
      <c r="AY35" s="384"/>
      <c r="AZ35" s="385"/>
      <c r="BA35" s="381"/>
      <c r="BB35" s="381"/>
      <c r="BC35" s="381"/>
      <c r="BD35" s="382"/>
      <c r="BE35" s="383"/>
      <c r="BF35" s="381"/>
      <c r="BG35" s="381"/>
      <c r="BH35" s="381"/>
      <c r="BI35" s="384"/>
      <c r="BJ35" s="385"/>
      <c r="BK35" s="381"/>
      <c r="BL35" s="381"/>
      <c r="BM35" s="381"/>
      <c r="BN35" s="382"/>
      <c r="BO35" s="383"/>
      <c r="BP35" s="381"/>
      <c r="BQ35" s="381"/>
      <c r="BR35" s="381"/>
      <c r="BS35" s="384"/>
      <c r="BT35" s="385"/>
      <c r="BU35" s="381"/>
      <c r="BV35" s="381"/>
      <c r="BW35" s="381"/>
      <c r="BX35" s="382"/>
      <c r="BY35" s="383"/>
      <c r="BZ35" s="381"/>
      <c r="CA35" s="381"/>
      <c r="CB35" s="381"/>
      <c r="CC35" s="384"/>
      <c r="CD35" s="385"/>
      <c r="CE35" s="381"/>
      <c r="CF35" s="381"/>
      <c r="CG35" s="381"/>
      <c r="CH35" s="384"/>
      <c r="CI35" s="385"/>
      <c r="CJ35" s="381"/>
      <c r="CK35" s="381"/>
      <c r="CL35" s="381"/>
      <c r="CM35" s="382"/>
    </row>
    <row r="36" spans="1:91" ht="25.5" customHeight="1">
      <c r="A36" s="386">
        <v>4429</v>
      </c>
      <c r="B36" s="387" t="s">
        <v>11</v>
      </c>
      <c r="C36" s="387" t="s">
        <v>44</v>
      </c>
      <c r="D36" s="387" t="s">
        <v>76</v>
      </c>
      <c r="E36" s="372" t="s">
        <v>53</v>
      </c>
      <c r="F36" s="387"/>
      <c r="G36" s="372" t="s">
        <v>1426</v>
      </c>
      <c r="H36" s="371" t="s">
        <v>54</v>
      </c>
      <c r="I36" s="375"/>
      <c r="J36" s="372"/>
      <c r="K36" s="373"/>
      <c r="L36" s="388" t="s">
        <v>78</v>
      </c>
      <c r="M36" s="387" t="s">
        <v>77</v>
      </c>
      <c r="N36" s="387"/>
      <c r="O36" s="387" t="s">
        <v>77</v>
      </c>
      <c r="P36" s="389" t="s">
        <v>77</v>
      </c>
      <c r="Q36" s="388"/>
      <c r="R36" s="387"/>
      <c r="S36" s="387"/>
      <c r="T36" s="387"/>
      <c r="U36" s="390" t="s">
        <v>80</v>
      </c>
      <c r="V36" s="386"/>
      <c r="W36" s="372"/>
      <c r="X36" s="372"/>
      <c r="Y36" s="372"/>
      <c r="Z36" s="373"/>
      <c r="AA36" s="374"/>
      <c r="AB36" s="372"/>
      <c r="AC36" s="372"/>
      <c r="AD36" s="372"/>
      <c r="AE36" s="371"/>
      <c r="AF36" s="375"/>
      <c r="AG36" s="372"/>
      <c r="AH36" s="372"/>
      <c r="AI36" s="372"/>
      <c r="AJ36" s="373"/>
      <c r="AK36" s="374"/>
      <c r="AL36" s="372"/>
      <c r="AM36" s="372"/>
      <c r="AN36" s="372"/>
      <c r="AO36" s="371"/>
      <c r="AP36" s="375"/>
      <c r="AQ36" s="372"/>
      <c r="AR36" s="372"/>
      <c r="AS36" s="372"/>
      <c r="AT36" s="373"/>
      <c r="AU36" s="374"/>
      <c r="AV36" s="372"/>
      <c r="AW36" s="372"/>
      <c r="AX36" s="372"/>
      <c r="AY36" s="371"/>
      <c r="AZ36" s="375"/>
      <c r="BA36" s="372"/>
      <c r="BB36" s="372"/>
      <c r="BC36" s="372"/>
      <c r="BD36" s="373"/>
      <c r="BE36" s="374"/>
      <c r="BF36" s="372"/>
      <c r="BG36" s="372"/>
      <c r="BH36" s="372"/>
      <c r="BI36" s="371"/>
      <c r="BJ36" s="375"/>
      <c r="BK36" s="372"/>
      <c r="BL36" s="372"/>
      <c r="BM36" s="372"/>
      <c r="BN36" s="373"/>
      <c r="BO36" s="374"/>
      <c r="BP36" s="372"/>
      <c r="BQ36" s="372"/>
      <c r="BR36" s="372"/>
      <c r="BS36" s="371"/>
      <c r="BT36" s="375"/>
      <c r="BU36" s="372"/>
      <c r="BV36" s="372"/>
      <c r="BW36" s="372"/>
      <c r="BX36" s="373"/>
      <c r="BY36" s="374"/>
      <c r="BZ36" s="372"/>
      <c r="CA36" s="372"/>
      <c r="CB36" s="372"/>
      <c r="CC36" s="371"/>
      <c r="CD36" s="375"/>
      <c r="CE36" s="372"/>
      <c r="CF36" s="372"/>
      <c r="CG36" s="372"/>
      <c r="CH36" s="371"/>
      <c r="CI36" s="375"/>
      <c r="CJ36" s="372"/>
      <c r="CK36" s="372"/>
      <c r="CL36" s="372"/>
      <c r="CM36" s="373"/>
    </row>
    <row r="37" spans="1:91" ht="25.5" customHeight="1">
      <c r="A37" s="386">
        <v>4430</v>
      </c>
      <c r="B37" s="387" t="s">
        <v>11</v>
      </c>
      <c r="C37" s="387" t="s">
        <v>44</v>
      </c>
      <c r="D37" s="387" t="s">
        <v>76</v>
      </c>
      <c r="E37" s="372" t="s">
        <v>53</v>
      </c>
      <c r="F37" s="387"/>
      <c r="G37" s="372" t="s">
        <v>1428</v>
      </c>
      <c r="H37" s="371" t="s">
        <v>54</v>
      </c>
      <c r="I37" s="375"/>
      <c r="J37" s="372"/>
      <c r="K37" s="373"/>
      <c r="L37" s="388" t="s">
        <v>78</v>
      </c>
      <c r="M37" s="387" t="s">
        <v>77</v>
      </c>
      <c r="N37" s="387"/>
      <c r="O37" s="387" t="s">
        <v>77</v>
      </c>
      <c r="P37" s="389" t="s">
        <v>77</v>
      </c>
      <c r="Q37" s="388"/>
      <c r="R37" s="387"/>
      <c r="S37" s="387"/>
      <c r="T37" s="387"/>
      <c r="U37" s="390" t="s">
        <v>80</v>
      </c>
      <c r="V37" s="386"/>
      <c r="W37" s="372"/>
      <c r="X37" s="372"/>
      <c r="Y37" s="372"/>
      <c r="Z37" s="373"/>
      <c r="AA37" s="374"/>
      <c r="AB37" s="372"/>
      <c r="AC37" s="372"/>
      <c r="AD37" s="372"/>
      <c r="AE37" s="371"/>
      <c r="AF37" s="375"/>
      <c r="AG37" s="372"/>
      <c r="AH37" s="372"/>
      <c r="AI37" s="372"/>
      <c r="AJ37" s="373"/>
      <c r="AK37" s="374"/>
      <c r="AL37" s="372"/>
      <c r="AM37" s="372"/>
      <c r="AN37" s="372"/>
      <c r="AO37" s="371"/>
      <c r="AP37" s="375"/>
      <c r="AQ37" s="372"/>
      <c r="AR37" s="372"/>
      <c r="AS37" s="372"/>
      <c r="AT37" s="373"/>
      <c r="AU37" s="374"/>
      <c r="AV37" s="372"/>
      <c r="AW37" s="372"/>
      <c r="AX37" s="372"/>
      <c r="AY37" s="371"/>
      <c r="AZ37" s="375"/>
      <c r="BA37" s="372"/>
      <c r="BB37" s="372"/>
      <c r="BC37" s="372"/>
      <c r="BD37" s="373"/>
      <c r="BE37" s="374"/>
      <c r="BF37" s="372"/>
      <c r="BG37" s="372"/>
      <c r="BH37" s="372"/>
      <c r="BI37" s="371"/>
      <c r="BJ37" s="375"/>
      <c r="BK37" s="372"/>
      <c r="BL37" s="372"/>
      <c r="BM37" s="372"/>
      <c r="BN37" s="373"/>
      <c r="BO37" s="374"/>
      <c r="BP37" s="372"/>
      <c r="BQ37" s="372"/>
      <c r="BR37" s="372"/>
      <c r="BS37" s="371"/>
      <c r="BT37" s="375"/>
      <c r="BU37" s="372"/>
      <c r="BV37" s="372"/>
      <c r="BW37" s="372"/>
      <c r="BX37" s="373"/>
      <c r="BY37" s="374"/>
      <c r="BZ37" s="372"/>
      <c r="CA37" s="372"/>
      <c r="CB37" s="372"/>
      <c r="CC37" s="371"/>
      <c r="CD37" s="375"/>
      <c r="CE37" s="372"/>
      <c r="CF37" s="372"/>
      <c r="CG37" s="372"/>
      <c r="CH37" s="371"/>
      <c r="CI37" s="375"/>
      <c r="CJ37" s="372"/>
      <c r="CK37" s="372"/>
      <c r="CL37" s="372"/>
      <c r="CM37" s="373"/>
    </row>
    <row r="38" spans="1:91" ht="25.5" customHeight="1">
      <c r="A38" s="386">
        <v>4431</v>
      </c>
      <c r="B38" s="387" t="s">
        <v>11</v>
      </c>
      <c r="C38" s="387" t="s">
        <v>44</v>
      </c>
      <c r="D38" s="387" t="s">
        <v>76</v>
      </c>
      <c r="E38" s="372" t="s">
        <v>53</v>
      </c>
      <c r="F38" s="387"/>
      <c r="G38" s="372" t="s">
        <v>1430</v>
      </c>
      <c r="H38" s="371" t="s">
        <v>54</v>
      </c>
      <c r="I38" s="375"/>
      <c r="J38" s="372"/>
      <c r="K38" s="373"/>
      <c r="L38" s="388" t="s">
        <v>78</v>
      </c>
      <c r="M38" s="387" t="s">
        <v>77</v>
      </c>
      <c r="N38" s="387"/>
      <c r="O38" s="387" t="s">
        <v>77</v>
      </c>
      <c r="P38" s="389" t="s">
        <v>77</v>
      </c>
      <c r="Q38" s="388"/>
      <c r="R38" s="387"/>
      <c r="S38" s="387"/>
      <c r="T38" s="387"/>
      <c r="U38" s="390" t="s">
        <v>80</v>
      </c>
      <c r="V38" s="386"/>
      <c r="W38" s="372"/>
      <c r="X38" s="372"/>
      <c r="Y38" s="372"/>
      <c r="Z38" s="373"/>
      <c r="AA38" s="374"/>
      <c r="AB38" s="372"/>
      <c r="AC38" s="372"/>
      <c r="AD38" s="372"/>
      <c r="AE38" s="371"/>
      <c r="AF38" s="375"/>
      <c r="AG38" s="372"/>
      <c r="AH38" s="372"/>
      <c r="AI38" s="372"/>
      <c r="AJ38" s="373"/>
      <c r="AK38" s="374"/>
      <c r="AL38" s="372"/>
      <c r="AM38" s="372"/>
      <c r="AN38" s="372"/>
      <c r="AO38" s="371"/>
      <c r="AP38" s="375"/>
      <c r="AQ38" s="372"/>
      <c r="AR38" s="372"/>
      <c r="AS38" s="372"/>
      <c r="AT38" s="373"/>
      <c r="AU38" s="374"/>
      <c r="AV38" s="372"/>
      <c r="AW38" s="372"/>
      <c r="AX38" s="372"/>
      <c r="AY38" s="371"/>
      <c r="AZ38" s="375"/>
      <c r="BA38" s="372"/>
      <c r="BB38" s="372"/>
      <c r="BC38" s="372"/>
      <c r="BD38" s="373"/>
      <c r="BE38" s="374"/>
      <c r="BF38" s="372"/>
      <c r="BG38" s="372"/>
      <c r="BH38" s="372"/>
      <c r="BI38" s="371"/>
      <c r="BJ38" s="375"/>
      <c r="BK38" s="372"/>
      <c r="BL38" s="372"/>
      <c r="BM38" s="372"/>
      <c r="BN38" s="373"/>
      <c r="BO38" s="374"/>
      <c r="BP38" s="372"/>
      <c r="BQ38" s="372"/>
      <c r="BR38" s="372"/>
      <c r="BS38" s="371"/>
      <c r="BT38" s="375"/>
      <c r="BU38" s="372"/>
      <c r="BV38" s="372"/>
      <c r="BW38" s="372"/>
      <c r="BX38" s="373"/>
      <c r="BY38" s="374"/>
      <c r="BZ38" s="372"/>
      <c r="CA38" s="372"/>
      <c r="CB38" s="372"/>
      <c r="CC38" s="371"/>
      <c r="CD38" s="375"/>
      <c r="CE38" s="372"/>
      <c r="CF38" s="372"/>
      <c r="CG38" s="372"/>
      <c r="CH38" s="371"/>
      <c r="CI38" s="375"/>
      <c r="CJ38" s="372"/>
      <c r="CK38" s="372"/>
      <c r="CL38" s="372"/>
      <c r="CM38" s="373"/>
    </row>
    <row r="39" spans="1:91" ht="25.5" customHeight="1" thickBot="1">
      <c r="A39" s="391">
        <v>4432</v>
      </c>
      <c r="B39" s="392" t="s">
        <v>11</v>
      </c>
      <c r="C39" s="392" t="s">
        <v>44</v>
      </c>
      <c r="D39" s="392" t="s">
        <v>76</v>
      </c>
      <c r="E39" s="393" t="s">
        <v>53</v>
      </c>
      <c r="F39" s="392"/>
      <c r="G39" s="393" t="s">
        <v>1432</v>
      </c>
      <c r="H39" s="394" t="s">
        <v>54</v>
      </c>
      <c r="I39" s="395"/>
      <c r="J39" s="393"/>
      <c r="K39" s="396"/>
      <c r="L39" s="397" t="s">
        <v>78</v>
      </c>
      <c r="M39" s="392" t="s">
        <v>77</v>
      </c>
      <c r="N39" s="392"/>
      <c r="O39" s="392" t="s">
        <v>77</v>
      </c>
      <c r="P39" s="398" t="s">
        <v>77</v>
      </c>
      <c r="Q39" s="397"/>
      <c r="R39" s="392"/>
      <c r="S39" s="392"/>
      <c r="T39" s="392"/>
      <c r="U39" s="399" t="s">
        <v>80</v>
      </c>
      <c r="V39" s="391"/>
      <c r="W39" s="393"/>
      <c r="X39" s="393"/>
      <c r="Y39" s="393"/>
      <c r="Z39" s="396"/>
      <c r="AA39" s="400"/>
      <c r="AB39" s="393"/>
      <c r="AC39" s="393"/>
      <c r="AD39" s="393"/>
      <c r="AE39" s="394"/>
      <c r="AF39" s="395"/>
      <c r="AG39" s="393"/>
      <c r="AH39" s="393"/>
      <c r="AI39" s="393"/>
      <c r="AJ39" s="396"/>
      <c r="AK39" s="400"/>
      <c r="AL39" s="393"/>
      <c r="AM39" s="393"/>
      <c r="AN39" s="393"/>
      <c r="AO39" s="394"/>
      <c r="AP39" s="395"/>
      <c r="AQ39" s="393"/>
      <c r="AR39" s="393"/>
      <c r="AS39" s="393"/>
      <c r="AT39" s="396"/>
      <c r="AU39" s="400"/>
      <c r="AV39" s="393"/>
      <c r="AW39" s="393"/>
      <c r="AX39" s="393"/>
      <c r="AY39" s="394"/>
      <c r="AZ39" s="395"/>
      <c r="BA39" s="393"/>
      <c r="BB39" s="393"/>
      <c r="BC39" s="393"/>
      <c r="BD39" s="396"/>
      <c r="BE39" s="400"/>
      <c r="BF39" s="393"/>
      <c r="BG39" s="393"/>
      <c r="BH39" s="393"/>
      <c r="BI39" s="394"/>
      <c r="BJ39" s="395"/>
      <c r="BK39" s="393"/>
      <c r="BL39" s="393"/>
      <c r="BM39" s="393"/>
      <c r="BN39" s="396"/>
      <c r="BO39" s="400"/>
      <c r="BP39" s="393"/>
      <c r="BQ39" s="393"/>
      <c r="BR39" s="393"/>
      <c r="BS39" s="394"/>
      <c r="BT39" s="395"/>
      <c r="BU39" s="393"/>
      <c r="BV39" s="393"/>
      <c r="BW39" s="393"/>
      <c r="BX39" s="396"/>
      <c r="BY39" s="400"/>
      <c r="BZ39" s="393"/>
      <c r="CA39" s="393"/>
      <c r="CB39" s="393"/>
      <c r="CC39" s="394"/>
      <c r="CD39" s="395"/>
      <c r="CE39" s="393"/>
      <c r="CF39" s="393"/>
      <c r="CG39" s="393"/>
      <c r="CH39" s="394"/>
      <c r="CI39" s="395"/>
      <c r="CJ39" s="393"/>
      <c r="CK39" s="393"/>
      <c r="CL39" s="393"/>
      <c r="CM39" s="396"/>
    </row>
    <row r="40" spans="1:91" ht="25.5" customHeight="1">
      <c r="A40" s="401">
        <v>4433</v>
      </c>
      <c r="B40" s="402" t="s">
        <v>11</v>
      </c>
      <c r="C40" s="402" t="s">
        <v>44</v>
      </c>
      <c r="D40" s="402" t="s">
        <v>76</v>
      </c>
      <c r="E40" s="403" t="s">
        <v>53</v>
      </c>
      <c r="F40" s="402"/>
      <c r="G40" s="403" t="s">
        <v>1434</v>
      </c>
      <c r="H40" s="404" t="s">
        <v>54</v>
      </c>
      <c r="I40" s="405"/>
      <c r="J40" s="403"/>
      <c r="K40" s="406"/>
      <c r="L40" s="407" t="s">
        <v>78</v>
      </c>
      <c r="M40" s="402" t="s">
        <v>77</v>
      </c>
      <c r="N40" s="402"/>
      <c r="O40" s="402" t="s">
        <v>77</v>
      </c>
      <c r="P40" s="408" t="s">
        <v>77</v>
      </c>
      <c r="Q40" s="407"/>
      <c r="R40" s="402"/>
      <c r="S40" s="402"/>
      <c r="T40" s="402"/>
      <c r="U40" s="409" t="s">
        <v>80</v>
      </c>
      <c r="V40" s="401"/>
      <c r="W40" s="403"/>
      <c r="X40" s="403"/>
      <c r="Y40" s="403"/>
      <c r="Z40" s="406"/>
      <c r="AA40" s="410"/>
      <c r="AB40" s="403"/>
      <c r="AC40" s="403"/>
      <c r="AD40" s="403"/>
      <c r="AE40" s="404"/>
      <c r="AF40" s="405"/>
      <c r="AG40" s="403"/>
      <c r="AH40" s="403"/>
      <c r="AI40" s="403"/>
      <c r="AJ40" s="406"/>
      <c r="AK40" s="410"/>
      <c r="AL40" s="403"/>
      <c r="AM40" s="403"/>
      <c r="AN40" s="403"/>
      <c r="AO40" s="404"/>
      <c r="AP40" s="405"/>
      <c r="AQ40" s="403"/>
      <c r="AR40" s="403"/>
      <c r="AS40" s="403"/>
      <c r="AT40" s="406"/>
      <c r="AU40" s="410"/>
      <c r="AV40" s="403"/>
      <c r="AW40" s="403"/>
      <c r="AX40" s="403"/>
      <c r="AY40" s="404"/>
      <c r="AZ40" s="405"/>
      <c r="BA40" s="403"/>
      <c r="BB40" s="403"/>
      <c r="BC40" s="403"/>
      <c r="BD40" s="406"/>
      <c r="BE40" s="410"/>
      <c r="BF40" s="403"/>
      <c r="BG40" s="403"/>
      <c r="BH40" s="403"/>
      <c r="BI40" s="404"/>
      <c r="BJ40" s="405"/>
      <c r="BK40" s="403"/>
      <c r="BL40" s="403"/>
      <c r="BM40" s="403"/>
      <c r="BN40" s="406"/>
      <c r="BO40" s="410"/>
      <c r="BP40" s="403"/>
      <c r="BQ40" s="403"/>
      <c r="BR40" s="403"/>
      <c r="BS40" s="404"/>
      <c r="BT40" s="405"/>
      <c r="BU40" s="403"/>
      <c r="BV40" s="403"/>
      <c r="BW40" s="403"/>
      <c r="BX40" s="406"/>
      <c r="BY40" s="410"/>
      <c r="BZ40" s="403"/>
      <c r="CA40" s="403"/>
      <c r="CB40" s="403"/>
      <c r="CC40" s="404"/>
      <c r="CD40" s="405"/>
      <c r="CE40" s="403"/>
      <c r="CF40" s="403"/>
      <c r="CG40" s="403"/>
      <c r="CH40" s="404"/>
      <c r="CI40" s="405"/>
      <c r="CJ40" s="403"/>
      <c r="CK40" s="403"/>
      <c r="CL40" s="403"/>
      <c r="CM40" s="406"/>
    </row>
    <row r="41" spans="1:91" ht="25.5" customHeight="1">
      <c r="A41" s="386">
        <v>4434</v>
      </c>
      <c r="B41" s="387" t="s">
        <v>11</v>
      </c>
      <c r="C41" s="387" t="s">
        <v>44</v>
      </c>
      <c r="D41" s="387" t="s">
        <v>76</v>
      </c>
      <c r="E41" s="372" t="s">
        <v>53</v>
      </c>
      <c r="F41" s="387"/>
      <c r="G41" s="372" t="s">
        <v>1436</v>
      </c>
      <c r="H41" s="371" t="s">
        <v>54</v>
      </c>
      <c r="I41" s="375"/>
      <c r="J41" s="372"/>
      <c r="K41" s="373"/>
      <c r="L41" s="388" t="s">
        <v>78</v>
      </c>
      <c r="M41" s="387" t="s">
        <v>77</v>
      </c>
      <c r="N41" s="387"/>
      <c r="O41" s="387" t="s">
        <v>77</v>
      </c>
      <c r="P41" s="389" t="s">
        <v>77</v>
      </c>
      <c r="Q41" s="388"/>
      <c r="R41" s="387"/>
      <c r="S41" s="387"/>
      <c r="T41" s="387"/>
      <c r="U41" s="390" t="s">
        <v>80</v>
      </c>
      <c r="V41" s="386"/>
      <c r="W41" s="372"/>
      <c r="X41" s="372"/>
      <c r="Y41" s="372"/>
      <c r="Z41" s="373"/>
      <c r="AA41" s="374"/>
      <c r="AB41" s="372"/>
      <c r="AC41" s="372"/>
      <c r="AD41" s="372"/>
      <c r="AE41" s="371"/>
      <c r="AF41" s="375"/>
      <c r="AG41" s="372"/>
      <c r="AH41" s="372"/>
      <c r="AI41" s="372"/>
      <c r="AJ41" s="373"/>
      <c r="AK41" s="374"/>
      <c r="AL41" s="372"/>
      <c r="AM41" s="372"/>
      <c r="AN41" s="372"/>
      <c r="AO41" s="371"/>
      <c r="AP41" s="375"/>
      <c r="AQ41" s="372"/>
      <c r="AR41" s="372"/>
      <c r="AS41" s="372"/>
      <c r="AT41" s="373"/>
      <c r="AU41" s="374"/>
      <c r="AV41" s="372"/>
      <c r="AW41" s="372"/>
      <c r="AX41" s="372"/>
      <c r="AY41" s="371"/>
      <c r="AZ41" s="375"/>
      <c r="BA41" s="372"/>
      <c r="BB41" s="372"/>
      <c r="BC41" s="372"/>
      <c r="BD41" s="373"/>
      <c r="BE41" s="374"/>
      <c r="BF41" s="372"/>
      <c r="BG41" s="372"/>
      <c r="BH41" s="372"/>
      <c r="BI41" s="371"/>
      <c r="BJ41" s="375"/>
      <c r="BK41" s="372"/>
      <c r="BL41" s="372"/>
      <c r="BM41" s="372"/>
      <c r="BN41" s="373"/>
      <c r="BO41" s="374"/>
      <c r="BP41" s="372"/>
      <c r="BQ41" s="372"/>
      <c r="BR41" s="372"/>
      <c r="BS41" s="371"/>
      <c r="BT41" s="375"/>
      <c r="BU41" s="372"/>
      <c r="BV41" s="372"/>
      <c r="BW41" s="372"/>
      <c r="BX41" s="373"/>
      <c r="BY41" s="374"/>
      <c r="BZ41" s="372"/>
      <c r="CA41" s="372"/>
      <c r="CB41" s="372"/>
      <c r="CC41" s="371"/>
      <c r="CD41" s="375"/>
      <c r="CE41" s="372"/>
      <c r="CF41" s="372"/>
      <c r="CG41" s="372"/>
      <c r="CH41" s="371"/>
      <c r="CI41" s="375"/>
      <c r="CJ41" s="372"/>
      <c r="CK41" s="372"/>
      <c r="CL41" s="372"/>
      <c r="CM41" s="373"/>
    </row>
    <row r="42" spans="1:91" ht="25.5" customHeight="1">
      <c r="A42" s="386">
        <v>4435</v>
      </c>
      <c r="B42" s="387" t="s">
        <v>11</v>
      </c>
      <c r="C42" s="387" t="s">
        <v>44</v>
      </c>
      <c r="D42" s="387" t="s">
        <v>76</v>
      </c>
      <c r="E42" s="372" t="s">
        <v>53</v>
      </c>
      <c r="F42" s="387"/>
      <c r="G42" s="372" t="s">
        <v>1438</v>
      </c>
      <c r="H42" s="371" t="s">
        <v>54</v>
      </c>
      <c r="I42" s="375"/>
      <c r="J42" s="372"/>
      <c r="K42" s="373"/>
      <c r="L42" s="388" t="s">
        <v>78</v>
      </c>
      <c r="M42" s="387" t="s">
        <v>77</v>
      </c>
      <c r="N42" s="387"/>
      <c r="O42" s="387" t="s">
        <v>77</v>
      </c>
      <c r="P42" s="389" t="s">
        <v>77</v>
      </c>
      <c r="Q42" s="388"/>
      <c r="R42" s="387"/>
      <c r="S42" s="387"/>
      <c r="T42" s="387"/>
      <c r="U42" s="390" t="s">
        <v>80</v>
      </c>
      <c r="V42" s="386"/>
      <c r="W42" s="372"/>
      <c r="X42" s="372"/>
      <c r="Y42" s="372"/>
      <c r="Z42" s="373"/>
      <c r="AA42" s="374"/>
      <c r="AB42" s="372"/>
      <c r="AC42" s="372"/>
      <c r="AD42" s="372"/>
      <c r="AE42" s="371"/>
      <c r="AF42" s="375"/>
      <c r="AG42" s="372"/>
      <c r="AH42" s="372"/>
      <c r="AI42" s="372"/>
      <c r="AJ42" s="373"/>
      <c r="AK42" s="374"/>
      <c r="AL42" s="372"/>
      <c r="AM42" s="372"/>
      <c r="AN42" s="372"/>
      <c r="AO42" s="371"/>
      <c r="AP42" s="375"/>
      <c r="AQ42" s="372"/>
      <c r="AR42" s="372"/>
      <c r="AS42" s="372"/>
      <c r="AT42" s="373"/>
      <c r="AU42" s="374"/>
      <c r="AV42" s="372"/>
      <c r="AW42" s="372"/>
      <c r="AX42" s="372"/>
      <c r="AY42" s="371"/>
      <c r="AZ42" s="375"/>
      <c r="BA42" s="372"/>
      <c r="BB42" s="372"/>
      <c r="BC42" s="372"/>
      <c r="BD42" s="373"/>
      <c r="BE42" s="374"/>
      <c r="BF42" s="372"/>
      <c r="BG42" s="372"/>
      <c r="BH42" s="372"/>
      <c r="BI42" s="371"/>
      <c r="BJ42" s="375"/>
      <c r="BK42" s="372"/>
      <c r="BL42" s="372"/>
      <c r="BM42" s="372"/>
      <c r="BN42" s="373"/>
      <c r="BO42" s="374"/>
      <c r="BP42" s="372"/>
      <c r="BQ42" s="372"/>
      <c r="BR42" s="372"/>
      <c r="BS42" s="371"/>
      <c r="BT42" s="375"/>
      <c r="BU42" s="372"/>
      <c r="BV42" s="372"/>
      <c r="BW42" s="372"/>
      <c r="BX42" s="373"/>
      <c r="BY42" s="374"/>
      <c r="BZ42" s="372"/>
      <c r="CA42" s="372"/>
      <c r="CB42" s="372"/>
      <c r="CC42" s="371"/>
      <c r="CD42" s="375"/>
      <c r="CE42" s="372"/>
      <c r="CF42" s="372"/>
      <c r="CG42" s="372"/>
      <c r="CH42" s="371"/>
      <c r="CI42" s="375"/>
      <c r="CJ42" s="372"/>
      <c r="CK42" s="372"/>
      <c r="CL42" s="372"/>
      <c r="CM42" s="373"/>
    </row>
    <row r="43" spans="1:91" ht="25.5" customHeight="1">
      <c r="A43" s="386">
        <v>4436</v>
      </c>
      <c r="B43" s="387" t="s">
        <v>11</v>
      </c>
      <c r="C43" s="387" t="s">
        <v>44</v>
      </c>
      <c r="D43" s="387" t="s">
        <v>76</v>
      </c>
      <c r="E43" s="372" t="s">
        <v>53</v>
      </c>
      <c r="F43" s="387"/>
      <c r="G43" s="372" t="s">
        <v>1440</v>
      </c>
      <c r="H43" s="371" t="s">
        <v>54</v>
      </c>
      <c r="I43" s="375"/>
      <c r="J43" s="372"/>
      <c r="K43" s="373"/>
      <c r="L43" s="388" t="s">
        <v>78</v>
      </c>
      <c r="M43" s="387" t="s">
        <v>77</v>
      </c>
      <c r="N43" s="387"/>
      <c r="O43" s="387" t="s">
        <v>77</v>
      </c>
      <c r="P43" s="389" t="s">
        <v>77</v>
      </c>
      <c r="Q43" s="388"/>
      <c r="R43" s="387"/>
      <c r="S43" s="387"/>
      <c r="T43" s="387"/>
      <c r="U43" s="390" t="s">
        <v>80</v>
      </c>
      <c r="V43" s="386"/>
      <c r="W43" s="372"/>
      <c r="X43" s="372"/>
      <c r="Y43" s="372"/>
      <c r="Z43" s="373"/>
      <c r="AA43" s="374"/>
      <c r="AB43" s="372"/>
      <c r="AC43" s="372"/>
      <c r="AD43" s="372"/>
      <c r="AE43" s="371"/>
      <c r="AF43" s="375"/>
      <c r="AG43" s="372"/>
      <c r="AH43" s="372"/>
      <c r="AI43" s="372"/>
      <c r="AJ43" s="373"/>
      <c r="AK43" s="374"/>
      <c r="AL43" s="372"/>
      <c r="AM43" s="372"/>
      <c r="AN43" s="372"/>
      <c r="AO43" s="371"/>
      <c r="AP43" s="375"/>
      <c r="AQ43" s="372"/>
      <c r="AR43" s="372"/>
      <c r="AS43" s="372"/>
      <c r="AT43" s="373"/>
      <c r="AU43" s="374"/>
      <c r="AV43" s="372"/>
      <c r="AW43" s="372"/>
      <c r="AX43" s="372"/>
      <c r="AY43" s="371"/>
      <c r="AZ43" s="375"/>
      <c r="BA43" s="372"/>
      <c r="BB43" s="372"/>
      <c r="BC43" s="372"/>
      <c r="BD43" s="373"/>
      <c r="BE43" s="374"/>
      <c r="BF43" s="372"/>
      <c r="BG43" s="372"/>
      <c r="BH43" s="372"/>
      <c r="BI43" s="371"/>
      <c r="BJ43" s="375"/>
      <c r="BK43" s="372"/>
      <c r="BL43" s="372"/>
      <c r="BM43" s="372"/>
      <c r="BN43" s="373"/>
      <c r="BO43" s="374"/>
      <c r="BP43" s="372"/>
      <c r="BQ43" s="372"/>
      <c r="BR43" s="372"/>
      <c r="BS43" s="371"/>
      <c r="BT43" s="375"/>
      <c r="BU43" s="372"/>
      <c r="BV43" s="372"/>
      <c r="BW43" s="372"/>
      <c r="BX43" s="373"/>
      <c r="BY43" s="374"/>
      <c r="BZ43" s="372"/>
      <c r="CA43" s="372"/>
      <c r="CB43" s="372"/>
      <c r="CC43" s="371"/>
      <c r="CD43" s="375"/>
      <c r="CE43" s="372"/>
      <c r="CF43" s="372"/>
      <c r="CG43" s="372"/>
      <c r="CH43" s="371"/>
      <c r="CI43" s="375"/>
      <c r="CJ43" s="372"/>
      <c r="CK43" s="372"/>
      <c r="CL43" s="372"/>
      <c r="CM43" s="373"/>
    </row>
    <row r="44" spans="1:91" ht="25.5" customHeight="1" thickBot="1">
      <c r="A44" s="411">
        <v>4437</v>
      </c>
      <c r="B44" s="412" t="s">
        <v>11</v>
      </c>
      <c r="C44" s="412" t="s">
        <v>44</v>
      </c>
      <c r="D44" s="412" t="s">
        <v>76</v>
      </c>
      <c r="E44" s="377" t="s">
        <v>53</v>
      </c>
      <c r="F44" s="412"/>
      <c r="G44" s="377" t="s">
        <v>1442</v>
      </c>
      <c r="H44" s="376" t="s">
        <v>54</v>
      </c>
      <c r="I44" s="380"/>
      <c r="J44" s="377"/>
      <c r="K44" s="378"/>
      <c r="L44" s="413" t="s">
        <v>78</v>
      </c>
      <c r="M44" s="412" t="s">
        <v>77</v>
      </c>
      <c r="N44" s="412"/>
      <c r="O44" s="412" t="s">
        <v>77</v>
      </c>
      <c r="P44" s="414" t="s">
        <v>77</v>
      </c>
      <c r="Q44" s="413"/>
      <c r="R44" s="412"/>
      <c r="S44" s="412"/>
      <c r="T44" s="412"/>
      <c r="U44" s="415" t="s">
        <v>80</v>
      </c>
      <c r="V44" s="411"/>
      <c r="W44" s="377"/>
      <c r="X44" s="377"/>
      <c r="Y44" s="377"/>
      <c r="Z44" s="378"/>
      <c r="AA44" s="379"/>
      <c r="AB44" s="377"/>
      <c r="AC44" s="377"/>
      <c r="AD44" s="377"/>
      <c r="AE44" s="376"/>
      <c r="AF44" s="380"/>
      <c r="AG44" s="377"/>
      <c r="AH44" s="377"/>
      <c r="AI44" s="377"/>
      <c r="AJ44" s="378"/>
      <c r="AK44" s="379"/>
      <c r="AL44" s="377"/>
      <c r="AM44" s="377"/>
      <c r="AN44" s="377"/>
      <c r="AO44" s="376"/>
      <c r="AP44" s="380"/>
      <c r="AQ44" s="377"/>
      <c r="AR44" s="377"/>
      <c r="AS44" s="377"/>
      <c r="AT44" s="378"/>
      <c r="AU44" s="379"/>
      <c r="AV44" s="377"/>
      <c r="AW44" s="377"/>
      <c r="AX44" s="377"/>
      <c r="AY44" s="376"/>
      <c r="AZ44" s="380"/>
      <c r="BA44" s="377"/>
      <c r="BB44" s="377"/>
      <c r="BC44" s="377"/>
      <c r="BD44" s="378"/>
      <c r="BE44" s="379"/>
      <c r="BF44" s="377"/>
      <c r="BG44" s="377"/>
      <c r="BH44" s="377"/>
      <c r="BI44" s="376"/>
      <c r="BJ44" s="380"/>
      <c r="BK44" s="377"/>
      <c r="BL44" s="377"/>
      <c r="BM44" s="377"/>
      <c r="BN44" s="378"/>
      <c r="BO44" s="379"/>
      <c r="BP44" s="377"/>
      <c r="BQ44" s="377"/>
      <c r="BR44" s="377"/>
      <c r="BS44" s="376"/>
      <c r="BT44" s="380"/>
      <c r="BU44" s="377"/>
      <c r="BV44" s="377"/>
      <c r="BW44" s="377"/>
      <c r="BX44" s="378"/>
      <c r="BY44" s="379"/>
      <c r="BZ44" s="377"/>
      <c r="CA44" s="377"/>
      <c r="CB44" s="377"/>
      <c r="CC44" s="376"/>
      <c r="CD44" s="380"/>
      <c r="CE44" s="377"/>
      <c r="CF44" s="377"/>
      <c r="CG44" s="377"/>
      <c r="CH44" s="376"/>
      <c r="CI44" s="380"/>
      <c r="CJ44" s="377"/>
      <c r="CK44" s="377"/>
      <c r="CL44" s="377"/>
      <c r="CM44" s="378"/>
    </row>
    <row r="45" spans="1:91" ht="25.5" customHeight="1">
      <c r="A45" s="416">
        <v>4438</v>
      </c>
      <c r="B45" s="417" t="s">
        <v>11</v>
      </c>
      <c r="C45" s="417" t="s">
        <v>44</v>
      </c>
      <c r="D45" s="417" t="s">
        <v>76</v>
      </c>
      <c r="E45" s="381" t="s">
        <v>53</v>
      </c>
      <c r="F45" s="417"/>
      <c r="G45" s="381" t="s">
        <v>1444</v>
      </c>
      <c r="H45" s="384" t="s">
        <v>54</v>
      </c>
      <c r="I45" s="385"/>
      <c r="J45" s="381"/>
      <c r="K45" s="382"/>
      <c r="L45" s="418" t="s">
        <v>78</v>
      </c>
      <c r="M45" s="417" t="s">
        <v>77</v>
      </c>
      <c r="N45" s="417"/>
      <c r="O45" s="417" t="s">
        <v>77</v>
      </c>
      <c r="P45" s="419" t="s">
        <v>77</v>
      </c>
      <c r="Q45" s="418"/>
      <c r="R45" s="417"/>
      <c r="S45" s="417"/>
      <c r="T45" s="417"/>
      <c r="U45" s="420" t="s">
        <v>80</v>
      </c>
      <c r="V45" s="416"/>
      <c r="W45" s="381"/>
      <c r="X45" s="381"/>
      <c r="Y45" s="381"/>
      <c r="Z45" s="382"/>
      <c r="AA45" s="383"/>
      <c r="AB45" s="381"/>
      <c r="AC45" s="381"/>
      <c r="AD45" s="381"/>
      <c r="AE45" s="384"/>
      <c r="AF45" s="385"/>
      <c r="AG45" s="381"/>
      <c r="AH45" s="381"/>
      <c r="AI45" s="381"/>
      <c r="AJ45" s="382"/>
      <c r="AK45" s="383"/>
      <c r="AL45" s="381"/>
      <c r="AM45" s="381"/>
      <c r="AN45" s="381"/>
      <c r="AO45" s="384"/>
      <c r="AP45" s="385"/>
      <c r="AQ45" s="381"/>
      <c r="AR45" s="381"/>
      <c r="AS45" s="381"/>
      <c r="AT45" s="382"/>
      <c r="AU45" s="383"/>
      <c r="AV45" s="381"/>
      <c r="AW45" s="381"/>
      <c r="AX45" s="381"/>
      <c r="AY45" s="384"/>
      <c r="AZ45" s="385"/>
      <c r="BA45" s="381"/>
      <c r="BB45" s="381"/>
      <c r="BC45" s="381"/>
      <c r="BD45" s="382"/>
      <c r="BE45" s="383"/>
      <c r="BF45" s="381"/>
      <c r="BG45" s="381"/>
      <c r="BH45" s="381"/>
      <c r="BI45" s="384"/>
      <c r="BJ45" s="385"/>
      <c r="BK45" s="381"/>
      <c r="BL45" s="381"/>
      <c r="BM45" s="381"/>
      <c r="BN45" s="382"/>
      <c r="BO45" s="383"/>
      <c r="BP45" s="381"/>
      <c r="BQ45" s="381"/>
      <c r="BR45" s="381"/>
      <c r="BS45" s="384"/>
      <c r="BT45" s="385"/>
      <c r="BU45" s="381"/>
      <c r="BV45" s="381"/>
      <c r="BW45" s="381"/>
      <c r="BX45" s="382"/>
      <c r="BY45" s="383"/>
      <c r="BZ45" s="381"/>
      <c r="CA45" s="381"/>
      <c r="CB45" s="381"/>
      <c r="CC45" s="384"/>
      <c r="CD45" s="385"/>
      <c r="CE45" s="381"/>
      <c r="CF45" s="381"/>
      <c r="CG45" s="381"/>
      <c r="CH45" s="384"/>
      <c r="CI45" s="385"/>
      <c r="CJ45" s="381"/>
      <c r="CK45" s="381"/>
      <c r="CL45" s="381"/>
      <c r="CM45" s="382"/>
    </row>
    <row r="46" spans="1:91" ht="25.5" customHeight="1">
      <c r="A46" s="386">
        <v>4439</v>
      </c>
      <c r="B46" s="387" t="s">
        <v>11</v>
      </c>
      <c r="C46" s="387" t="s">
        <v>44</v>
      </c>
      <c r="D46" s="387" t="s">
        <v>76</v>
      </c>
      <c r="E46" s="372" t="s">
        <v>53</v>
      </c>
      <c r="F46" s="387"/>
      <c r="G46" s="372" t="s">
        <v>1446</v>
      </c>
      <c r="H46" s="371" t="s">
        <v>54</v>
      </c>
      <c r="I46" s="375"/>
      <c r="J46" s="372"/>
      <c r="K46" s="373"/>
      <c r="L46" s="388" t="s">
        <v>78</v>
      </c>
      <c r="M46" s="387" t="s">
        <v>77</v>
      </c>
      <c r="N46" s="387"/>
      <c r="O46" s="387" t="s">
        <v>77</v>
      </c>
      <c r="P46" s="389" t="s">
        <v>77</v>
      </c>
      <c r="Q46" s="388"/>
      <c r="R46" s="387"/>
      <c r="S46" s="387"/>
      <c r="T46" s="387"/>
      <c r="U46" s="390" t="s">
        <v>80</v>
      </c>
      <c r="V46" s="386"/>
      <c r="W46" s="372"/>
      <c r="X46" s="372"/>
      <c r="Y46" s="372"/>
      <c r="Z46" s="373"/>
      <c r="AA46" s="374"/>
      <c r="AB46" s="372"/>
      <c r="AC46" s="372"/>
      <c r="AD46" s="372"/>
      <c r="AE46" s="371"/>
      <c r="AF46" s="375"/>
      <c r="AG46" s="372"/>
      <c r="AH46" s="372"/>
      <c r="AI46" s="372"/>
      <c r="AJ46" s="373"/>
      <c r="AK46" s="374"/>
      <c r="AL46" s="372"/>
      <c r="AM46" s="372"/>
      <c r="AN46" s="372"/>
      <c r="AO46" s="371"/>
      <c r="AP46" s="375"/>
      <c r="AQ46" s="372"/>
      <c r="AR46" s="372"/>
      <c r="AS46" s="372"/>
      <c r="AT46" s="373"/>
      <c r="AU46" s="374"/>
      <c r="AV46" s="372"/>
      <c r="AW46" s="372"/>
      <c r="AX46" s="372"/>
      <c r="AY46" s="371"/>
      <c r="AZ46" s="375"/>
      <c r="BA46" s="372"/>
      <c r="BB46" s="372"/>
      <c r="BC46" s="372"/>
      <c r="BD46" s="373"/>
      <c r="BE46" s="374"/>
      <c r="BF46" s="372"/>
      <c r="BG46" s="372"/>
      <c r="BH46" s="372"/>
      <c r="BI46" s="371"/>
      <c r="BJ46" s="375"/>
      <c r="BK46" s="372"/>
      <c r="BL46" s="372"/>
      <c r="BM46" s="372"/>
      <c r="BN46" s="373"/>
      <c r="BO46" s="374"/>
      <c r="BP46" s="372"/>
      <c r="BQ46" s="372"/>
      <c r="BR46" s="372"/>
      <c r="BS46" s="371"/>
      <c r="BT46" s="375"/>
      <c r="BU46" s="372"/>
      <c r="BV46" s="372"/>
      <c r="BW46" s="372"/>
      <c r="BX46" s="373"/>
      <c r="BY46" s="374"/>
      <c r="BZ46" s="372"/>
      <c r="CA46" s="372"/>
      <c r="CB46" s="372"/>
      <c r="CC46" s="371"/>
      <c r="CD46" s="375"/>
      <c r="CE46" s="372"/>
      <c r="CF46" s="372"/>
      <c r="CG46" s="372"/>
      <c r="CH46" s="371"/>
      <c r="CI46" s="375"/>
      <c r="CJ46" s="372"/>
      <c r="CK46" s="372"/>
      <c r="CL46" s="372"/>
      <c r="CM46" s="373"/>
    </row>
    <row r="47" spans="1:91" ht="25.5" customHeight="1">
      <c r="A47" s="386">
        <v>4440</v>
      </c>
      <c r="B47" s="387" t="s">
        <v>11</v>
      </c>
      <c r="C47" s="387" t="s">
        <v>44</v>
      </c>
      <c r="D47" s="387" t="s">
        <v>76</v>
      </c>
      <c r="E47" s="372" t="s">
        <v>53</v>
      </c>
      <c r="F47" s="387"/>
      <c r="G47" s="372" t="s">
        <v>1448</v>
      </c>
      <c r="H47" s="371" t="s">
        <v>54</v>
      </c>
      <c r="I47" s="375"/>
      <c r="J47" s="372"/>
      <c r="K47" s="373"/>
      <c r="L47" s="388" t="s">
        <v>78</v>
      </c>
      <c r="M47" s="387" t="s">
        <v>77</v>
      </c>
      <c r="N47" s="387"/>
      <c r="O47" s="387" t="s">
        <v>77</v>
      </c>
      <c r="P47" s="389" t="s">
        <v>77</v>
      </c>
      <c r="Q47" s="388"/>
      <c r="R47" s="387"/>
      <c r="S47" s="387"/>
      <c r="T47" s="387"/>
      <c r="U47" s="390" t="s">
        <v>80</v>
      </c>
      <c r="V47" s="386"/>
      <c r="W47" s="372"/>
      <c r="X47" s="372"/>
      <c r="Y47" s="372"/>
      <c r="Z47" s="373"/>
      <c r="AA47" s="374"/>
      <c r="AB47" s="372"/>
      <c r="AC47" s="372"/>
      <c r="AD47" s="372"/>
      <c r="AE47" s="371"/>
      <c r="AF47" s="375"/>
      <c r="AG47" s="372"/>
      <c r="AH47" s="372"/>
      <c r="AI47" s="372"/>
      <c r="AJ47" s="373"/>
      <c r="AK47" s="374"/>
      <c r="AL47" s="372"/>
      <c r="AM47" s="372"/>
      <c r="AN47" s="372"/>
      <c r="AO47" s="371"/>
      <c r="AP47" s="375"/>
      <c r="AQ47" s="372"/>
      <c r="AR47" s="372"/>
      <c r="AS47" s="372"/>
      <c r="AT47" s="373"/>
      <c r="AU47" s="374"/>
      <c r="AV47" s="372"/>
      <c r="AW47" s="372"/>
      <c r="AX47" s="372"/>
      <c r="AY47" s="371"/>
      <c r="AZ47" s="375"/>
      <c r="BA47" s="372"/>
      <c r="BB47" s="372"/>
      <c r="BC47" s="372"/>
      <c r="BD47" s="373"/>
      <c r="BE47" s="374"/>
      <c r="BF47" s="372"/>
      <c r="BG47" s="372"/>
      <c r="BH47" s="372"/>
      <c r="BI47" s="371"/>
      <c r="BJ47" s="375"/>
      <c r="BK47" s="372"/>
      <c r="BL47" s="372"/>
      <c r="BM47" s="372"/>
      <c r="BN47" s="373"/>
      <c r="BO47" s="374"/>
      <c r="BP47" s="372"/>
      <c r="BQ47" s="372"/>
      <c r="BR47" s="372"/>
      <c r="BS47" s="371"/>
      <c r="BT47" s="375"/>
      <c r="BU47" s="372"/>
      <c r="BV47" s="372"/>
      <c r="BW47" s="372"/>
      <c r="BX47" s="373"/>
      <c r="BY47" s="374"/>
      <c r="BZ47" s="372"/>
      <c r="CA47" s="372"/>
      <c r="CB47" s="372"/>
      <c r="CC47" s="371"/>
      <c r="CD47" s="375"/>
      <c r="CE47" s="372"/>
      <c r="CF47" s="372"/>
      <c r="CG47" s="372"/>
      <c r="CH47" s="371"/>
      <c r="CI47" s="375"/>
      <c r="CJ47" s="372"/>
      <c r="CK47" s="372"/>
      <c r="CL47" s="372"/>
      <c r="CM47" s="373"/>
    </row>
    <row r="48" spans="1:91" ht="25.5" customHeight="1">
      <c r="A48" s="386">
        <v>4441</v>
      </c>
      <c r="B48" s="387" t="s">
        <v>11</v>
      </c>
      <c r="C48" s="387" t="s">
        <v>44</v>
      </c>
      <c r="D48" s="387" t="s">
        <v>76</v>
      </c>
      <c r="E48" s="372" t="s">
        <v>53</v>
      </c>
      <c r="F48" s="387"/>
      <c r="G48" s="372" t="s">
        <v>1450</v>
      </c>
      <c r="H48" s="371" t="s">
        <v>54</v>
      </c>
      <c r="I48" s="375"/>
      <c r="J48" s="372"/>
      <c r="K48" s="373"/>
      <c r="L48" s="388" t="s">
        <v>78</v>
      </c>
      <c r="M48" s="387" t="s">
        <v>77</v>
      </c>
      <c r="N48" s="387"/>
      <c r="O48" s="387" t="s">
        <v>77</v>
      </c>
      <c r="P48" s="389" t="s">
        <v>77</v>
      </c>
      <c r="Q48" s="388"/>
      <c r="R48" s="387"/>
      <c r="S48" s="387"/>
      <c r="T48" s="387"/>
      <c r="U48" s="390" t="s">
        <v>80</v>
      </c>
      <c r="V48" s="386"/>
      <c r="W48" s="372"/>
      <c r="X48" s="372"/>
      <c r="Y48" s="372"/>
      <c r="Z48" s="373"/>
      <c r="AA48" s="374"/>
      <c r="AB48" s="372"/>
      <c r="AC48" s="372"/>
      <c r="AD48" s="372"/>
      <c r="AE48" s="371"/>
      <c r="AF48" s="375"/>
      <c r="AG48" s="372"/>
      <c r="AH48" s="372"/>
      <c r="AI48" s="372"/>
      <c r="AJ48" s="373"/>
      <c r="AK48" s="374"/>
      <c r="AL48" s="372"/>
      <c r="AM48" s="372"/>
      <c r="AN48" s="372"/>
      <c r="AO48" s="371"/>
      <c r="AP48" s="375"/>
      <c r="AQ48" s="372"/>
      <c r="AR48" s="372"/>
      <c r="AS48" s="372"/>
      <c r="AT48" s="373"/>
      <c r="AU48" s="374"/>
      <c r="AV48" s="372"/>
      <c r="AW48" s="372"/>
      <c r="AX48" s="372"/>
      <c r="AY48" s="371"/>
      <c r="AZ48" s="375"/>
      <c r="BA48" s="372"/>
      <c r="BB48" s="372"/>
      <c r="BC48" s="372"/>
      <c r="BD48" s="373"/>
      <c r="BE48" s="374"/>
      <c r="BF48" s="372"/>
      <c r="BG48" s="372"/>
      <c r="BH48" s="372"/>
      <c r="BI48" s="371"/>
      <c r="BJ48" s="375"/>
      <c r="BK48" s="372"/>
      <c r="BL48" s="372"/>
      <c r="BM48" s="372"/>
      <c r="BN48" s="373"/>
      <c r="BO48" s="374"/>
      <c r="BP48" s="372"/>
      <c r="BQ48" s="372"/>
      <c r="BR48" s="372"/>
      <c r="BS48" s="371"/>
      <c r="BT48" s="375"/>
      <c r="BU48" s="372"/>
      <c r="BV48" s="372"/>
      <c r="BW48" s="372"/>
      <c r="BX48" s="373"/>
      <c r="BY48" s="374"/>
      <c r="BZ48" s="372"/>
      <c r="CA48" s="372"/>
      <c r="CB48" s="372"/>
      <c r="CC48" s="371"/>
      <c r="CD48" s="375"/>
      <c r="CE48" s="372"/>
      <c r="CF48" s="372"/>
      <c r="CG48" s="372"/>
      <c r="CH48" s="371"/>
      <c r="CI48" s="375"/>
      <c r="CJ48" s="372"/>
      <c r="CK48" s="372"/>
      <c r="CL48" s="372"/>
      <c r="CM48" s="373"/>
    </row>
    <row r="49" spans="1:91" ht="25.5" customHeight="1" thickBot="1">
      <c r="A49" s="391">
        <v>4442</v>
      </c>
      <c r="B49" s="392" t="s">
        <v>11</v>
      </c>
      <c r="C49" s="392" t="s">
        <v>44</v>
      </c>
      <c r="D49" s="392" t="s">
        <v>76</v>
      </c>
      <c r="E49" s="393" t="s">
        <v>53</v>
      </c>
      <c r="F49" s="392"/>
      <c r="G49" s="393" t="s">
        <v>1452</v>
      </c>
      <c r="H49" s="394" t="s">
        <v>54</v>
      </c>
      <c r="I49" s="395"/>
      <c r="J49" s="393"/>
      <c r="K49" s="396"/>
      <c r="L49" s="397" t="s">
        <v>78</v>
      </c>
      <c r="M49" s="392" t="s">
        <v>77</v>
      </c>
      <c r="N49" s="392"/>
      <c r="O49" s="392" t="s">
        <v>77</v>
      </c>
      <c r="P49" s="398" t="s">
        <v>77</v>
      </c>
      <c r="Q49" s="397"/>
      <c r="R49" s="392"/>
      <c r="S49" s="392"/>
      <c r="T49" s="392"/>
      <c r="U49" s="399" t="s">
        <v>80</v>
      </c>
      <c r="V49" s="391"/>
      <c r="W49" s="393"/>
      <c r="X49" s="393"/>
      <c r="Y49" s="393"/>
      <c r="Z49" s="396"/>
      <c r="AA49" s="400"/>
      <c r="AB49" s="393"/>
      <c r="AC49" s="393"/>
      <c r="AD49" s="393"/>
      <c r="AE49" s="394"/>
      <c r="AF49" s="395"/>
      <c r="AG49" s="393"/>
      <c r="AH49" s="393"/>
      <c r="AI49" s="393"/>
      <c r="AJ49" s="396"/>
      <c r="AK49" s="400"/>
      <c r="AL49" s="393"/>
      <c r="AM49" s="393"/>
      <c r="AN49" s="393"/>
      <c r="AO49" s="394"/>
      <c r="AP49" s="395"/>
      <c r="AQ49" s="393"/>
      <c r="AR49" s="393"/>
      <c r="AS49" s="393"/>
      <c r="AT49" s="396"/>
      <c r="AU49" s="400"/>
      <c r="AV49" s="393"/>
      <c r="AW49" s="393"/>
      <c r="AX49" s="393"/>
      <c r="AY49" s="394"/>
      <c r="AZ49" s="395"/>
      <c r="BA49" s="393"/>
      <c r="BB49" s="393"/>
      <c r="BC49" s="393"/>
      <c r="BD49" s="396"/>
      <c r="BE49" s="400"/>
      <c r="BF49" s="393"/>
      <c r="BG49" s="393"/>
      <c r="BH49" s="393"/>
      <c r="BI49" s="394"/>
      <c r="BJ49" s="395"/>
      <c r="BK49" s="393"/>
      <c r="BL49" s="393"/>
      <c r="BM49" s="393"/>
      <c r="BN49" s="396"/>
      <c r="BO49" s="400"/>
      <c r="BP49" s="393"/>
      <c r="BQ49" s="393"/>
      <c r="BR49" s="393"/>
      <c r="BS49" s="394"/>
      <c r="BT49" s="395"/>
      <c r="BU49" s="393"/>
      <c r="BV49" s="393"/>
      <c r="BW49" s="393"/>
      <c r="BX49" s="396"/>
      <c r="BY49" s="400"/>
      <c r="BZ49" s="393"/>
      <c r="CA49" s="393"/>
      <c r="CB49" s="393"/>
      <c r="CC49" s="394"/>
      <c r="CD49" s="395"/>
      <c r="CE49" s="393"/>
      <c r="CF49" s="393"/>
      <c r="CG49" s="393"/>
      <c r="CH49" s="394"/>
      <c r="CI49" s="395"/>
      <c r="CJ49" s="393"/>
      <c r="CK49" s="393"/>
      <c r="CL49" s="393"/>
      <c r="CM49" s="396"/>
    </row>
    <row r="50" spans="1:91" ht="25.5" customHeight="1">
      <c r="A50" s="401">
        <v>4443</v>
      </c>
      <c r="B50" s="402" t="s">
        <v>11</v>
      </c>
      <c r="C50" s="402" t="s">
        <v>44</v>
      </c>
      <c r="D50" s="402" t="s">
        <v>76</v>
      </c>
      <c r="E50" s="403" t="s">
        <v>53</v>
      </c>
      <c r="F50" s="402"/>
      <c r="G50" s="403" t="s">
        <v>1454</v>
      </c>
      <c r="H50" s="404" t="s">
        <v>54</v>
      </c>
      <c r="I50" s="405"/>
      <c r="J50" s="403"/>
      <c r="K50" s="406"/>
      <c r="L50" s="407" t="s">
        <v>78</v>
      </c>
      <c r="M50" s="402" t="s">
        <v>77</v>
      </c>
      <c r="N50" s="402"/>
      <c r="O50" s="402" t="s">
        <v>77</v>
      </c>
      <c r="P50" s="408" t="s">
        <v>77</v>
      </c>
      <c r="Q50" s="407"/>
      <c r="R50" s="402"/>
      <c r="S50" s="402"/>
      <c r="T50" s="402"/>
      <c r="U50" s="409" t="s">
        <v>80</v>
      </c>
      <c r="V50" s="401"/>
      <c r="W50" s="403"/>
      <c r="X50" s="403"/>
      <c r="Y50" s="403"/>
      <c r="Z50" s="406"/>
      <c r="AA50" s="410"/>
      <c r="AB50" s="403"/>
      <c r="AC50" s="403"/>
      <c r="AD50" s="403"/>
      <c r="AE50" s="404"/>
      <c r="AF50" s="405"/>
      <c r="AG50" s="403"/>
      <c r="AH50" s="403"/>
      <c r="AI50" s="403"/>
      <c r="AJ50" s="406"/>
      <c r="AK50" s="410"/>
      <c r="AL50" s="403"/>
      <c r="AM50" s="403"/>
      <c r="AN50" s="403"/>
      <c r="AO50" s="404"/>
      <c r="AP50" s="405"/>
      <c r="AQ50" s="403"/>
      <c r="AR50" s="403"/>
      <c r="AS50" s="403"/>
      <c r="AT50" s="406"/>
      <c r="AU50" s="410"/>
      <c r="AV50" s="403"/>
      <c r="AW50" s="403"/>
      <c r="AX50" s="403"/>
      <c r="AY50" s="404"/>
      <c r="AZ50" s="405"/>
      <c r="BA50" s="403"/>
      <c r="BB50" s="403"/>
      <c r="BC50" s="403"/>
      <c r="BD50" s="406"/>
      <c r="BE50" s="410"/>
      <c r="BF50" s="403"/>
      <c r="BG50" s="403"/>
      <c r="BH50" s="403"/>
      <c r="BI50" s="404"/>
      <c r="BJ50" s="405"/>
      <c r="BK50" s="403"/>
      <c r="BL50" s="403"/>
      <c r="BM50" s="403"/>
      <c r="BN50" s="406"/>
      <c r="BO50" s="410"/>
      <c r="BP50" s="403"/>
      <c r="BQ50" s="403"/>
      <c r="BR50" s="403"/>
      <c r="BS50" s="404"/>
      <c r="BT50" s="405"/>
      <c r="BU50" s="403"/>
      <c r="BV50" s="403"/>
      <c r="BW50" s="403"/>
      <c r="BX50" s="406"/>
      <c r="BY50" s="410"/>
      <c r="BZ50" s="403"/>
      <c r="CA50" s="403"/>
      <c r="CB50" s="403"/>
      <c r="CC50" s="404"/>
      <c r="CD50" s="405"/>
      <c r="CE50" s="403"/>
      <c r="CF50" s="403"/>
      <c r="CG50" s="403"/>
      <c r="CH50" s="404"/>
      <c r="CI50" s="405"/>
      <c r="CJ50" s="403"/>
      <c r="CK50" s="403"/>
      <c r="CL50" s="403"/>
      <c r="CM50" s="406"/>
    </row>
    <row r="51" spans="1:91" ht="25.5" customHeight="1">
      <c r="A51" s="386">
        <v>4444</v>
      </c>
      <c r="B51" s="387" t="s">
        <v>11</v>
      </c>
      <c r="C51" s="387" t="s">
        <v>44</v>
      </c>
      <c r="D51" s="387" t="s">
        <v>76</v>
      </c>
      <c r="E51" s="372" t="s">
        <v>53</v>
      </c>
      <c r="F51" s="387"/>
      <c r="G51" s="372" t="s">
        <v>1456</v>
      </c>
      <c r="H51" s="371" t="s">
        <v>54</v>
      </c>
      <c r="I51" s="375"/>
      <c r="J51" s="372"/>
      <c r="K51" s="373"/>
      <c r="L51" s="388" t="s">
        <v>78</v>
      </c>
      <c r="M51" s="387" t="s">
        <v>77</v>
      </c>
      <c r="N51" s="387"/>
      <c r="O51" s="387" t="s">
        <v>77</v>
      </c>
      <c r="P51" s="389" t="s">
        <v>77</v>
      </c>
      <c r="Q51" s="388"/>
      <c r="R51" s="387"/>
      <c r="S51" s="387"/>
      <c r="T51" s="387"/>
      <c r="U51" s="390" t="s">
        <v>80</v>
      </c>
      <c r="V51" s="386"/>
      <c r="W51" s="372"/>
      <c r="X51" s="372"/>
      <c r="Y51" s="372"/>
      <c r="Z51" s="373"/>
      <c r="AA51" s="374"/>
      <c r="AB51" s="372"/>
      <c r="AC51" s="372"/>
      <c r="AD51" s="372"/>
      <c r="AE51" s="371"/>
      <c r="AF51" s="375"/>
      <c r="AG51" s="372"/>
      <c r="AH51" s="372"/>
      <c r="AI51" s="372"/>
      <c r="AJ51" s="373"/>
      <c r="AK51" s="374"/>
      <c r="AL51" s="372"/>
      <c r="AM51" s="372"/>
      <c r="AN51" s="372"/>
      <c r="AO51" s="371"/>
      <c r="AP51" s="375"/>
      <c r="AQ51" s="372"/>
      <c r="AR51" s="372"/>
      <c r="AS51" s="372"/>
      <c r="AT51" s="373"/>
      <c r="AU51" s="374"/>
      <c r="AV51" s="372"/>
      <c r="AW51" s="372"/>
      <c r="AX51" s="372"/>
      <c r="AY51" s="371"/>
      <c r="AZ51" s="375"/>
      <c r="BA51" s="372"/>
      <c r="BB51" s="372"/>
      <c r="BC51" s="372"/>
      <c r="BD51" s="373"/>
      <c r="BE51" s="374"/>
      <c r="BF51" s="372"/>
      <c r="BG51" s="372"/>
      <c r="BH51" s="372"/>
      <c r="BI51" s="371"/>
      <c r="BJ51" s="375"/>
      <c r="BK51" s="372"/>
      <c r="BL51" s="372"/>
      <c r="BM51" s="372"/>
      <c r="BN51" s="373"/>
      <c r="BO51" s="374"/>
      <c r="BP51" s="372"/>
      <c r="BQ51" s="372"/>
      <c r="BR51" s="372"/>
      <c r="BS51" s="371"/>
      <c r="BT51" s="375"/>
      <c r="BU51" s="372"/>
      <c r="BV51" s="372"/>
      <c r="BW51" s="372"/>
      <c r="BX51" s="373"/>
      <c r="BY51" s="374"/>
      <c r="BZ51" s="372"/>
      <c r="CA51" s="372"/>
      <c r="CB51" s="372"/>
      <c r="CC51" s="371"/>
      <c r="CD51" s="375"/>
      <c r="CE51" s="372"/>
      <c r="CF51" s="372"/>
      <c r="CG51" s="372"/>
      <c r="CH51" s="371"/>
      <c r="CI51" s="375"/>
      <c r="CJ51" s="372"/>
      <c r="CK51" s="372"/>
      <c r="CL51" s="372"/>
      <c r="CM51" s="373"/>
    </row>
    <row r="52" spans="1:91" ht="25.5" customHeight="1">
      <c r="A52" s="386">
        <v>4445</v>
      </c>
      <c r="B52" s="387" t="s">
        <v>11</v>
      </c>
      <c r="C52" s="387" t="s">
        <v>44</v>
      </c>
      <c r="D52" s="387" t="s">
        <v>76</v>
      </c>
      <c r="E52" s="372" t="s">
        <v>53</v>
      </c>
      <c r="F52" s="387"/>
      <c r="G52" s="372" t="s">
        <v>1458</v>
      </c>
      <c r="H52" s="371" t="s">
        <v>54</v>
      </c>
      <c r="I52" s="375"/>
      <c r="J52" s="372"/>
      <c r="K52" s="373"/>
      <c r="L52" s="388" t="s">
        <v>78</v>
      </c>
      <c r="M52" s="387" t="s">
        <v>77</v>
      </c>
      <c r="N52" s="387"/>
      <c r="O52" s="387" t="s">
        <v>77</v>
      </c>
      <c r="P52" s="389" t="s">
        <v>77</v>
      </c>
      <c r="Q52" s="388"/>
      <c r="R52" s="387"/>
      <c r="S52" s="387"/>
      <c r="T52" s="387"/>
      <c r="U52" s="390" t="s">
        <v>80</v>
      </c>
      <c r="V52" s="386"/>
      <c r="W52" s="372"/>
      <c r="X52" s="372"/>
      <c r="Y52" s="372"/>
      <c r="Z52" s="373"/>
      <c r="AA52" s="374"/>
      <c r="AB52" s="372"/>
      <c r="AC52" s="372"/>
      <c r="AD52" s="372"/>
      <c r="AE52" s="371"/>
      <c r="AF52" s="375"/>
      <c r="AG52" s="372"/>
      <c r="AH52" s="372"/>
      <c r="AI52" s="372"/>
      <c r="AJ52" s="373"/>
      <c r="AK52" s="374"/>
      <c r="AL52" s="372"/>
      <c r="AM52" s="372"/>
      <c r="AN52" s="372"/>
      <c r="AO52" s="371"/>
      <c r="AP52" s="375"/>
      <c r="AQ52" s="372"/>
      <c r="AR52" s="372"/>
      <c r="AS52" s="372"/>
      <c r="AT52" s="373"/>
      <c r="AU52" s="374"/>
      <c r="AV52" s="372"/>
      <c r="AW52" s="372"/>
      <c r="AX52" s="372"/>
      <c r="AY52" s="371"/>
      <c r="AZ52" s="375"/>
      <c r="BA52" s="372"/>
      <c r="BB52" s="372"/>
      <c r="BC52" s="372"/>
      <c r="BD52" s="373"/>
      <c r="BE52" s="374"/>
      <c r="BF52" s="372"/>
      <c r="BG52" s="372"/>
      <c r="BH52" s="372"/>
      <c r="BI52" s="371"/>
      <c r="BJ52" s="375"/>
      <c r="BK52" s="372"/>
      <c r="BL52" s="372"/>
      <c r="BM52" s="372"/>
      <c r="BN52" s="373"/>
      <c r="BO52" s="374"/>
      <c r="BP52" s="372"/>
      <c r="BQ52" s="372"/>
      <c r="BR52" s="372"/>
      <c r="BS52" s="371"/>
      <c r="BT52" s="375"/>
      <c r="BU52" s="372"/>
      <c r="BV52" s="372"/>
      <c r="BW52" s="372"/>
      <c r="BX52" s="373"/>
      <c r="BY52" s="374"/>
      <c r="BZ52" s="372"/>
      <c r="CA52" s="372"/>
      <c r="CB52" s="372"/>
      <c r="CC52" s="371"/>
      <c r="CD52" s="375"/>
      <c r="CE52" s="372"/>
      <c r="CF52" s="372"/>
      <c r="CG52" s="372"/>
      <c r="CH52" s="371"/>
      <c r="CI52" s="375"/>
      <c r="CJ52" s="372"/>
      <c r="CK52" s="372"/>
      <c r="CL52" s="372"/>
      <c r="CM52" s="373"/>
    </row>
    <row r="53" spans="1:91" ht="25.5" customHeight="1">
      <c r="A53" s="386">
        <v>4446</v>
      </c>
      <c r="B53" s="387" t="s">
        <v>11</v>
      </c>
      <c r="C53" s="387" t="s">
        <v>44</v>
      </c>
      <c r="D53" s="387" t="s">
        <v>76</v>
      </c>
      <c r="E53" s="372" t="s">
        <v>53</v>
      </c>
      <c r="F53" s="387"/>
      <c r="G53" s="372" t="s">
        <v>1460</v>
      </c>
      <c r="H53" s="371" t="s">
        <v>54</v>
      </c>
      <c r="I53" s="375"/>
      <c r="J53" s="372"/>
      <c r="K53" s="373"/>
      <c r="L53" s="388" t="s">
        <v>78</v>
      </c>
      <c r="M53" s="387" t="s">
        <v>77</v>
      </c>
      <c r="N53" s="387"/>
      <c r="O53" s="387" t="s">
        <v>77</v>
      </c>
      <c r="P53" s="389" t="s">
        <v>77</v>
      </c>
      <c r="Q53" s="388"/>
      <c r="R53" s="387"/>
      <c r="S53" s="387"/>
      <c r="T53" s="387"/>
      <c r="U53" s="390" t="s">
        <v>80</v>
      </c>
      <c r="V53" s="386"/>
      <c r="W53" s="372"/>
      <c r="X53" s="372"/>
      <c r="Y53" s="372"/>
      <c r="Z53" s="373"/>
      <c r="AA53" s="374"/>
      <c r="AB53" s="372"/>
      <c r="AC53" s="372"/>
      <c r="AD53" s="372"/>
      <c r="AE53" s="371"/>
      <c r="AF53" s="375"/>
      <c r="AG53" s="372"/>
      <c r="AH53" s="372"/>
      <c r="AI53" s="372"/>
      <c r="AJ53" s="373"/>
      <c r="AK53" s="374"/>
      <c r="AL53" s="372"/>
      <c r="AM53" s="372"/>
      <c r="AN53" s="372"/>
      <c r="AO53" s="371"/>
      <c r="AP53" s="375"/>
      <c r="AQ53" s="372"/>
      <c r="AR53" s="372"/>
      <c r="AS53" s="372"/>
      <c r="AT53" s="373"/>
      <c r="AU53" s="374"/>
      <c r="AV53" s="372"/>
      <c r="AW53" s="372"/>
      <c r="AX53" s="372"/>
      <c r="AY53" s="371"/>
      <c r="AZ53" s="375"/>
      <c r="BA53" s="372"/>
      <c r="BB53" s="372"/>
      <c r="BC53" s="372"/>
      <c r="BD53" s="373"/>
      <c r="BE53" s="374"/>
      <c r="BF53" s="372"/>
      <c r="BG53" s="372"/>
      <c r="BH53" s="372"/>
      <c r="BI53" s="371"/>
      <c r="BJ53" s="375"/>
      <c r="BK53" s="372"/>
      <c r="BL53" s="372"/>
      <c r="BM53" s="372"/>
      <c r="BN53" s="373"/>
      <c r="BO53" s="374"/>
      <c r="BP53" s="372"/>
      <c r="BQ53" s="372"/>
      <c r="BR53" s="372"/>
      <c r="BS53" s="371"/>
      <c r="BT53" s="375"/>
      <c r="BU53" s="372"/>
      <c r="BV53" s="372"/>
      <c r="BW53" s="372"/>
      <c r="BX53" s="373"/>
      <c r="BY53" s="374"/>
      <c r="BZ53" s="372"/>
      <c r="CA53" s="372"/>
      <c r="CB53" s="372"/>
      <c r="CC53" s="371"/>
      <c r="CD53" s="375"/>
      <c r="CE53" s="372"/>
      <c r="CF53" s="372"/>
      <c r="CG53" s="372"/>
      <c r="CH53" s="371"/>
      <c r="CI53" s="375"/>
      <c r="CJ53" s="372"/>
      <c r="CK53" s="372"/>
      <c r="CL53" s="372"/>
      <c r="CM53" s="373"/>
    </row>
    <row r="54" spans="1:91" ht="25.5" customHeight="1" thickBot="1">
      <c r="A54" s="411">
        <v>4447</v>
      </c>
      <c r="B54" s="412" t="s">
        <v>11</v>
      </c>
      <c r="C54" s="412" t="s">
        <v>44</v>
      </c>
      <c r="D54" s="412" t="s">
        <v>76</v>
      </c>
      <c r="E54" s="377" t="s">
        <v>53</v>
      </c>
      <c r="F54" s="412"/>
      <c r="G54" s="377" t="s">
        <v>1462</v>
      </c>
      <c r="H54" s="376" t="s">
        <v>54</v>
      </c>
      <c r="I54" s="380"/>
      <c r="J54" s="377"/>
      <c r="K54" s="378"/>
      <c r="L54" s="413" t="s">
        <v>78</v>
      </c>
      <c r="M54" s="412" t="s">
        <v>77</v>
      </c>
      <c r="N54" s="412"/>
      <c r="O54" s="412" t="s">
        <v>77</v>
      </c>
      <c r="P54" s="414" t="s">
        <v>77</v>
      </c>
      <c r="Q54" s="413"/>
      <c r="R54" s="412"/>
      <c r="S54" s="412"/>
      <c r="T54" s="412"/>
      <c r="U54" s="415" t="s">
        <v>80</v>
      </c>
      <c r="V54" s="411"/>
      <c r="W54" s="377"/>
      <c r="X54" s="377"/>
      <c r="Y54" s="377"/>
      <c r="Z54" s="378"/>
      <c r="AA54" s="379"/>
      <c r="AB54" s="377"/>
      <c r="AC54" s="377"/>
      <c r="AD54" s="377"/>
      <c r="AE54" s="376"/>
      <c r="AF54" s="380"/>
      <c r="AG54" s="377"/>
      <c r="AH54" s="377"/>
      <c r="AI54" s="377"/>
      <c r="AJ54" s="378"/>
      <c r="AK54" s="379"/>
      <c r="AL54" s="377"/>
      <c r="AM54" s="377"/>
      <c r="AN54" s="377"/>
      <c r="AO54" s="376"/>
      <c r="AP54" s="380"/>
      <c r="AQ54" s="377"/>
      <c r="AR54" s="377"/>
      <c r="AS54" s="377"/>
      <c r="AT54" s="378"/>
      <c r="AU54" s="379"/>
      <c r="AV54" s="377"/>
      <c r="AW54" s="377"/>
      <c r="AX54" s="377"/>
      <c r="AY54" s="376"/>
      <c r="AZ54" s="380"/>
      <c r="BA54" s="377"/>
      <c r="BB54" s="377"/>
      <c r="BC54" s="377"/>
      <c r="BD54" s="378"/>
      <c r="BE54" s="379"/>
      <c r="BF54" s="377"/>
      <c r="BG54" s="377"/>
      <c r="BH54" s="377"/>
      <c r="BI54" s="376"/>
      <c r="BJ54" s="380"/>
      <c r="BK54" s="377"/>
      <c r="BL54" s="377"/>
      <c r="BM54" s="377"/>
      <c r="BN54" s="378"/>
      <c r="BO54" s="379"/>
      <c r="BP54" s="377"/>
      <c r="BQ54" s="377"/>
      <c r="BR54" s="377"/>
      <c r="BS54" s="376"/>
      <c r="BT54" s="380"/>
      <c r="BU54" s="377"/>
      <c r="BV54" s="377"/>
      <c r="BW54" s="377"/>
      <c r="BX54" s="378"/>
      <c r="BY54" s="379"/>
      <c r="BZ54" s="377"/>
      <c r="CA54" s="377"/>
      <c r="CB54" s="377"/>
      <c r="CC54" s="376"/>
      <c r="CD54" s="380"/>
      <c r="CE54" s="377"/>
      <c r="CF54" s="377"/>
      <c r="CG54" s="377"/>
      <c r="CH54" s="376"/>
      <c r="CI54" s="380"/>
      <c r="CJ54" s="377"/>
      <c r="CK54" s="377"/>
      <c r="CL54" s="377"/>
      <c r="CM54" s="378"/>
    </row>
    <row r="55" spans="1:91" ht="25.5" customHeight="1">
      <c r="A55" s="416">
        <v>4448</v>
      </c>
      <c r="B55" s="417" t="s">
        <v>11</v>
      </c>
      <c r="C55" s="417" t="s">
        <v>44</v>
      </c>
      <c r="D55" s="417" t="s">
        <v>76</v>
      </c>
      <c r="E55" s="381" t="s">
        <v>53</v>
      </c>
      <c r="F55" s="417"/>
      <c r="G55" s="381" t="s">
        <v>1464</v>
      </c>
      <c r="H55" s="384" t="s">
        <v>54</v>
      </c>
      <c r="I55" s="385"/>
      <c r="J55" s="381"/>
      <c r="K55" s="382"/>
      <c r="L55" s="418" t="s">
        <v>78</v>
      </c>
      <c r="M55" s="417" t="s">
        <v>77</v>
      </c>
      <c r="N55" s="417"/>
      <c r="O55" s="417" t="s">
        <v>77</v>
      </c>
      <c r="P55" s="419" t="s">
        <v>77</v>
      </c>
      <c r="Q55" s="418"/>
      <c r="R55" s="417"/>
      <c r="S55" s="417"/>
      <c r="T55" s="417"/>
      <c r="U55" s="420" t="s">
        <v>80</v>
      </c>
      <c r="V55" s="416"/>
      <c r="W55" s="381"/>
      <c r="X55" s="381"/>
      <c r="Y55" s="381"/>
      <c r="Z55" s="382"/>
      <c r="AA55" s="383"/>
      <c r="AB55" s="381"/>
      <c r="AC55" s="381"/>
      <c r="AD55" s="381"/>
      <c r="AE55" s="384"/>
      <c r="AF55" s="385"/>
      <c r="AG55" s="381"/>
      <c r="AH55" s="381"/>
      <c r="AI55" s="381"/>
      <c r="AJ55" s="382"/>
      <c r="AK55" s="383"/>
      <c r="AL55" s="381"/>
      <c r="AM55" s="381"/>
      <c r="AN55" s="381"/>
      <c r="AO55" s="384"/>
      <c r="AP55" s="385"/>
      <c r="AQ55" s="381"/>
      <c r="AR55" s="381"/>
      <c r="AS55" s="381"/>
      <c r="AT55" s="382"/>
      <c r="AU55" s="383"/>
      <c r="AV55" s="381"/>
      <c r="AW55" s="381"/>
      <c r="AX55" s="381"/>
      <c r="AY55" s="384"/>
      <c r="AZ55" s="385"/>
      <c r="BA55" s="381"/>
      <c r="BB55" s="381"/>
      <c r="BC55" s="381"/>
      <c r="BD55" s="382"/>
      <c r="BE55" s="383"/>
      <c r="BF55" s="381"/>
      <c r="BG55" s="381"/>
      <c r="BH55" s="381"/>
      <c r="BI55" s="384"/>
      <c r="BJ55" s="385"/>
      <c r="BK55" s="381"/>
      <c r="BL55" s="381"/>
      <c r="BM55" s="381"/>
      <c r="BN55" s="382"/>
      <c r="BO55" s="383"/>
      <c r="BP55" s="381"/>
      <c r="BQ55" s="381"/>
      <c r="BR55" s="381"/>
      <c r="BS55" s="384"/>
      <c r="BT55" s="385"/>
      <c r="BU55" s="381"/>
      <c r="BV55" s="381"/>
      <c r="BW55" s="381"/>
      <c r="BX55" s="382"/>
      <c r="BY55" s="383"/>
      <c r="BZ55" s="381"/>
      <c r="CA55" s="381"/>
      <c r="CB55" s="381"/>
      <c r="CC55" s="384"/>
      <c r="CD55" s="385"/>
      <c r="CE55" s="381"/>
      <c r="CF55" s="381"/>
      <c r="CG55" s="381"/>
      <c r="CH55" s="384"/>
      <c r="CI55" s="385"/>
      <c r="CJ55" s="381"/>
      <c r="CK55" s="381"/>
      <c r="CL55" s="381"/>
      <c r="CM55" s="382"/>
    </row>
    <row r="56" spans="1:91" ht="25.5" customHeight="1">
      <c r="A56" s="386">
        <v>4449</v>
      </c>
      <c r="B56" s="387" t="s">
        <v>11</v>
      </c>
      <c r="C56" s="387" t="s">
        <v>44</v>
      </c>
      <c r="D56" s="387" t="s">
        <v>76</v>
      </c>
      <c r="E56" s="372" t="s">
        <v>53</v>
      </c>
      <c r="F56" s="387"/>
      <c r="G56" s="372" t="s">
        <v>1466</v>
      </c>
      <c r="H56" s="371" t="s">
        <v>54</v>
      </c>
      <c r="I56" s="375"/>
      <c r="J56" s="372"/>
      <c r="K56" s="373"/>
      <c r="L56" s="388" t="s">
        <v>78</v>
      </c>
      <c r="M56" s="387" t="s">
        <v>77</v>
      </c>
      <c r="N56" s="387"/>
      <c r="O56" s="387" t="s">
        <v>77</v>
      </c>
      <c r="P56" s="389" t="s">
        <v>77</v>
      </c>
      <c r="Q56" s="388"/>
      <c r="R56" s="387"/>
      <c r="S56" s="387"/>
      <c r="T56" s="387"/>
      <c r="U56" s="390" t="s">
        <v>80</v>
      </c>
      <c r="V56" s="386"/>
      <c r="W56" s="372"/>
      <c r="X56" s="372"/>
      <c r="Y56" s="372"/>
      <c r="Z56" s="373"/>
      <c r="AA56" s="374"/>
      <c r="AB56" s="372"/>
      <c r="AC56" s="372"/>
      <c r="AD56" s="372"/>
      <c r="AE56" s="371"/>
      <c r="AF56" s="375"/>
      <c r="AG56" s="372"/>
      <c r="AH56" s="372"/>
      <c r="AI56" s="372"/>
      <c r="AJ56" s="373"/>
      <c r="AK56" s="374"/>
      <c r="AL56" s="372"/>
      <c r="AM56" s="372"/>
      <c r="AN56" s="372"/>
      <c r="AO56" s="371"/>
      <c r="AP56" s="375"/>
      <c r="AQ56" s="372"/>
      <c r="AR56" s="372"/>
      <c r="AS56" s="372"/>
      <c r="AT56" s="373"/>
      <c r="AU56" s="374"/>
      <c r="AV56" s="372"/>
      <c r="AW56" s="372"/>
      <c r="AX56" s="372"/>
      <c r="AY56" s="371"/>
      <c r="AZ56" s="375"/>
      <c r="BA56" s="372"/>
      <c r="BB56" s="372"/>
      <c r="BC56" s="372"/>
      <c r="BD56" s="373"/>
      <c r="BE56" s="374"/>
      <c r="BF56" s="372"/>
      <c r="BG56" s="372"/>
      <c r="BH56" s="372"/>
      <c r="BI56" s="371"/>
      <c r="BJ56" s="375"/>
      <c r="BK56" s="372"/>
      <c r="BL56" s="372"/>
      <c r="BM56" s="372"/>
      <c r="BN56" s="373"/>
      <c r="BO56" s="374"/>
      <c r="BP56" s="372"/>
      <c r="BQ56" s="372"/>
      <c r="BR56" s="372"/>
      <c r="BS56" s="371"/>
      <c r="BT56" s="375"/>
      <c r="BU56" s="372"/>
      <c r="BV56" s="372"/>
      <c r="BW56" s="372"/>
      <c r="BX56" s="373"/>
      <c r="BY56" s="374"/>
      <c r="BZ56" s="372"/>
      <c r="CA56" s="372"/>
      <c r="CB56" s="372"/>
      <c r="CC56" s="371"/>
      <c r="CD56" s="375"/>
      <c r="CE56" s="372"/>
      <c r="CF56" s="372"/>
      <c r="CG56" s="372"/>
      <c r="CH56" s="371"/>
      <c r="CI56" s="375"/>
      <c r="CJ56" s="372"/>
      <c r="CK56" s="372"/>
      <c r="CL56" s="372"/>
      <c r="CM56" s="373"/>
    </row>
    <row r="57" spans="1:91" ht="25.5" customHeight="1">
      <c r="A57" s="386">
        <v>4450</v>
      </c>
      <c r="B57" s="387" t="s">
        <v>11</v>
      </c>
      <c r="C57" s="387" t="s">
        <v>44</v>
      </c>
      <c r="D57" s="387" t="s">
        <v>76</v>
      </c>
      <c r="E57" s="372" t="s">
        <v>53</v>
      </c>
      <c r="F57" s="387"/>
      <c r="G57" s="372" t="s">
        <v>1468</v>
      </c>
      <c r="H57" s="371" t="s">
        <v>54</v>
      </c>
      <c r="I57" s="375"/>
      <c r="J57" s="372"/>
      <c r="K57" s="373"/>
      <c r="L57" s="388" t="s">
        <v>78</v>
      </c>
      <c r="M57" s="387" t="s">
        <v>77</v>
      </c>
      <c r="N57" s="387"/>
      <c r="O57" s="387" t="s">
        <v>77</v>
      </c>
      <c r="P57" s="389" t="s">
        <v>77</v>
      </c>
      <c r="Q57" s="388"/>
      <c r="R57" s="387"/>
      <c r="S57" s="387"/>
      <c r="T57" s="387"/>
      <c r="U57" s="390" t="s">
        <v>80</v>
      </c>
      <c r="V57" s="386"/>
      <c r="W57" s="372"/>
      <c r="X57" s="372"/>
      <c r="Y57" s="372"/>
      <c r="Z57" s="373"/>
      <c r="AA57" s="374"/>
      <c r="AB57" s="372"/>
      <c r="AC57" s="372"/>
      <c r="AD57" s="372"/>
      <c r="AE57" s="371"/>
      <c r="AF57" s="375"/>
      <c r="AG57" s="372"/>
      <c r="AH57" s="372"/>
      <c r="AI57" s="372"/>
      <c r="AJ57" s="373"/>
      <c r="AK57" s="374"/>
      <c r="AL57" s="372"/>
      <c r="AM57" s="372"/>
      <c r="AN57" s="372"/>
      <c r="AO57" s="371"/>
      <c r="AP57" s="375"/>
      <c r="AQ57" s="372"/>
      <c r="AR57" s="372"/>
      <c r="AS57" s="372"/>
      <c r="AT57" s="373"/>
      <c r="AU57" s="374"/>
      <c r="AV57" s="372"/>
      <c r="AW57" s="372"/>
      <c r="AX57" s="372"/>
      <c r="AY57" s="371"/>
      <c r="AZ57" s="375"/>
      <c r="BA57" s="372"/>
      <c r="BB57" s="372"/>
      <c r="BC57" s="372"/>
      <c r="BD57" s="373"/>
      <c r="BE57" s="374"/>
      <c r="BF57" s="372"/>
      <c r="BG57" s="372"/>
      <c r="BH57" s="372"/>
      <c r="BI57" s="371"/>
      <c r="BJ57" s="375"/>
      <c r="BK57" s="372"/>
      <c r="BL57" s="372"/>
      <c r="BM57" s="372"/>
      <c r="BN57" s="373"/>
      <c r="BO57" s="374"/>
      <c r="BP57" s="372"/>
      <c r="BQ57" s="372"/>
      <c r="BR57" s="372"/>
      <c r="BS57" s="371"/>
      <c r="BT57" s="375"/>
      <c r="BU57" s="372"/>
      <c r="BV57" s="372"/>
      <c r="BW57" s="372"/>
      <c r="BX57" s="373"/>
      <c r="BY57" s="374"/>
      <c r="BZ57" s="372"/>
      <c r="CA57" s="372"/>
      <c r="CB57" s="372"/>
      <c r="CC57" s="371"/>
      <c r="CD57" s="375"/>
      <c r="CE57" s="372"/>
      <c r="CF57" s="372"/>
      <c r="CG57" s="372"/>
      <c r="CH57" s="371"/>
      <c r="CI57" s="375"/>
      <c r="CJ57" s="372"/>
      <c r="CK57" s="372"/>
      <c r="CL57" s="372"/>
      <c r="CM57" s="373"/>
    </row>
    <row r="58" spans="1:91" ht="25.5" customHeight="1">
      <c r="A58" s="386">
        <v>4451</v>
      </c>
      <c r="B58" s="387" t="s">
        <v>11</v>
      </c>
      <c r="C58" s="387" t="s">
        <v>44</v>
      </c>
      <c r="D58" s="387" t="s">
        <v>76</v>
      </c>
      <c r="E58" s="372" t="s">
        <v>53</v>
      </c>
      <c r="F58" s="387"/>
      <c r="G58" s="372" t="s">
        <v>1470</v>
      </c>
      <c r="H58" s="371" t="s">
        <v>54</v>
      </c>
      <c r="I58" s="375"/>
      <c r="J58" s="372"/>
      <c r="K58" s="373"/>
      <c r="L58" s="388" t="s">
        <v>78</v>
      </c>
      <c r="M58" s="387" t="s">
        <v>77</v>
      </c>
      <c r="N58" s="387"/>
      <c r="O58" s="387" t="s">
        <v>77</v>
      </c>
      <c r="P58" s="389" t="s">
        <v>77</v>
      </c>
      <c r="Q58" s="388"/>
      <c r="R58" s="387"/>
      <c r="S58" s="387"/>
      <c r="T58" s="387"/>
      <c r="U58" s="390" t="s">
        <v>80</v>
      </c>
      <c r="V58" s="386"/>
      <c r="W58" s="372"/>
      <c r="X58" s="372"/>
      <c r="Y58" s="372"/>
      <c r="Z58" s="373"/>
      <c r="AA58" s="374"/>
      <c r="AB58" s="372"/>
      <c r="AC58" s="372"/>
      <c r="AD58" s="372"/>
      <c r="AE58" s="371"/>
      <c r="AF58" s="375"/>
      <c r="AG58" s="372"/>
      <c r="AH58" s="372"/>
      <c r="AI58" s="372"/>
      <c r="AJ58" s="373"/>
      <c r="AK58" s="374"/>
      <c r="AL58" s="372"/>
      <c r="AM58" s="372"/>
      <c r="AN58" s="372"/>
      <c r="AO58" s="371"/>
      <c r="AP58" s="375"/>
      <c r="AQ58" s="372"/>
      <c r="AR58" s="372"/>
      <c r="AS58" s="372"/>
      <c r="AT58" s="373"/>
      <c r="AU58" s="374"/>
      <c r="AV58" s="372"/>
      <c r="AW58" s="372"/>
      <c r="AX58" s="372"/>
      <c r="AY58" s="371"/>
      <c r="AZ58" s="375"/>
      <c r="BA58" s="372"/>
      <c r="BB58" s="372"/>
      <c r="BC58" s="372"/>
      <c r="BD58" s="373"/>
      <c r="BE58" s="374"/>
      <c r="BF58" s="372"/>
      <c r="BG58" s="372"/>
      <c r="BH58" s="372"/>
      <c r="BI58" s="371"/>
      <c r="BJ58" s="375"/>
      <c r="BK58" s="372"/>
      <c r="BL58" s="372"/>
      <c r="BM58" s="372"/>
      <c r="BN58" s="373"/>
      <c r="BO58" s="374"/>
      <c r="BP58" s="372"/>
      <c r="BQ58" s="372"/>
      <c r="BR58" s="372"/>
      <c r="BS58" s="371"/>
      <c r="BT58" s="375"/>
      <c r="BU58" s="372"/>
      <c r="BV58" s="372"/>
      <c r="BW58" s="372"/>
      <c r="BX58" s="373"/>
      <c r="BY58" s="374"/>
      <c r="BZ58" s="372"/>
      <c r="CA58" s="372"/>
      <c r="CB58" s="372"/>
      <c r="CC58" s="371"/>
      <c r="CD58" s="375"/>
      <c r="CE58" s="372"/>
      <c r="CF58" s="372"/>
      <c r="CG58" s="372"/>
      <c r="CH58" s="371"/>
      <c r="CI58" s="375"/>
      <c r="CJ58" s="372"/>
      <c r="CK58" s="372"/>
      <c r="CL58" s="372"/>
      <c r="CM58" s="373"/>
    </row>
    <row r="59" spans="1:91" ht="25.5" customHeight="1" thickBot="1">
      <c r="A59" s="411">
        <v>4452</v>
      </c>
      <c r="B59" s="412" t="s">
        <v>11</v>
      </c>
      <c r="C59" s="412" t="s">
        <v>44</v>
      </c>
      <c r="D59" s="412" t="s">
        <v>76</v>
      </c>
      <c r="E59" s="377" t="s">
        <v>53</v>
      </c>
      <c r="F59" s="412"/>
      <c r="G59" s="377" t="s">
        <v>1472</v>
      </c>
      <c r="H59" s="376" t="s">
        <v>54</v>
      </c>
      <c r="I59" s="380"/>
      <c r="J59" s="377"/>
      <c r="K59" s="378"/>
      <c r="L59" s="413" t="s">
        <v>78</v>
      </c>
      <c r="M59" s="412" t="s">
        <v>77</v>
      </c>
      <c r="N59" s="412"/>
      <c r="O59" s="412" t="s">
        <v>77</v>
      </c>
      <c r="P59" s="414" t="s">
        <v>77</v>
      </c>
      <c r="Q59" s="413"/>
      <c r="R59" s="412"/>
      <c r="S59" s="412"/>
      <c r="T59" s="412"/>
      <c r="U59" s="415" t="s">
        <v>80</v>
      </c>
      <c r="V59" s="411"/>
      <c r="W59" s="377"/>
      <c r="X59" s="377"/>
      <c r="Y59" s="377"/>
      <c r="Z59" s="378"/>
      <c r="AA59" s="379"/>
      <c r="AB59" s="377"/>
      <c r="AC59" s="377"/>
      <c r="AD59" s="377"/>
      <c r="AE59" s="376"/>
      <c r="AF59" s="380"/>
      <c r="AG59" s="377"/>
      <c r="AH59" s="377"/>
      <c r="AI59" s="377"/>
      <c r="AJ59" s="378"/>
      <c r="AK59" s="379"/>
      <c r="AL59" s="377"/>
      <c r="AM59" s="377"/>
      <c r="AN59" s="377"/>
      <c r="AO59" s="376"/>
      <c r="AP59" s="380"/>
      <c r="AQ59" s="377"/>
      <c r="AR59" s="377"/>
      <c r="AS59" s="377"/>
      <c r="AT59" s="378"/>
      <c r="AU59" s="379"/>
      <c r="AV59" s="377"/>
      <c r="AW59" s="377"/>
      <c r="AX59" s="377"/>
      <c r="AY59" s="376"/>
      <c r="AZ59" s="380"/>
      <c r="BA59" s="377"/>
      <c r="BB59" s="377"/>
      <c r="BC59" s="377"/>
      <c r="BD59" s="378"/>
      <c r="BE59" s="379"/>
      <c r="BF59" s="377"/>
      <c r="BG59" s="377"/>
      <c r="BH59" s="377"/>
      <c r="BI59" s="376"/>
      <c r="BJ59" s="380"/>
      <c r="BK59" s="377"/>
      <c r="BL59" s="377"/>
      <c r="BM59" s="377"/>
      <c r="BN59" s="378"/>
      <c r="BO59" s="379"/>
      <c r="BP59" s="377"/>
      <c r="BQ59" s="377"/>
      <c r="BR59" s="377"/>
      <c r="BS59" s="376"/>
      <c r="BT59" s="380"/>
      <c r="BU59" s="377"/>
      <c r="BV59" s="377"/>
      <c r="BW59" s="377"/>
      <c r="BX59" s="378"/>
      <c r="BY59" s="379"/>
      <c r="BZ59" s="377"/>
      <c r="CA59" s="377"/>
      <c r="CB59" s="377"/>
      <c r="CC59" s="376"/>
      <c r="CD59" s="380"/>
      <c r="CE59" s="377"/>
      <c r="CF59" s="377"/>
      <c r="CG59" s="377"/>
      <c r="CH59" s="376"/>
      <c r="CI59" s="380"/>
      <c r="CJ59" s="377"/>
      <c r="CK59" s="377"/>
      <c r="CL59" s="377"/>
      <c r="CM59" s="378"/>
    </row>
    <row r="60" spans="1:91" ht="15" customHeight="1" thickBot="1">
      <c r="A60" s="48"/>
      <c r="B60" s="179"/>
      <c r="C60" s="180"/>
      <c r="D60" s="181"/>
      <c r="E60" s="17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50"/>
      <c r="CH60" s="50"/>
      <c r="CI60" s="50"/>
      <c r="CJ60" s="50"/>
      <c r="CK60" s="50"/>
      <c r="CL60" s="50"/>
      <c r="CM60" s="51"/>
    </row>
    <row r="61" spans="1:91" ht="25.5" customHeight="1" thickBot="1">
      <c r="A61" s="275" t="s">
        <v>31</v>
      </c>
      <c r="B61" s="276"/>
      <c r="C61" s="277"/>
      <c r="D61" s="192"/>
      <c r="E61" s="278" t="s">
        <v>32</v>
      </c>
      <c r="F61" s="276"/>
      <c r="G61" s="277"/>
      <c r="H61" s="193" t="s">
        <v>8</v>
      </c>
      <c r="I61" s="192" t="s">
        <v>9</v>
      </c>
      <c r="J61" s="192" t="s">
        <v>33</v>
      </c>
      <c r="K61" s="192" t="s">
        <v>10</v>
      </c>
      <c r="L61" s="291"/>
      <c r="M61" s="292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  <c r="AA61" s="292"/>
      <c r="AB61" s="292"/>
      <c r="AC61" s="292"/>
      <c r="AD61" s="292"/>
      <c r="AE61" s="292"/>
      <c r="AF61" s="292"/>
      <c r="AG61" s="292"/>
      <c r="AH61" s="292"/>
      <c r="AI61" s="292"/>
      <c r="AJ61" s="292"/>
      <c r="AK61" s="292"/>
      <c r="AL61" s="292"/>
      <c r="AM61" s="292"/>
      <c r="AN61" s="292"/>
      <c r="AO61" s="292"/>
      <c r="AP61" s="292"/>
      <c r="AQ61" s="292"/>
      <c r="AR61" s="292"/>
      <c r="AS61" s="292"/>
      <c r="AT61" s="292"/>
      <c r="AU61" s="292"/>
      <c r="AV61" s="292"/>
      <c r="AW61" s="292"/>
      <c r="AX61" s="292"/>
      <c r="AY61" s="292"/>
      <c r="AZ61" s="292"/>
      <c r="BA61" s="292"/>
      <c r="BB61" s="292"/>
      <c r="BC61" s="292"/>
      <c r="BD61" s="292"/>
      <c r="BE61" s="293"/>
      <c r="BF61" s="300"/>
      <c r="BG61" s="300"/>
      <c r="BH61" s="300"/>
      <c r="BI61" s="300"/>
      <c r="BJ61" s="300"/>
      <c r="BK61" s="300"/>
      <c r="BL61" s="300"/>
      <c r="BM61" s="300"/>
      <c r="BN61" s="300"/>
      <c r="BO61" s="300"/>
      <c r="BP61" s="300"/>
      <c r="BQ61" s="300"/>
      <c r="BR61" s="300"/>
      <c r="BS61" s="300"/>
      <c r="BT61" s="300"/>
      <c r="BU61" s="301"/>
      <c r="BV61" s="291"/>
      <c r="BW61" s="247"/>
      <c r="BX61" s="247"/>
      <c r="BY61" s="247"/>
      <c r="BZ61" s="247"/>
      <c r="CA61" s="247"/>
      <c r="CB61" s="247"/>
      <c r="CC61" s="247"/>
      <c r="CD61" s="247"/>
      <c r="CE61" s="247"/>
      <c r="CF61" s="247"/>
      <c r="CG61" s="247"/>
      <c r="CH61" s="247"/>
      <c r="CI61" s="247"/>
      <c r="CJ61" s="247"/>
      <c r="CK61" s="247"/>
      <c r="CL61" s="247"/>
      <c r="CM61" s="248"/>
    </row>
    <row r="62" spans="1:91" ht="25.5" customHeight="1">
      <c r="A62" s="288"/>
      <c r="B62" s="289"/>
      <c r="C62" s="289"/>
      <c r="D62" s="52"/>
      <c r="E62" s="290"/>
      <c r="F62" s="290"/>
      <c r="G62" s="290"/>
      <c r="H62" s="53"/>
      <c r="I62" s="53"/>
      <c r="J62" s="53"/>
      <c r="K62" s="54"/>
      <c r="L62" s="294"/>
      <c r="M62" s="295"/>
      <c r="N62" s="295"/>
      <c r="O62" s="295"/>
      <c r="P62" s="295"/>
      <c r="Q62" s="295"/>
      <c r="R62" s="295"/>
      <c r="S62" s="295"/>
      <c r="T62" s="295"/>
      <c r="U62" s="295"/>
      <c r="V62" s="295"/>
      <c r="W62" s="295"/>
      <c r="X62" s="295"/>
      <c r="Y62" s="295"/>
      <c r="Z62" s="295"/>
      <c r="AA62" s="295"/>
      <c r="AB62" s="295"/>
      <c r="AC62" s="295"/>
      <c r="AD62" s="295"/>
      <c r="AE62" s="295"/>
      <c r="AF62" s="295"/>
      <c r="AG62" s="295"/>
      <c r="AH62" s="295"/>
      <c r="AI62" s="295"/>
      <c r="AJ62" s="295"/>
      <c r="AK62" s="295"/>
      <c r="AL62" s="295"/>
      <c r="AM62" s="295"/>
      <c r="AN62" s="295"/>
      <c r="AO62" s="295"/>
      <c r="AP62" s="295"/>
      <c r="AQ62" s="295"/>
      <c r="AR62" s="295"/>
      <c r="AS62" s="295"/>
      <c r="AT62" s="295"/>
      <c r="AU62" s="295"/>
      <c r="AV62" s="295"/>
      <c r="AW62" s="295"/>
      <c r="AX62" s="295"/>
      <c r="AY62" s="295"/>
      <c r="AZ62" s="295"/>
      <c r="BA62" s="295"/>
      <c r="BB62" s="295"/>
      <c r="BC62" s="295"/>
      <c r="BD62" s="295"/>
      <c r="BE62" s="296"/>
      <c r="BF62" s="302"/>
      <c r="BG62" s="302"/>
      <c r="BH62" s="302"/>
      <c r="BI62" s="302"/>
      <c r="BJ62" s="302"/>
      <c r="BK62" s="302"/>
      <c r="BL62" s="302"/>
      <c r="BM62" s="302"/>
      <c r="BN62" s="302"/>
      <c r="BO62" s="302"/>
      <c r="BP62" s="302"/>
      <c r="BQ62" s="302"/>
      <c r="BR62" s="302"/>
      <c r="BS62" s="302"/>
      <c r="BT62" s="302"/>
      <c r="BU62" s="303"/>
      <c r="BV62" s="306"/>
      <c r="BW62" s="249"/>
      <c r="BX62" s="249"/>
      <c r="BY62" s="249"/>
      <c r="BZ62" s="249"/>
      <c r="CA62" s="249"/>
      <c r="CB62" s="249"/>
      <c r="CC62" s="249"/>
      <c r="CD62" s="249"/>
      <c r="CE62" s="249"/>
      <c r="CF62" s="249"/>
      <c r="CG62" s="249"/>
      <c r="CH62" s="249"/>
      <c r="CI62" s="249"/>
      <c r="CJ62" s="249"/>
      <c r="CK62" s="249"/>
      <c r="CL62" s="249"/>
      <c r="CM62" s="250"/>
    </row>
    <row r="63" spans="1:91" ht="25.5" customHeight="1" thickBot="1">
      <c r="A63" s="288"/>
      <c r="B63" s="289"/>
      <c r="C63" s="289"/>
      <c r="D63" s="52"/>
      <c r="E63" s="290"/>
      <c r="F63" s="290"/>
      <c r="G63" s="290"/>
      <c r="H63" s="53"/>
      <c r="I63" s="53"/>
      <c r="J63" s="53"/>
      <c r="K63" s="54"/>
      <c r="L63" s="294"/>
      <c r="M63" s="295"/>
      <c r="N63" s="295"/>
      <c r="O63" s="295"/>
      <c r="P63" s="295"/>
      <c r="Q63" s="295"/>
      <c r="R63" s="295"/>
      <c r="S63" s="295"/>
      <c r="T63" s="295"/>
      <c r="U63" s="295"/>
      <c r="V63" s="295"/>
      <c r="W63" s="295"/>
      <c r="X63" s="295"/>
      <c r="Y63" s="295"/>
      <c r="Z63" s="295"/>
      <c r="AA63" s="295"/>
      <c r="AB63" s="295"/>
      <c r="AC63" s="295"/>
      <c r="AD63" s="295"/>
      <c r="AE63" s="295"/>
      <c r="AF63" s="295"/>
      <c r="AG63" s="295"/>
      <c r="AH63" s="295"/>
      <c r="AI63" s="295"/>
      <c r="AJ63" s="295"/>
      <c r="AK63" s="295"/>
      <c r="AL63" s="295"/>
      <c r="AM63" s="295"/>
      <c r="AN63" s="295"/>
      <c r="AO63" s="295"/>
      <c r="AP63" s="295"/>
      <c r="AQ63" s="295"/>
      <c r="AR63" s="295"/>
      <c r="AS63" s="295"/>
      <c r="AT63" s="295"/>
      <c r="AU63" s="295"/>
      <c r="AV63" s="295"/>
      <c r="AW63" s="295"/>
      <c r="AX63" s="295"/>
      <c r="AY63" s="295"/>
      <c r="AZ63" s="295"/>
      <c r="BA63" s="295"/>
      <c r="BB63" s="295"/>
      <c r="BC63" s="295"/>
      <c r="BD63" s="295"/>
      <c r="BE63" s="296"/>
      <c r="BF63" s="304"/>
      <c r="BG63" s="304"/>
      <c r="BH63" s="304"/>
      <c r="BI63" s="304"/>
      <c r="BJ63" s="304"/>
      <c r="BK63" s="304"/>
      <c r="BL63" s="304"/>
      <c r="BM63" s="304"/>
      <c r="BN63" s="304"/>
      <c r="BO63" s="304"/>
      <c r="BP63" s="304"/>
      <c r="BQ63" s="304"/>
      <c r="BR63" s="304"/>
      <c r="BS63" s="304"/>
      <c r="BT63" s="304"/>
      <c r="BU63" s="305"/>
      <c r="BV63" s="263"/>
      <c r="BW63" s="251"/>
      <c r="BX63" s="251"/>
      <c r="BY63" s="251"/>
      <c r="BZ63" s="251"/>
      <c r="CA63" s="251"/>
      <c r="CB63" s="251"/>
      <c r="CC63" s="251"/>
      <c r="CD63" s="251"/>
      <c r="CE63" s="251"/>
      <c r="CF63" s="251"/>
      <c r="CG63" s="251"/>
      <c r="CH63" s="251"/>
      <c r="CI63" s="251"/>
      <c r="CJ63" s="251"/>
      <c r="CK63" s="251"/>
      <c r="CL63" s="251"/>
      <c r="CM63" s="252"/>
    </row>
    <row r="64" spans="1:91" ht="27" customHeight="1">
      <c r="A64" s="288"/>
      <c r="B64" s="289"/>
      <c r="C64" s="289"/>
      <c r="D64" s="52"/>
      <c r="E64" s="290"/>
      <c r="F64" s="290"/>
      <c r="G64" s="290"/>
      <c r="H64" s="53"/>
      <c r="I64" s="53"/>
      <c r="J64" s="53"/>
      <c r="K64" s="54"/>
      <c r="L64" s="294"/>
      <c r="M64" s="295"/>
      <c r="N64" s="295"/>
      <c r="O64" s="295"/>
      <c r="P64" s="295"/>
      <c r="Q64" s="295"/>
      <c r="R64" s="295"/>
      <c r="S64" s="295"/>
      <c r="T64" s="295"/>
      <c r="U64" s="295"/>
      <c r="V64" s="295"/>
      <c r="W64" s="295"/>
      <c r="X64" s="295"/>
      <c r="Y64" s="295"/>
      <c r="Z64" s="295"/>
      <c r="AA64" s="295"/>
      <c r="AB64" s="295"/>
      <c r="AC64" s="295"/>
      <c r="AD64" s="295"/>
      <c r="AE64" s="295"/>
      <c r="AF64" s="295"/>
      <c r="AG64" s="295"/>
      <c r="AH64" s="295"/>
      <c r="AI64" s="295"/>
      <c r="AJ64" s="295"/>
      <c r="AK64" s="295"/>
      <c r="AL64" s="295"/>
      <c r="AM64" s="295"/>
      <c r="AN64" s="295"/>
      <c r="AO64" s="295"/>
      <c r="AP64" s="295"/>
      <c r="AQ64" s="295"/>
      <c r="AR64" s="295"/>
      <c r="AS64" s="295"/>
      <c r="AT64" s="295"/>
      <c r="AU64" s="295"/>
      <c r="AV64" s="295"/>
      <c r="AW64" s="295"/>
      <c r="AX64" s="295"/>
      <c r="AY64" s="295"/>
      <c r="AZ64" s="295"/>
      <c r="BA64" s="295"/>
      <c r="BB64" s="295"/>
      <c r="BC64" s="295"/>
      <c r="BD64" s="295"/>
      <c r="BE64" s="296"/>
      <c r="BF64" s="247" t="s">
        <v>89</v>
      </c>
      <c r="BG64" s="247"/>
      <c r="BH64" s="247"/>
      <c r="BI64" s="247"/>
      <c r="BJ64" s="247"/>
      <c r="BK64" s="247"/>
      <c r="BL64" s="247"/>
      <c r="BM64" s="247"/>
      <c r="BN64" s="247"/>
      <c r="BO64" s="247"/>
      <c r="BP64" s="247"/>
      <c r="BQ64" s="247"/>
      <c r="BR64" s="247"/>
      <c r="BS64" s="247"/>
      <c r="BT64" s="247"/>
      <c r="BU64" s="248"/>
      <c r="BV64" s="279" t="s">
        <v>90</v>
      </c>
      <c r="BW64" s="280"/>
      <c r="BX64" s="280"/>
      <c r="BY64" s="280"/>
      <c r="BZ64" s="280"/>
      <c r="CA64" s="280"/>
      <c r="CB64" s="280"/>
      <c r="CC64" s="280"/>
      <c r="CD64" s="280"/>
      <c r="CE64" s="280"/>
      <c r="CF64" s="280"/>
      <c r="CG64" s="280"/>
      <c r="CH64" s="280"/>
      <c r="CI64" s="280"/>
      <c r="CJ64" s="280"/>
      <c r="CK64" s="280"/>
      <c r="CL64" s="280"/>
      <c r="CM64" s="281"/>
    </row>
    <row r="65" spans="1:91" ht="25.5" customHeight="1">
      <c r="A65" s="288"/>
      <c r="B65" s="289"/>
      <c r="C65" s="289"/>
      <c r="D65" s="52"/>
      <c r="E65" s="290"/>
      <c r="F65" s="290"/>
      <c r="G65" s="290"/>
      <c r="H65" s="53"/>
      <c r="I65" s="53"/>
      <c r="J65" s="53"/>
      <c r="K65" s="54"/>
      <c r="L65" s="294"/>
      <c r="M65" s="295"/>
      <c r="N65" s="295"/>
      <c r="O65" s="295"/>
      <c r="P65" s="295"/>
      <c r="Q65" s="295"/>
      <c r="R65" s="295"/>
      <c r="S65" s="295"/>
      <c r="T65" s="295"/>
      <c r="U65" s="295"/>
      <c r="V65" s="295"/>
      <c r="W65" s="295"/>
      <c r="X65" s="295"/>
      <c r="Y65" s="295"/>
      <c r="Z65" s="295"/>
      <c r="AA65" s="295"/>
      <c r="AB65" s="295"/>
      <c r="AC65" s="295"/>
      <c r="AD65" s="295"/>
      <c r="AE65" s="295"/>
      <c r="AF65" s="295"/>
      <c r="AG65" s="295"/>
      <c r="AH65" s="295"/>
      <c r="AI65" s="295"/>
      <c r="AJ65" s="295"/>
      <c r="AK65" s="295"/>
      <c r="AL65" s="295"/>
      <c r="AM65" s="295"/>
      <c r="AN65" s="295"/>
      <c r="AO65" s="295"/>
      <c r="AP65" s="295"/>
      <c r="AQ65" s="295"/>
      <c r="AR65" s="295"/>
      <c r="AS65" s="295"/>
      <c r="AT65" s="295"/>
      <c r="AU65" s="295"/>
      <c r="AV65" s="295"/>
      <c r="AW65" s="295"/>
      <c r="AX65" s="295"/>
      <c r="AY65" s="295"/>
      <c r="AZ65" s="295"/>
      <c r="BA65" s="295"/>
      <c r="BB65" s="295"/>
      <c r="BC65" s="295"/>
      <c r="BD65" s="295"/>
      <c r="BE65" s="296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50"/>
      <c r="BV65" s="282"/>
      <c r="BW65" s="283"/>
      <c r="BX65" s="283"/>
      <c r="BY65" s="283"/>
      <c r="BZ65" s="283"/>
      <c r="CA65" s="283"/>
      <c r="CB65" s="283"/>
      <c r="CC65" s="283"/>
      <c r="CD65" s="283"/>
      <c r="CE65" s="283"/>
      <c r="CF65" s="283"/>
      <c r="CG65" s="283"/>
      <c r="CH65" s="283"/>
      <c r="CI65" s="283"/>
      <c r="CJ65" s="283"/>
      <c r="CK65" s="283"/>
      <c r="CL65" s="283"/>
      <c r="CM65" s="284"/>
    </row>
    <row r="66" spans="1:91" ht="25.5" customHeight="1" thickBot="1">
      <c r="A66" s="288"/>
      <c r="B66" s="289"/>
      <c r="C66" s="289"/>
      <c r="D66" s="52"/>
      <c r="E66" s="290"/>
      <c r="F66" s="290"/>
      <c r="G66" s="290"/>
      <c r="H66" s="53"/>
      <c r="I66" s="53"/>
      <c r="J66" s="53"/>
      <c r="K66" s="54"/>
      <c r="L66" s="294"/>
      <c r="M66" s="295"/>
      <c r="N66" s="295"/>
      <c r="O66" s="295"/>
      <c r="P66" s="295"/>
      <c r="Q66" s="295"/>
      <c r="R66" s="295"/>
      <c r="S66" s="295"/>
      <c r="T66" s="295"/>
      <c r="U66" s="295"/>
      <c r="V66" s="295"/>
      <c r="W66" s="295"/>
      <c r="X66" s="295"/>
      <c r="Y66" s="295"/>
      <c r="Z66" s="295"/>
      <c r="AA66" s="295"/>
      <c r="AB66" s="295"/>
      <c r="AC66" s="295"/>
      <c r="AD66" s="295"/>
      <c r="AE66" s="295"/>
      <c r="AF66" s="295"/>
      <c r="AG66" s="295"/>
      <c r="AH66" s="295"/>
      <c r="AI66" s="295"/>
      <c r="AJ66" s="295"/>
      <c r="AK66" s="295"/>
      <c r="AL66" s="295"/>
      <c r="AM66" s="295"/>
      <c r="AN66" s="295"/>
      <c r="AO66" s="295"/>
      <c r="AP66" s="295"/>
      <c r="AQ66" s="295"/>
      <c r="AR66" s="295"/>
      <c r="AS66" s="295"/>
      <c r="AT66" s="295"/>
      <c r="AU66" s="295"/>
      <c r="AV66" s="295"/>
      <c r="AW66" s="295"/>
      <c r="AX66" s="295"/>
      <c r="AY66" s="295"/>
      <c r="AZ66" s="295"/>
      <c r="BA66" s="295"/>
      <c r="BB66" s="295"/>
      <c r="BC66" s="295"/>
      <c r="BD66" s="295"/>
      <c r="BE66" s="296"/>
      <c r="BF66" s="251"/>
      <c r="BG66" s="251"/>
      <c r="BH66" s="251"/>
      <c r="BI66" s="251"/>
      <c r="BJ66" s="251"/>
      <c r="BK66" s="251"/>
      <c r="BL66" s="251"/>
      <c r="BM66" s="251"/>
      <c r="BN66" s="251"/>
      <c r="BO66" s="251"/>
      <c r="BP66" s="251"/>
      <c r="BQ66" s="251"/>
      <c r="BR66" s="251"/>
      <c r="BS66" s="251"/>
      <c r="BT66" s="251"/>
      <c r="BU66" s="252"/>
      <c r="BV66" s="285"/>
      <c r="BW66" s="286"/>
      <c r="BX66" s="286"/>
      <c r="BY66" s="286"/>
      <c r="BZ66" s="286"/>
      <c r="CA66" s="286"/>
      <c r="CB66" s="286"/>
      <c r="CC66" s="286"/>
      <c r="CD66" s="286"/>
      <c r="CE66" s="286"/>
      <c r="CF66" s="286"/>
      <c r="CG66" s="286"/>
      <c r="CH66" s="286"/>
      <c r="CI66" s="286"/>
      <c r="CJ66" s="286"/>
      <c r="CK66" s="286"/>
      <c r="CL66" s="286"/>
      <c r="CM66" s="287"/>
    </row>
    <row r="67" spans="1:91" ht="25.5" customHeight="1">
      <c r="A67" s="255" t="e">
        <f>IF(#REF!&lt;&gt;"",#REF!,"")</f>
        <v>#REF!</v>
      </c>
      <c r="B67" s="256"/>
      <c r="C67" s="256"/>
      <c r="D67" s="185"/>
      <c r="E67" s="257" t="e">
        <f>IF(#REF!&lt;&gt;"",#REF!,"")</f>
        <v>#REF!</v>
      </c>
      <c r="F67" s="257"/>
      <c r="G67" s="257"/>
      <c r="H67" s="186" t="e">
        <f>IF(#REF!&lt;&gt;"",#REF!,"")</f>
        <v>#REF!</v>
      </c>
      <c r="I67" s="186" t="e">
        <f>IF(#REF!&lt;&gt;"",#REF!,"")</f>
        <v>#REF!</v>
      </c>
      <c r="J67" s="186" t="e">
        <f>IF(#REF!&lt;&gt;"",#REF!,"")</f>
        <v>#REF!</v>
      </c>
      <c r="K67" s="187" t="e">
        <f>IF(#REF!&lt;&gt;"",#REF!,"")</f>
        <v>#REF!</v>
      </c>
      <c r="L67" s="294"/>
      <c r="M67" s="295"/>
      <c r="N67" s="295"/>
      <c r="O67" s="295"/>
      <c r="P67" s="295"/>
      <c r="Q67" s="295"/>
      <c r="R67" s="295"/>
      <c r="S67" s="295"/>
      <c r="T67" s="295"/>
      <c r="U67" s="295"/>
      <c r="V67" s="295"/>
      <c r="W67" s="295"/>
      <c r="X67" s="295"/>
      <c r="Y67" s="295"/>
      <c r="Z67" s="295"/>
      <c r="AA67" s="295"/>
      <c r="AB67" s="295"/>
      <c r="AC67" s="295"/>
      <c r="AD67" s="295"/>
      <c r="AE67" s="295"/>
      <c r="AF67" s="295"/>
      <c r="AG67" s="295"/>
      <c r="AH67" s="295"/>
      <c r="AI67" s="295"/>
      <c r="AJ67" s="295"/>
      <c r="AK67" s="295"/>
      <c r="AL67" s="295"/>
      <c r="AM67" s="295"/>
      <c r="AN67" s="295"/>
      <c r="AO67" s="295"/>
      <c r="AP67" s="295"/>
      <c r="AQ67" s="295"/>
      <c r="AR67" s="295"/>
      <c r="AS67" s="295"/>
      <c r="AT67" s="295"/>
      <c r="AU67" s="295"/>
      <c r="AV67" s="295"/>
      <c r="AW67" s="295"/>
      <c r="AX67" s="295"/>
      <c r="AY67" s="295"/>
      <c r="AZ67" s="295"/>
      <c r="BA67" s="295"/>
      <c r="BB67" s="295"/>
      <c r="BC67" s="295"/>
      <c r="BD67" s="295"/>
      <c r="BE67" s="296"/>
      <c r="BF67" s="272" t="s">
        <v>34</v>
      </c>
      <c r="BG67" s="272"/>
      <c r="BH67" s="272"/>
      <c r="BI67" s="272"/>
      <c r="BJ67" s="272"/>
      <c r="BK67" s="272"/>
      <c r="BL67" s="272"/>
      <c r="BM67" s="272"/>
      <c r="BN67" s="272"/>
      <c r="BO67" s="272"/>
      <c r="BP67" s="272"/>
      <c r="BQ67" s="272"/>
      <c r="BR67" s="272"/>
      <c r="BS67" s="272"/>
      <c r="BT67" s="272"/>
      <c r="BU67" s="254"/>
      <c r="BV67" s="273" t="s">
        <v>35</v>
      </c>
      <c r="BW67" s="272"/>
      <c r="BX67" s="274"/>
      <c r="BY67" s="253" t="s">
        <v>36</v>
      </c>
      <c r="BZ67" s="272"/>
      <c r="CA67" s="272"/>
      <c r="CB67" s="272"/>
      <c r="CC67" s="272"/>
      <c r="CD67" s="272"/>
      <c r="CE67" s="272"/>
      <c r="CF67" s="272"/>
      <c r="CG67" s="272"/>
      <c r="CH67" s="272"/>
      <c r="CI67" s="272"/>
      <c r="CJ67" s="272"/>
      <c r="CK67" s="274"/>
      <c r="CL67" s="253" t="s">
        <v>37</v>
      </c>
      <c r="CM67" s="254"/>
    </row>
    <row r="68" spans="1:91" ht="25.5" customHeight="1">
      <c r="A68" s="255" t="e">
        <f>IF(#REF!&lt;&gt;"",#REF!,"")</f>
        <v>#REF!</v>
      </c>
      <c r="B68" s="256"/>
      <c r="C68" s="256"/>
      <c r="D68" s="185"/>
      <c r="E68" s="257" t="e">
        <f>IF(#REF!&lt;&gt;"",#REF!,"")</f>
        <v>#REF!</v>
      </c>
      <c r="F68" s="257"/>
      <c r="G68" s="257"/>
      <c r="H68" s="186" t="e">
        <f>IF(#REF!&lt;&gt;"",#REF!,"")</f>
        <v>#REF!</v>
      </c>
      <c r="I68" s="186" t="e">
        <f>IF(#REF!&lt;&gt;"",#REF!,"")</f>
        <v>#REF!</v>
      </c>
      <c r="J68" s="186" t="e">
        <f>IF(#REF!&lt;&gt;"",#REF!,"")</f>
        <v>#REF!</v>
      </c>
      <c r="K68" s="187" t="e">
        <f>IF(#REF!&lt;&gt;"",#REF!,"")</f>
        <v>#REF!</v>
      </c>
      <c r="L68" s="294"/>
      <c r="M68" s="295"/>
      <c r="N68" s="295"/>
      <c r="O68" s="295"/>
      <c r="P68" s="295"/>
      <c r="Q68" s="295"/>
      <c r="R68" s="295"/>
      <c r="S68" s="295"/>
      <c r="T68" s="295"/>
      <c r="U68" s="295"/>
      <c r="V68" s="295"/>
      <c r="W68" s="295"/>
      <c r="X68" s="295"/>
      <c r="Y68" s="295"/>
      <c r="Z68" s="295"/>
      <c r="AA68" s="295"/>
      <c r="AB68" s="295"/>
      <c r="AC68" s="295"/>
      <c r="AD68" s="295"/>
      <c r="AE68" s="295"/>
      <c r="AF68" s="295"/>
      <c r="AG68" s="295"/>
      <c r="AH68" s="295"/>
      <c r="AI68" s="295"/>
      <c r="AJ68" s="295"/>
      <c r="AK68" s="295"/>
      <c r="AL68" s="295"/>
      <c r="AM68" s="295"/>
      <c r="AN68" s="295"/>
      <c r="AO68" s="295"/>
      <c r="AP68" s="295"/>
      <c r="AQ68" s="295"/>
      <c r="AR68" s="295"/>
      <c r="AS68" s="295"/>
      <c r="AT68" s="295"/>
      <c r="AU68" s="295"/>
      <c r="AV68" s="295"/>
      <c r="AW68" s="295"/>
      <c r="AX68" s="295"/>
      <c r="AY68" s="295"/>
      <c r="AZ68" s="295"/>
      <c r="BA68" s="295"/>
      <c r="BB68" s="295"/>
      <c r="BC68" s="295"/>
      <c r="BD68" s="295"/>
      <c r="BE68" s="296"/>
      <c r="BF68" s="258" t="s">
        <v>5</v>
      </c>
      <c r="BG68" s="259"/>
      <c r="BH68" s="259"/>
      <c r="BI68" s="259"/>
      <c r="BJ68" s="259"/>
      <c r="BK68" s="259"/>
      <c r="BL68" s="259"/>
      <c r="BM68" s="259"/>
      <c r="BN68" s="259"/>
      <c r="BO68" s="259"/>
      <c r="BP68" s="259"/>
      <c r="BQ68" s="259"/>
      <c r="BR68" s="259"/>
      <c r="BS68" s="259"/>
      <c r="BT68" s="259"/>
      <c r="BU68" s="260"/>
      <c r="BV68" s="261" t="s">
        <v>12</v>
      </c>
      <c r="BW68" s="259"/>
      <c r="BX68" s="262"/>
      <c r="BY68" s="265" t="s">
        <v>1703</v>
      </c>
      <c r="BZ68" s="266"/>
      <c r="CA68" s="266"/>
      <c r="CB68" s="266"/>
      <c r="CC68" s="266"/>
      <c r="CD68" s="266"/>
      <c r="CE68" s="266"/>
      <c r="CF68" s="266"/>
      <c r="CG68" s="266"/>
      <c r="CH68" s="266"/>
      <c r="CI68" s="266"/>
      <c r="CJ68" s="266"/>
      <c r="CK68" s="267"/>
      <c r="CL68" s="227" t="s">
        <v>11</v>
      </c>
      <c r="CM68" s="260"/>
    </row>
    <row r="69" spans="1:91" ht="25.5" customHeight="1" thickBot="1">
      <c r="A69" s="255" t="e">
        <f>IF(#REF!&lt;&gt;"",#REF!,"")</f>
        <v>#REF!</v>
      </c>
      <c r="B69" s="256"/>
      <c r="C69" s="256"/>
      <c r="D69" s="185"/>
      <c r="E69" s="257" t="e">
        <f>IF(#REF!&lt;&gt;"",#REF!,"")</f>
        <v>#REF!</v>
      </c>
      <c r="F69" s="257"/>
      <c r="G69" s="257"/>
      <c r="H69" s="186" t="e">
        <f>IF(#REF!&lt;&gt;"",#REF!,"")</f>
        <v>#REF!</v>
      </c>
      <c r="I69" s="186" t="e">
        <f>IF(#REF!&lt;&gt;"",#REF!,"")</f>
        <v>#REF!</v>
      </c>
      <c r="J69" s="186" t="e">
        <f>IF(#REF!&lt;&gt;"",#REF!,"")</f>
        <v>#REF!</v>
      </c>
      <c r="K69" s="187" t="e">
        <f>IF(#REF!&lt;&gt;"",#REF!,"")</f>
        <v>#REF!</v>
      </c>
      <c r="L69" s="297"/>
      <c r="M69" s="298"/>
      <c r="N69" s="298"/>
      <c r="O69" s="298"/>
      <c r="P69" s="298"/>
      <c r="Q69" s="298"/>
      <c r="R69" s="298"/>
      <c r="S69" s="298"/>
      <c r="T69" s="298"/>
      <c r="U69" s="298"/>
      <c r="V69" s="298"/>
      <c r="W69" s="298"/>
      <c r="X69" s="298"/>
      <c r="Y69" s="298"/>
      <c r="Z69" s="298"/>
      <c r="AA69" s="298"/>
      <c r="AB69" s="298"/>
      <c r="AC69" s="298"/>
      <c r="AD69" s="298"/>
      <c r="AE69" s="298"/>
      <c r="AF69" s="298"/>
      <c r="AG69" s="298"/>
      <c r="AH69" s="298"/>
      <c r="AI69" s="298"/>
      <c r="AJ69" s="298"/>
      <c r="AK69" s="298"/>
      <c r="AL69" s="298"/>
      <c r="AM69" s="298"/>
      <c r="AN69" s="298"/>
      <c r="AO69" s="298"/>
      <c r="AP69" s="298"/>
      <c r="AQ69" s="298"/>
      <c r="AR69" s="298"/>
      <c r="AS69" s="298"/>
      <c r="AT69" s="298"/>
      <c r="AU69" s="298"/>
      <c r="AV69" s="298"/>
      <c r="AW69" s="298"/>
      <c r="AX69" s="298"/>
      <c r="AY69" s="298"/>
      <c r="AZ69" s="298"/>
      <c r="BA69" s="298"/>
      <c r="BB69" s="298"/>
      <c r="BC69" s="298"/>
      <c r="BD69" s="298"/>
      <c r="BE69" s="299"/>
      <c r="BF69" s="251"/>
      <c r="BG69" s="251"/>
      <c r="BH69" s="251"/>
      <c r="BI69" s="251"/>
      <c r="BJ69" s="251"/>
      <c r="BK69" s="251"/>
      <c r="BL69" s="251"/>
      <c r="BM69" s="251"/>
      <c r="BN69" s="251"/>
      <c r="BO69" s="251"/>
      <c r="BP69" s="251"/>
      <c r="BQ69" s="251"/>
      <c r="BR69" s="251"/>
      <c r="BS69" s="251"/>
      <c r="BT69" s="251"/>
      <c r="BU69" s="252"/>
      <c r="BV69" s="263"/>
      <c r="BW69" s="251"/>
      <c r="BX69" s="264"/>
      <c r="BY69" s="268"/>
      <c r="BZ69" s="269"/>
      <c r="CA69" s="269"/>
      <c r="CB69" s="269"/>
      <c r="CC69" s="269"/>
      <c r="CD69" s="269"/>
      <c r="CE69" s="269"/>
      <c r="CF69" s="269"/>
      <c r="CG69" s="269"/>
      <c r="CH69" s="269"/>
      <c r="CI69" s="269"/>
      <c r="CJ69" s="269"/>
      <c r="CK69" s="270"/>
      <c r="CL69" s="271"/>
      <c r="CM69" s="252"/>
    </row>
    <row r="70" spans="1:91" ht="12" customHeight="1">
      <c r="A70" s="55"/>
      <c r="B70" s="56"/>
      <c r="C70" s="56"/>
      <c r="D70" s="56"/>
      <c r="E70" s="57"/>
      <c r="F70" s="58"/>
      <c r="G70" s="58"/>
      <c r="H70" s="58"/>
      <c r="I70" s="59"/>
      <c r="BL70" s="17"/>
      <c r="BM70" s="17"/>
      <c r="BN70" s="17"/>
      <c r="BO70" s="17"/>
      <c r="BP70" s="17"/>
      <c r="BQ70" s="17"/>
      <c r="BR70" s="17"/>
      <c r="BS70" s="17"/>
      <c r="BT70" s="61"/>
      <c r="CD70" s="57"/>
      <c r="CE70" s="57"/>
      <c r="CF70" s="57"/>
      <c r="CG70" s="57"/>
      <c r="CH70" s="57"/>
      <c r="CI70" s="57"/>
      <c r="CJ70" s="57"/>
      <c r="CK70" s="57"/>
      <c r="CL70" s="57"/>
      <c r="CM70" s="57"/>
    </row>
  </sheetData>
  <mergeCells count="45"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BV64:CM66"/>
    <mergeCell ref="A65:C65"/>
    <mergeCell ref="E65:G65"/>
    <mergeCell ref="A66:C66"/>
    <mergeCell ref="E66:G66"/>
    <mergeCell ref="A67:C67"/>
    <mergeCell ref="E67:G67"/>
    <mergeCell ref="BF67:BU67"/>
    <mergeCell ref="BV67:BX67"/>
    <mergeCell ref="BY67:CK67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BF64:BU66"/>
    <mergeCell ref="G7:G9"/>
    <mergeCell ref="H7:H9"/>
    <mergeCell ref="I7:K7"/>
    <mergeCell ref="J8:K8"/>
    <mergeCell ref="A61:C61"/>
    <mergeCell ref="E61:G61"/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29" orientation="landscape" r:id="rId1"/>
  <headerFooter alignWithMargins="0">
    <oddFooter xml:space="preserve">&amp;L&amp;Z&amp;F&amp;C&amp;D&amp;RConcise DesignShutdown Key 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DQ70"/>
  <sheetViews>
    <sheetView showGridLines="0" view="pageBreakPreview" topLeftCell="C1" zoomScale="50" zoomScaleNormal="50" zoomScaleSheetLayoutView="50" zoomScalePageLayoutView="50" workbookViewId="0">
      <selection activeCell="I1" sqref="I1:K9"/>
    </sheetView>
  </sheetViews>
  <sheetFormatPr defaultColWidth="12.7109375" defaultRowHeight="12" customHeight="1"/>
  <cols>
    <col min="1" max="1" width="8.7109375" style="21" hidden="1" customWidth="1"/>
    <col min="2" max="2" width="7.42578125" style="21" hidden="1" customWidth="1"/>
    <col min="3" max="3" width="19" style="21" customWidth="1"/>
    <col min="4" max="4" width="25.42578125" style="21" hidden="1" customWidth="1"/>
    <col min="5" max="5" width="95.85546875" style="27" bestFit="1" customWidth="1"/>
    <col min="6" max="6" width="18.42578125" style="196" hidden="1" customWidth="1"/>
    <col min="7" max="7" width="31.5703125" style="196" bestFit="1" customWidth="1"/>
    <col min="8" max="8" width="33" style="196" bestFit="1" customWidth="1"/>
    <col min="9" max="10" width="8.42578125" style="41" customWidth="1"/>
    <col min="11" max="11" width="10.85546875" style="41" bestFit="1" customWidth="1"/>
    <col min="12" max="12" width="6.140625" style="60" hidden="1" customWidth="1"/>
    <col min="13" max="14" width="6.140625" style="27" customWidth="1"/>
    <col min="15" max="16" width="6.140625" style="27" hidden="1" customWidth="1"/>
    <col min="17" max="21" width="6.140625" style="27" customWidth="1"/>
    <col min="22" max="22" width="6.140625" style="60" customWidth="1"/>
    <col min="23" max="31" width="6.140625" style="27" customWidth="1"/>
    <col min="32" max="32" width="6.140625" style="60" customWidth="1"/>
    <col min="33" max="41" width="6.140625" style="27" customWidth="1"/>
    <col min="42" max="42" width="6.140625" style="60" customWidth="1"/>
    <col min="43" max="51" width="6.140625" style="27" customWidth="1"/>
    <col min="52" max="52" width="6.140625" style="60" customWidth="1"/>
    <col min="53" max="61" width="6.140625" style="27" customWidth="1"/>
    <col min="62" max="62" width="6.140625" style="60" customWidth="1"/>
    <col min="63" max="71" width="6.140625" style="27" customWidth="1"/>
    <col min="72" max="72" width="6.140625" style="60" customWidth="1"/>
    <col min="73" max="80" width="6.140625" style="27" customWidth="1"/>
    <col min="81" max="81" width="6.140625" style="62" customWidth="1"/>
    <col min="82" max="91" width="6.140625" style="27" customWidth="1"/>
    <col min="92" max="16384" width="12.7109375" style="27"/>
  </cols>
  <sheetData>
    <row r="1" spans="1:121" s="194" customFormat="1" ht="20.25" customHeight="1">
      <c r="A1" s="15"/>
      <c r="B1" s="16"/>
      <c r="C1" s="16"/>
      <c r="D1" s="16"/>
      <c r="E1" s="17"/>
      <c r="F1" s="195"/>
      <c r="G1" s="195"/>
      <c r="H1" s="195"/>
      <c r="I1" s="18"/>
      <c r="J1" s="19" t="s">
        <v>13</v>
      </c>
      <c r="K1" s="20"/>
      <c r="L1" s="407">
        <v>1</v>
      </c>
      <c r="M1" s="402">
        <v>2</v>
      </c>
      <c r="N1" s="402">
        <v>3</v>
      </c>
      <c r="O1" s="402">
        <v>4</v>
      </c>
      <c r="P1" s="408">
        <v>6</v>
      </c>
      <c r="Q1" s="407">
        <v>7</v>
      </c>
      <c r="R1" s="402">
        <v>238</v>
      </c>
      <c r="S1" s="402">
        <v>889</v>
      </c>
      <c r="T1" s="402">
        <v>887</v>
      </c>
      <c r="U1" s="409">
        <v>888</v>
      </c>
      <c r="V1" s="401">
        <v>231</v>
      </c>
      <c r="W1" s="403">
        <v>7777</v>
      </c>
      <c r="X1" s="403"/>
      <c r="Y1" s="403"/>
      <c r="Z1" s="406"/>
      <c r="AA1" s="410"/>
      <c r="AB1" s="403"/>
      <c r="AC1" s="403"/>
      <c r="AD1" s="403"/>
      <c r="AE1" s="404"/>
      <c r="AF1" s="405"/>
      <c r="AG1" s="403"/>
      <c r="AH1" s="403"/>
      <c r="AI1" s="403"/>
      <c r="AJ1" s="406"/>
      <c r="AK1" s="410"/>
      <c r="AL1" s="403"/>
      <c r="AM1" s="403"/>
      <c r="AN1" s="403"/>
      <c r="AO1" s="404"/>
      <c r="AP1" s="405"/>
      <c r="AQ1" s="403"/>
      <c r="AR1" s="403"/>
      <c r="AS1" s="403"/>
      <c r="AT1" s="406"/>
      <c r="AU1" s="410"/>
      <c r="AV1" s="403"/>
      <c r="AW1" s="403"/>
      <c r="AX1" s="403"/>
      <c r="AY1" s="404"/>
      <c r="AZ1" s="405"/>
      <c r="BA1" s="403"/>
      <c r="BB1" s="403"/>
      <c r="BC1" s="403"/>
      <c r="BD1" s="406"/>
      <c r="BE1" s="410"/>
      <c r="BF1" s="403"/>
      <c r="BG1" s="403"/>
      <c r="BH1" s="403"/>
      <c r="BI1" s="404"/>
      <c r="BJ1" s="405"/>
      <c r="BK1" s="403"/>
      <c r="BL1" s="403"/>
      <c r="BM1" s="403"/>
      <c r="BN1" s="406"/>
      <c r="BO1" s="410"/>
      <c r="BP1" s="403"/>
      <c r="BQ1" s="403"/>
      <c r="BR1" s="403"/>
      <c r="BS1" s="404"/>
      <c r="BT1" s="405"/>
      <c r="BU1" s="403"/>
      <c r="BV1" s="403"/>
      <c r="BW1" s="403"/>
      <c r="BX1" s="406"/>
      <c r="BY1" s="410"/>
      <c r="BZ1" s="403"/>
      <c r="CA1" s="403"/>
      <c r="CB1" s="403"/>
      <c r="CC1" s="404"/>
      <c r="CD1" s="405"/>
      <c r="CE1" s="403"/>
      <c r="CF1" s="403"/>
      <c r="CG1" s="403"/>
      <c r="CH1" s="404"/>
      <c r="CI1" s="405"/>
      <c r="CJ1" s="403"/>
      <c r="CK1" s="403"/>
      <c r="CL1" s="403"/>
      <c r="CM1" s="406"/>
      <c r="CN1" s="21"/>
      <c r="CO1" s="21"/>
      <c r="CP1" s="21"/>
      <c r="CQ1" s="21"/>
      <c r="CR1" s="21"/>
      <c r="CS1" s="21"/>
      <c r="CT1" s="21"/>
      <c r="CU1" s="21"/>
      <c r="CV1" s="21"/>
      <c r="CW1" s="21"/>
      <c r="CX1" s="21"/>
      <c r="CY1" s="21"/>
      <c r="CZ1" s="21"/>
      <c r="DA1" s="21"/>
      <c r="DB1" s="21"/>
      <c r="DC1" s="21"/>
      <c r="DD1" s="21"/>
      <c r="DE1" s="21"/>
      <c r="DF1" s="21"/>
      <c r="DG1" s="21"/>
      <c r="DH1" s="21"/>
      <c r="DI1" s="21"/>
      <c r="DJ1" s="21"/>
      <c r="DK1" s="21"/>
      <c r="DL1" s="21"/>
      <c r="DM1" s="21"/>
      <c r="DN1" s="21"/>
      <c r="DO1" s="21"/>
      <c r="DP1" s="21"/>
      <c r="DQ1" s="21"/>
    </row>
    <row r="2" spans="1:121" s="194" customFormat="1" ht="24" customHeight="1" thickBot="1">
      <c r="A2" s="22"/>
      <c r="B2" s="21"/>
      <c r="C2" s="21"/>
      <c r="D2" s="21"/>
      <c r="F2" s="196"/>
      <c r="G2" s="196"/>
      <c r="H2" s="196"/>
      <c r="I2" s="23"/>
      <c r="J2" s="24" t="s">
        <v>14</v>
      </c>
      <c r="K2" s="25"/>
      <c r="L2" s="388" t="s">
        <v>11</v>
      </c>
      <c r="M2" s="387" t="s">
        <v>11</v>
      </c>
      <c r="N2" s="387" t="s">
        <v>11</v>
      </c>
      <c r="O2" s="387" t="s">
        <v>11</v>
      </c>
      <c r="P2" s="389" t="s">
        <v>11</v>
      </c>
      <c r="Q2" s="388" t="s">
        <v>77</v>
      </c>
      <c r="R2" s="387" t="s">
        <v>11</v>
      </c>
      <c r="S2" s="387" t="s">
        <v>11</v>
      </c>
      <c r="T2" s="387" t="s">
        <v>11</v>
      </c>
      <c r="U2" s="390" t="s">
        <v>11</v>
      </c>
      <c r="V2" s="386" t="s">
        <v>11</v>
      </c>
      <c r="W2" s="372" t="s">
        <v>11</v>
      </c>
      <c r="X2" s="372"/>
      <c r="Y2" s="372"/>
      <c r="Z2" s="373"/>
      <c r="AA2" s="374"/>
      <c r="AB2" s="372"/>
      <c r="AC2" s="372"/>
      <c r="AD2" s="372"/>
      <c r="AE2" s="371"/>
      <c r="AF2" s="375"/>
      <c r="AG2" s="372"/>
      <c r="AH2" s="372"/>
      <c r="AI2" s="372"/>
      <c r="AJ2" s="373"/>
      <c r="AK2" s="374"/>
      <c r="AL2" s="372"/>
      <c r="AM2" s="372"/>
      <c r="AN2" s="372"/>
      <c r="AO2" s="371"/>
      <c r="AP2" s="375"/>
      <c r="AQ2" s="372"/>
      <c r="AR2" s="372"/>
      <c r="AS2" s="372"/>
      <c r="AT2" s="373"/>
      <c r="AU2" s="374"/>
      <c r="AV2" s="372"/>
      <c r="AW2" s="372"/>
      <c r="AX2" s="372"/>
      <c r="AY2" s="371"/>
      <c r="AZ2" s="375"/>
      <c r="BA2" s="372"/>
      <c r="BB2" s="372"/>
      <c r="BC2" s="372"/>
      <c r="BD2" s="373"/>
      <c r="BE2" s="374"/>
      <c r="BF2" s="372"/>
      <c r="BG2" s="372"/>
      <c r="BH2" s="372"/>
      <c r="BI2" s="371"/>
      <c r="BJ2" s="375"/>
      <c r="BK2" s="372"/>
      <c r="BL2" s="372"/>
      <c r="BM2" s="372"/>
      <c r="BN2" s="373"/>
      <c r="BO2" s="374"/>
      <c r="BP2" s="372"/>
      <c r="BQ2" s="372"/>
      <c r="BR2" s="372"/>
      <c r="BS2" s="371"/>
      <c r="BT2" s="375"/>
      <c r="BU2" s="372"/>
      <c r="BV2" s="372"/>
      <c r="BW2" s="372"/>
      <c r="BX2" s="373"/>
      <c r="BY2" s="374"/>
      <c r="BZ2" s="372"/>
      <c r="CA2" s="372"/>
      <c r="CB2" s="372"/>
      <c r="CC2" s="371"/>
      <c r="CD2" s="375"/>
      <c r="CE2" s="372"/>
      <c r="CF2" s="372"/>
      <c r="CG2" s="372"/>
      <c r="CH2" s="371"/>
      <c r="CI2" s="375"/>
      <c r="CJ2" s="372"/>
      <c r="CK2" s="372"/>
      <c r="CL2" s="372"/>
      <c r="CM2" s="373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  <c r="DO2" s="26"/>
      <c r="DP2" s="26"/>
      <c r="DQ2" s="21"/>
    </row>
    <row r="3" spans="1:121" ht="111" customHeight="1">
      <c r="A3" s="22"/>
      <c r="I3" s="307" t="s">
        <v>15</v>
      </c>
      <c r="J3" s="308"/>
      <c r="K3" s="309"/>
      <c r="L3" s="421" t="s">
        <v>76</v>
      </c>
      <c r="M3" s="422" t="s">
        <v>76</v>
      </c>
      <c r="N3" s="422" t="s">
        <v>76</v>
      </c>
      <c r="O3" s="422" t="s">
        <v>76</v>
      </c>
      <c r="P3" s="423" t="s">
        <v>76</v>
      </c>
      <c r="Q3" s="421"/>
      <c r="R3" s="422" t="s">
        <v>16</v>
      </c>
      <c r="S3" s="422" t="s">
        <v>44</v>
      </c>
      <c r="T3" s="422" t="s">
        <v>44</v>
      </c>
      <c r="U3" s="424" t="s">
        <v>44</v>
      </c>
      <c r="V3" s="425" t="s">
        <v>44</v>
      </c>
      <c r="W3" s="372" t="s">
        <v>93</v>
      </c>
      <c r="X3" s="372"/>
      <c r="Y3" s="372"/>
      <c r="Z3" s="373"/>
      <c r="AA3" s="374"/>
      <c r="AB3" s="372"/>
      <c r="AC3" s="372"/>
      <c r="AD3" s="372"/>
      <c r="AE3" s="371"/>
      <c r="AF3" s="375"/>
      <c r="AG3" s="372"/>
      <c r="AH3" s="372"/>
      <c r="AI3" s="372"/>
      <c r="AJ3" s="373"/>
      <c r="AK3" s="374"/>
      <c r="AL3" s="372"/>
      <c r="AM3" s="372"/>
      <c r="AN3" s="372"/>
      <c r="AO3" s="371"/>
      <c r="AP3" s="375"/>
      <c r="AQ3" s="372"/>
      <c r="AR3" s="372"/>
      <c r="AS3" s="372"/>
      <c r="AT3" s="373"/>
      <c r="AU3" s="374"/>
      <c r="AV3" s="372"/>
      <c r="AW3" s="372"/>
      <c r="AX3" s="372"/>
      <c r="AY3" s="371"/>
      <c r="AZ3" s="375"/>
      <c r="BA3" s="372"/>
      <c r="BB3" s="372"/>
      <c r="BC3" s="372"/>
      <c r="BD3" s="373"/>
      <c r="BE3" s="374"/>
      <c r="BF3" s="372"/>
      <c r="BG3" s="372"/>
      <c r="BH3" s="372"/>
      <c r="BI3" s="371"/>
      <c r="BJ3" s="375"/>
      <c r="BK3" s="372"/>
      <c r="BL3" s="372"/>
      <c r="BM3" s="372"/>
      <c r="BN3" s="373"/>
      <c r="BO3" s="374"/>
      <c r="BP3" s="372"/>
      <c r="BQ3" s="372"/>
      <c r="BR3" s="372"/>
      <c r="BS3" s="371"/>
      <c r="BT3" s="375"/>
      <c r="BU3" s="372"/>
      <c r="BV3" s="372"/>
      <c r="BW3" s="372"/>
      <c r="BX3" s="373"/>
      <c r="BY3" s="374"/>
      <c r="BZ3" s="372"/>
      <c r="CA3" s="372"/>
      <c r="CB3" s="372"/>
      <c r="CC3" s="371"/>
      <c r="CD3" s="375"/>
      <c r="CE3" s="372"/>
      <c r="CF3" s="372"/>
      <c r="CG3" s="372"/>
      <c r="CH3" s="371"/>
      <c r="CI3" s="375"/>
      <c r="CJ3" s="372"/>
      <c r="CK3" s="372"/>
      <c r="CL3" s="372"/>
      <c r="CM3" s="373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</row>
    <row r="4" spans="1:121" s="29" customFormat="1" ht="156.75" customHeight="1">
      <c r="A4" s="22"/>
      <c r="B4" s="21"/>
      <c r="C4" s="21"/>
      <c r="D4" s="21"/>
      <c r="F4" s="21"/>
      <c r="G4" s="21"/>
      <c r="H4" s="30"/>
      <c r="I4" s="310" t="s">
        <v>17</v>
      </c>
      <c r="J4" s="311"/>
      <c r="K4" s="312"/>
      <c r="L4" s="421" t="s">
        <v>76</v>
      </c>
      <c r="M4" s="422" t="s">
        <v>76</v>
      </c>
      <c r="N4" s="422" t="s">
        <v>76</v>
      </c>
      <c r="O4" s="422" t="s">
        <v>76</v>
      </c>
      <c r="P4" s="423" t="s">
        <v>76</v>
      </c>
      <c r="Q4" s="421" t="s">
        <v>77</v>
      </c>
      <c r="R4" s="422" t="s">
        <v>76</v>
      </c>
      <c r="S4" s="422" t="s">
        <v>76</v>
      </c>
      <c r="T4" s="422" t="s">
        <v>76</v>
      </c>
      <c r="U4" s="424" t="s">
        <v>76</v>
      </c>
      <c r="V4" s="425" t="s">
        <v>76</v>
      </c>
      <c r="W4" s="372" t="s">
        <v>93</v>
      </c>
      <c r="X4" s="372"/>
      <c r="Y4" s="372"/>
      <c r="Z4" s="373"/>
      <c r="AA4" s="374"/>
      <c r="AB4" s="372"/>
      <c r="AC4" s="372"/>
      <c r="AD4" s="372"/>
      <c r="AE4" s="371"/>
      <c r="AF4" s="375"/>
      <c r="AG4" s="372"/>
      <c r="AH4" s="372"/>
      <c r="AI4" s="372"/>
      <c r="AJ4" s="373"/>
      <c r="AK4" s="374"/>
      <c r="AL4" s="372"/>
      <c r="AM4" s="372"/>
      <c r="AN4" s="372"/>
      <c r="AO4" s="371"/>
      <c r="AP4" s="375"/>
      <c r="AQ4" s="372"/>
      <c r="AR4" s="372"/>
      <c r="AS4" s="372"/>
      <c r="AT4" s="373"/>
      <c r="AU4" s="374"/>
      <c r="AV4" s="372"/>
      <c r="AW4" s="372"/>
      <c r="AX4" s="372"/>
      <c r="AY4" s="371"/>
      <c r="AZ4" s="375"/>
      <c r="BA4" s="372"/>
      <c r="BB4" s="372"/>
      <c r="BC4" s="372"/>
      <c r="BD4" s="373"/>
      <c r="BE4" s="374"/>
      <c r="BF4" s="372"/>
      <c r="BG4" s="372"/>
      <c r="BH4" s="372"/>
      <c r="BI4" s="371"/>
      <c r="BJ4" s="375"/>
      <c r="BK4" s="372"/>
      <c r="BL4" s="372"/>
      <c r="BM4" s="372"/>
      <c r="BN4" s="373"/>
      <c r="BO4" s="374"/>
      <c r="BP4" s="372"/>
      <c r="BQ4" s="372"/>
      <c r="BR4" s="372"/>
      <c r="BS4" s="371"/>
      <c r="BT4" s="375"/>
      <c r="BU4" s="372"/>
      <c r="BV4" s="372"/>
      <c r="BW4" s="372"/>
      <c r="BX4" s="373"/>
      <c r="BY4" s="374"/>
      <c r="BZ4" s="372"/>
      <c r="CA4" s="372"/>
      <c r="CB4" s="372"/>
      <c r="CC4" s="371"/>
      <c r="CD4" s="375"/>
      <c r="CE4" s="372"/>
      <c r="CF4" s="372"/>
      <c r="CG4" s="372"/>
      <c r="CH4" s="371"/>
      <c r="CI4" s="375"/>
      <c r="CJ4" s="372"/>
      <c r="CK4" s="372"/>
      <c r="CL4" s="372"/>
      <c r="CM4" s="373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6"/>
      <c r="DF4" s="28"/>
      <c r="DG4" s="26"/>
      <c r="DH4" s="28"/>
      <c r="DI4" s="26"/>
      <c r="DJ4" s="28"/>
      <c r="DK4" s="26"/>
      <c r="DL4" s="28"/>
      <c r="DM4" s="26"/>
      <c r="DN4" s="28"/>
      <c r="DO4" s="26"/>
      <c r="DP4" s="28"/>
      <c r="DQ4" s="28"/>
    </row>
    <row r="5" spans="1:121" s="21" customFormat="1" ht="408" customHeight="1">
      <c r="A5" s="22"/>
      <c r="H5" s="30" t="s">
        <v>18</v>
      </c>
      <c r="I5" s="203" t="s">
        <v>7</v>
      </c>
      <c r="J5" s="204"/>
      <c r="K5" s="313"/>
      <c r="L5" s="426" t="s">
        <v>69</v>
      </c>
      <c r="M5" s="427" t="s">
        <v>72</v>
      </c>
      <c r="N5" s="427" t="s">
        <v>71</v>
      </c>
      <c r="O5" s="427" t="s">
        <v>83</v>
      </c>
      <c r="P5" s="428" t="s">
        <v>82</v>
      </c>
      <c r="Q5" s="426"/>
      <c r="R5" s="427" t="s">
        <v>56</v>
      </c>
      <c r="S5" s="427" t="s">
        <v>59</v>
      </c>
      <c r="T5" s="427" t="s">
        <v>57</v>
      </c>
      <c r="U5" s="429" t="s">
        <v>58</v>
      </c>
      <c r="V5" s="430" t="s">
        <v>55</v>
      </c>
      <c r="W5" s="372" t="s">
        <v>93</v>
      </c>
      <c r="X5" s="372"/>
      <c r="Y5" s="372"/>
      <c r="Z5" s="373"/>
      <c r="AA5" s="374"/>
      <c r="AB5" s="372"/>
      <c r="AC5" s="372"/>
      <c r="AD5" s="372"/>
      <c r="AE5" s="371"/>
      <c r="AF5" s="375"/>
      <c r="AG5" s="372"/>
      <c r="AH5" s="372"/>
      <c r="AI5" s="372"/>
      <c r="AJ5" s="373"/>
      <c r="AK5" s="374"/>
      <c r="AL5" s="372"/>
      <c r="AM5" s="372"/>
      <c r="AN5" s="372"/>
      <c r="AO5" s="371"/>
      <c r="AP5" s="375"/>
      <c r="AQ5" s="372"/>
      <c r="AR5" s="372"/>
      <c r="AS5" s="372"/>
      <c r="AT5" s="373"/>
      <c r="AU5" s="374"/>
      <c r="AV5" s="372"/>
      <c r="AW5" s="372"/>
      <c r="AX5" s="372"/>
      <c r="AY5" s="371"/>
      <c r="AZ5" s="375"/>
      <c r="BA5" s="372"/>
      <c r="BB5" s="372"/>
      <c r="BC5" s="372"/>
      <c r="BD5" s="373"/>
      <c r="BE5" s="374"/>
      <c r="BF5" s="372"/>
      <c r="BG5" s="372"/>
      <c r="BH5" s="372"/>
      <c r="BI5" s="371"/>
      <c r="BJ5" s="375"/>
      <c r="BK5" s="372"/>
      <c r="BL5" s="372"/>
      <c r="BM5" s="372"/>
      <c r="BN5" s="373"/>
      <c r="BO5" s="374"/>
      <c r="BP5" s="372"/>
      <c r="BQ5" s="372"/>
      <c r="BR5" s="372"/>
      <c r="BS5" s="371"/>
      <c r="BT5" s="375"/>
      <c r="BU5" s="372"/>
      <c r="BV5" s="372"/>
      <c r="BW5" s="372"/>
      <c r="BX5" s="373"/>
      <c r="BY5" s="374"/>
      <c r="BZ5" s="372"/>
      <c r="CA5" s="372"/>
      <c r="CB5" s="372"/>
      <c r="CC5" s="371"/>
      <c r="CD5" s="375"/>
      <c r="CE5" s="372"/>
      <c r="CF5" s="372"/>
      <c r="CG5" s="372"/>
      <c r="CH5" s="371"/>
      <c r="CI5" s="375"/>
      <c r="CJ5" s="372"/>
      <c r="CK5" s="372"/>
      <c r="CL5" s="372"/>
      <c r="CM5" s="373"/>
      <c r="CN5" s="31"/>
      <c r="CO5" s="32"/>
      <c r="CP5" s="31"/>
      <c r="CQ5" s="32"/>
      <c r="CR5" s="31"/>
      <c r="CS5" s="32"/>
      <c r="CT5" s="31"/>
      <c r="CU5" s="32"/>
      <c r="CV5" s="31"/>
      <c r="CW5" s="33"/>
      <c r="CX5" s="31"/>
      <c r="CY5" s="33"/>
      <c r="CZ5" s="31"/>
      <c r="DA5" s="31"/>
      <c r="DB5" s="31"/>
      <c r="DC5" s="32"/>
      <c r="DD5" s="31"/>
      <c r="DE5" s="31"/>
      <c r="DF5" s="31"/>
      <c r="DG5" s="31"/>
      <c r="DH5" s="31"/>
      <c r="DI5" s="31"/>
      <c r="DJ5" s="31"/>
      <c r="DK5" s="32"/>
      <c r="DL5" s="31"/>
      <c r="DM5" s="33"/>
      <c r="DN5" s="31"/>
      <c r="DO5" s="31"/>
      <c r="DP5" s="31"/>
      <c r="DQ5" s="33"/>
    </row>
    <row r="6" spans="1:121" s="21" customFormat="1" ht="140.25" customHeight="1" thickBot="1">
      <c r="A6" s="22"/>
      <c r="D6" s="197"/>
      <c r="E6" s="197" t="s">
        <v>19</v>
      </c>
      <c r="I6" s="232" t="s">
        <v>20</v>
      </c>
      <c r="J6" s="233"/>
      <c r="K6" s="314"/>
      <c r="L6" s="431" t="s">
        <v>66</v>
      </c>
      <c r="M6" s="432" t="s">
        <v>64</v>
      </c>
      <c r="N6" s="432" t="s">
        <v>65</v>
      </c>
      <c r="O6" s="432" t="s">
        <v>67</v>
      </c>
      <c r="P6" s="433" t="s">
        <v>68</v>
      </c>
      <c r="Q6" s="431"/>
      <c r="R6" s="432" t="s">
        <v>21</v>
      </c>
      <c r="S6" s="432" t="s">
        <v>63</v>
      </c>
      <c r="T6" s="432" t="s">
        <v>61</v>
      </c>
      <c r="U6" s="434" t="s">
        <v>62</v>
      </c>
      <c r="V6" s="435" t="s">
        <v>60</v>
      </c>
      <c r="W6" s="393" t="s">
        <v>92</v>
      </c>
      <c r="X6" s="393"/>
      <c r="Y6" s="393"/>
      <c r="Z6" s="396"/>
      <c r="AA6" s="400"/>
      <c r="AB6" s="393"/>
      <c r="AC6" s="393"/>
      <c r="AD6" s="393"/>
      <c r="AE6" s="394"/>
      <c r="AF6" s="395"/>
      <c r="AG6" s="393"/>
      <c r="AH6" s="393"/>
      <c r="AI6" s="393"/>
      <c r="AJ6" s="396"/>
      <c r="AK6" s="400"/>
      <c r="AL6" s="393"/>
      <c r="AM6" s="393"/>
      <c r="AN6" s="393"/>
      <c r="AO6" s="394"/>
      <c r="AP6" s="395"/>
      <c r="AQ6" s="393"/>
      <c r="AR6" s="393"/>
      <c r="AS6" s="393"/>
      <c r="AT6" s="396"/>
      <c r="AU6" s="400"/>
      <c r="AV6" s="393"/>
      <c r="AW6" s="393"/>
      <c r="AX6" s="393"/>
      <c r="AY6" s="394"/>
      <c r="AZ6" s="395"/>
      <c r="BA6" s="393"/>
      <c r="BB6" s="393"/>
      <c r="BC6" s="393"/>
      <c r="BD6" s="396"/>
      <c r="BE6" s="400"/>
      <c r="BF6" s="393"/>
      <c r="BG6" s="393"/>
      <c r="BH6" s="393"/>
      <c r="BI6" s="394"/>
      <c r="BJ6" s="395"/>
      <c r="BK6" s="393"/>
      <c r="BL6" s="393"/>
      <c r="BM6" s="393"/>
      <c r="BN6" s="396"/>
      <c r="BO6" s="400"/>
      <c r="BP6" s="393"/>
      <c r="BQ6" s="393"/>
      <c r="BR6" s="393"/>
      <c r="BS6" s="394"/>
      <c r="BT6" s="395"/>
      <c r="BU6" s="393"/>
      <c r="BV6" s="393"/>
      <c r="BW6" s="393"/>
      <c r="BX6" s="396"/>
      <c r="BY6" s="400"/>
      <c r="BZ6" s="393"/>
      <c r="CA6" s="393"/>
      <c r="CB6" s="393"/>
      <c r="CC6" s="394"/>
      <c r="CD6" s="395"/>
      <c r="CE6" s="393"/>
      <c r="CF6" s="393"/>
      <c r="CG6" s="393"/>
      <c r="CH6" s="394"/>
      <c r="CI6" s="395"/>
      <c r="CJ6" s="393"/>
      <c r="CK6" s="393"/>
      <c r="CL6" s="393"/>
      <c r="CM6" s="396"/>
      <c r="CN6" s="28"/>
      <c r="CO6" s="28"/>
      <c r="CP6" s="28"/>
      <c r="CQ6" s="34"/>
      <c r="CR6" s="33"/>
      <c r="CS6" s="33"/>
      <c r="CT6" s="34"/>
      <c r="CU6" s="35"/>
      <c r="CV6" s="36"/>
      <c r="CW6" s="37"/>
      <c r="CX6" s="37"/>
      <c r="CY6" s="37"/>
      <c r="CZ6" s="38"/>
      <c r="DA6" s="39"/>
      <c r="DB6" s="39"/>
      <c r="DC6" s="39"/>
      <c r="DD6" s="28"/>
      <c r="DE6" s="39"/>
      <c r="DF6" s="40"/>
      <c r="DG6" s="39"/>
      <c r="DH6" s="40"/>
      <c r="DI6" s="39"/>
      <c r="DJ6" s="40"/>
      <c r="DK6" s="39"/>
      <c r="DL6" s="40"/>
      <c r="DM6" s="39"/>
      <c r="DN6" s="40"/>
      <c r="DO6" s="39"/>
      <c r="DP6" s="40"/>
      <c r="DQ6" s="40"/>
    </row>
    <row r="7" spans="1:121" s="41" customFormat="1" ht="25.5" customHeight="1">
      <c r="A7" s="221" t="s">
        <v>22</v>
      </c>
      <c r="B7" s="212" t="s">
        <v>23</v>
      </c>
      <c r="C7" s="212" t="s">
        <v>24</v>
      </c>
      <c r="D7" s="212" t="s">
        <v>25</v>
      </c>
      <c r="E7" s="212" t="s">
        <v>7</v>
      </c>
      <c r="F7" s="212" t="s">
        <v>26</v>
      </c>
      <c r="G7" s="212" t="s">
        <v>20</v>
      </c>
      <c r="H7" s="225" t="s">
        <v>27</v>
      </c>
      <c r="I7" s="318" t="s">
        <v>28</v>
      </c>
      <c r="J7" s="212"/>
      <c r="K7" s="319"/>
      <c r="L7" s="407"/>
      <c r="M7" s="402"/>
      <c r="N7" s="402"/>
      <c r="O7" s="402"/>
      <c r="P7" s="408"/>
      <c r="Q7" s="407"/>
      <c r="R7" s="402"/>
      <c r="S7" s="402"/>
      <c r="T7" s="402"/>
      <c r="U7" s="409"/>
      <c r="V7" s="401"/>
      <c r="W7" s="403" t="s">
        <v>93</v>
      </c>
      <c r="X7" s="403"/>
      <c r="Y7" s="403"/>
      <c r="Z7" s="406"/>
      <c r="AA7" s="410"/>
      <c r="AB7" s="403"/>
      <c r="AC7" s="403"/>
      <c r="AD7" s="403"/>
      <c r="AE7" s="404"/>
      <c r="AF7" s="405"/>
      <c r="AG7" s="403"/>
      <c r="AH7" s="403"/>
      <c r="AI7" s="403"/>
      <c r="AJ7" s="406"/>
      <c r="AK7" s="410"/>
      <c r="AL7" s="403"/>
      <c r="AM7" s="403"/>
      <c r="AN7" s="403"/>
      <c r="AO7" s="404"/>
      <c r="AP7" s="405"/>
      <c r="AQ7" s="403"/>
      <c r="AR7" s="403"/>
      <c r="AS7" s="403"/>
      <c r="AT7" s="406"/>
      <c r="AU7" s="410"/>
      <c r="AV7" s="403"/>
      <c r="AW7" s="403"/>
      <c r="AX7" s="403"/>
      <c r="AY7" s="404"/>
      <c r="AZ7" s="405"/>
      <c r="BA7" s="403"/>
      <c r="BB7" s="403"/>
      <c r="BC7" s="403"/>
      <c r="BD7" s="406"/>
      <c r="BE7" s="410"/>
      <c r="BF7" s="403"/>
      <c r="BG7" s="403"/>
      <c r="BH7" s="403"/>
      <c r="BI7" s="404"/>
      <c r="BJ7" s="405"/>
      <c r="BK7" s="403"/>
      <c r="BL7" s="403"/>
      <c r="BM7" s="403"/>
      <c r="BN7" s="406"/>
      <c r="BO7" s="410"/>
      <c r="BP7" s="403"/>
      <c r="BQ7" s="403"/>
      <c r="BR7" s="403"/>
      <c r="BS7" s="404"/>
      <c r="BT7" s="405"/>
      <c r="BU7" s="403"/>
      <c r="BV7" s="403"/>
      <c r="BW7" s="403"/>
      <c r="BX7" s="406"/>
      <c r="BY7" s="410"/>
      <c r="BZ7" s="403"/>
      <c r="CA7" s="403"/>
      <c r="CB7" s="403"/>
      <c r="CC7" s="404"/>
      <c r="CD7" s="405"/>
      <c r="CE7" s="403"/>
      <c r="CF7" s="403"/>
      <c r="CG7" s="403"/>
      <c r="CH7" s="404"/>
      <c r="CI7" s="405"/>
      <c r="CJ7" s="403"/>
      <c r="CK7" s="403"/>
      <c r="CL7" s="403"/>
      <c r="CM7" s="406"/>
    </row>
    <row r="8" spans="1:121" s="41" customFormat="1" ht="25.5" customHeight="1">
      <c r="A8" s="222"/>
      <c r="B8" s="213"/>
      <c r="C8" s="213"/>
      <c r="D8" s="213"/>
      <c r="E8" s="213"/>
      <c r="F8" s="213"/>
      <c r="G8" s="213"/>
      <c r="H8" s="226"/>
      <c r="I8" s="42"/>
      <c r="J8" s="214" t="s">
        <v>29</v>
      </c>
      <c r="K8" s="320"/>
      <c r="L8" s="388"/>
      <c r="M8" s="387"/>
      <c r="N8" s="387"/>
      <c r="O8" s="387"/>
      <c r="P8" s="389"/>
      <c r="Q8" s="388"/>
      <c r="R8" s="387"/>
      <c r="S8" s="387"/>
      <c r="T8" s="387"/>
      <c r="U8" s="390"/>
      <c r="V8" s="386"/>
      <c r="W8" s="372" t="s">
        <v>93</v>
      </c>
      <c r="X8" s="372"/>
      <c r="Y8" s="372"/>
      <c r="Z8" s="373"/>
      <c r="AA8" s="374"/>
      <c r="AB8" s="372"/>
      <c r="AC8" s="372"/>
      <c r="AD8" s="372"/>
      <c r="AE8" s="371"/>
      <c r="AF8" s="375"/>
      <c r="AG8" s="372"/>
      <c r="AH8" s="372"/>
      <c r="AI8" s="372"/>
      <c r="AJ8" s="373"/>
      <c r="AK8" s="374"/>
      <c r="AL8" s="372"/>
      <c r="AM8" s="372"/>
      <c r="AN8" s="372"/>
      <c r="AO8" s="371"/>
      <c r="AP8" s="375"/>
      <c r="AQ8" s="372"/>
      <c r="AR8" s="372"/>
      <c r="AS8" s="372"/>
      <c r="AT8" s="373"/>
      <c r="AU8" s="374"/>
      <c r="AV8" s="372"/>
      <c r="AW8" s="372"/>
      <c r="AX8" s="372"/>
      <c r="AY8" s="371"/>
      <c r="AZ8" s="375"/>
      <c r="BA8" s="372"/>
      <c r="BB8" s="372"/>
      <c r="BC8" s="372"/>
      <c r="BD8" s="373"/>
      <c r="BE8" s="374"/>
      <c r="BF8" s="372"/>
      <c r="BG8" s="372"/>
      <c r="BH8" s="372"/>
      <c r="BI8" s="371"/>
      <c r="BJ8" s="375"/>
      <c r="BK8" s="372"/>
      <c r="BL8" s="372"/>
      <c r="BM8" s="372"/>
      <c r="BN8" s="373"/>
      <c r="BO8" s="374"/>
      <c r="BP8" s="372"/>
      <c r="BQ8" s="372"/>
      <c r="BR8" s="372"/>
      <c r="BS8" s="371"/>
      <c r="BT8" s="375"/>
      <c r="BU8" s="372"/>
      <c r="BV8" s="372"/>
      <c r="BW8" s="372"/>
      <c r="BX8" s="373"/>
      <c r="BY8" s="374"/>
      <c r="BZ8" s="372"/>
      <c r="CA8" s="372"/>
      <c r="CB8" s="372"/>
      <c r="CC8" s="371"/>
      <c r="CD8" s="375"/>
      <c r="CE8" s="372"/>
      <c r="CF8" s="372"/>
      <c r="CG8" s="372"/>
      <c r="CH8" s="371"/>
      <c r="CI8" s="375"/>
      <c r="CJ8" s="372"/>
      <c r="CK8" s="372"/>
      <c r="CL8" s="372"/>
      <c r="CM8" s="373"/>
    </row>
    <row r="9" spans="1:121" s="41" customFormat="1" ht="25.5" customHeight="1" thickBot="1">
      <c r="A9" s="315"/>
      <c r="B9" s="316"/>
      <c r="C9" s="316"/>
      <c r="D9" s="316"/>
      <c r="E9" s="316"/>
      <c r="F9" s="316"/>
      <c r="G9" s="316"/>
      <c r="H9" s="317"/>
      <c r="I9" s="43"/>
      <c r="J9" s="191"/>
      <c r="K9" s="44" t="s">
        <v>30</v>
      </c>
      <c r="L9" s="413"/>
      <c r="M9" s="412"/>
      <c r="N9" s="412"/>
      <c r="O9" s="412"/>
      <c r="P9" s="414"/>
      <c r="Q9" s="413"/>
      <c r="R9" s="412"/>
      <c r="S9" s="412"/>
      <c r="T9" s="412"/>
      <c r="U9" s="415"/>
      <c r="V9" s="411"/>
      <c r="W9" s="377" t="s">
        <v>93</v>
      </c>
      <c r="X9" s="377"/>
      <c r="Y9" s="377"/>
      <c r="Z9" s="378"/>
      <c r="AA9" s="379"/>
      <c r="AB9" s="377"/>
      <c r="AC9" s="377"/>
      <c r="AD9" s="377"/>
      <c r="AE9" s="376"/>
      <c r="AF9" s="380"/>
      <c r="AG9" s="377"/>
      <c r="AH9" s="377"/>
      <c r="AI9" s="377"/>
      <c r="AJ9" s="378"/>
      <c r="AK9" s="379"/>
      <c r="AL9" s="377"/>
      <c r="AM9" s="377"/>
      <c r="AN9" s="377"/>
      <c r="AO9" s="376"/>
      <c r="AP9" s="380"/>
      <c r="AQ9" s="377"/>
      <c r="AR9" s="377"/>
      <c r="AS9" s="377"/>
      <c r="AT9" s="378"/>
      <c r="AU9" s="379"/>
      <c r="AV9" s="377"/>
      <c r="AW9" s="377"/>
      <c r="AX9" s="377"/>
      <c r="AY9" s="376"/>
      <c r="AZ9" s="380"/>
      <c r="BA9" s="377"/>
      <c r="BB9" s="377"/>
      <c r="BC9" s="377"/>
      <c r="BD9" s="378"/>
      <c r="BE9" s="379"/>
      <c r="BF9" s="377"/>
      <c r="BG9" s="377"/>
      <c r="BH9" s="377"/>
      <c r="BI9" s="376"/>
      <c r="BJ9" s="380"/>
      <c r="BK9" s="377"/>
      <c r="BL9" s="377"/>
      <c r="BM9" s="377"/>
      <c r="BN9" s="378"/>
      <c r="BO9" s="379"/>
      <c r="BP9" s="377"/>
      <c r="BQ9" s="377"/>
      <c r="BR9" s="377"/>
      <c r="BS9" s="376"/>
      <c r="BT9" s="380"/>
      <c r="BU9" s="377"/>
      <c r="BV9" s="377"/>
      <c r="BW9" s="377"/>
      <c r="BX9" s="378"/>
      <c r="BY9" s="379"/>
      <c r="BZ9" s="377"/>
      <c r="CA9" s="377"/>
      <c r="CB9" s="377"/>
      <c r="CC9" s="376"/>
      <c r="CD9" s="380"/>
      <c r="CE9" s="377"/>
      <c r="CF9" s="377"/>
      <c r="CG9" s="377"/>
      <c r="CH9" s="376"/>
      <c r="CI9" s="380"/>
      <c r="CJ9" s="377"/>
      <c r="CK9" s="377"/>
      <c r="CL9" s="377"/>
      <c r="CM9" s="378"/>
    </row>
    <row r="10" spans="1:121" ht="25.5" hidden="1" customHeight="1">
      <c r="A10" s="100">
        <v>4453</v>
      </c>
      <c r="B10" s="101" t="s">
        <v>11</v>
      </c>
      <c r="C10" s="101" t="s">
        <v>44</v>
      </c>
      <c r="D10" s="101" t="s">
        <v>76</v>
      </c>
      <c r="E10" s="102" t="s">
        <v>53</v>
      </c>
      <c r="F10" s="101"/>
      <c r="G10" s="102" t="s">
        <v>1474</v>
      </c>
      <c r="H10" s="177" t="s">
        <v>54</v>
      </c>
      <c r="I10" s="104"/>
      <c r="J10" s="102"/>
      <c r="K10" s="103"/>
      <c r="L10" s="347" t="s">
        <v>78</v>
      </c>
      <c r="M10" s="342" t="s">
        <v>77</v>
      </c>
      <c r="N10" s="342"/>
      <c r="O10" s="342" t="s">
        <v>77</v>
      </c>
      <c r="P10" s="348" t="s">
        <v>77</v>
      </c>
      <c r="Q10" s="347"/>
      <c r="R10" s="342"/>
      <c r="S10" s="342"/>
      <c r="T10" s="342"/>
      <c r="U10" s="349" t="s">
        <v>80</v>
      </c>
      <c r="V10" s="341"/>
      <c r="W10" s="343"/>
      <c r="X10" s="343"/>
      <c r="Y10" s="343"/>
      <c r="Z10" s="346"/>
      <c r="AA10" s="350"/>
      <c r="AB10" s="343"/>
      <c r="AC10" s="343"/>
      <c r="AD10" s="343"/>
      <c r="AE10" s="344"/>
      <c r="AF10" s="345"/>
      <c r="AG10" s="343"/>
      <c r="AH10" s="343"/>
      <c r="AI10" s="343"/>
      <c r="AJ10" s="346"/>
      <c r="AK10" s="350"/>
      <c r="AL10" s="343"/>
      <c r="AM10" s="343"/>
      <c r="AN10" s="343"/>
      <c r="AO10" s="344"/>
      <c r="AP10" s="345"/>
      <c r="AQ10" s="343"/>
      <c r="AR10" s="343"/>
      <c r="AS10" s="343"/>
      <c r="AT10" s="346"/>
      <c r="AU10" s="350"/>
      <c r="AV10" s="343"/>
      <c r="AW10" s="343"/>
      <c r="AX10" s="343"/>
      <c r="AY10" s="344"/>
      <c r="AZ10" s="345"/>
      <c r="BA10" s="343"/>
      <c r="BB10" s="343"/>
      <c r="BC10" s="343"/>
      <c r="BD10" s="346"/>
      <c r="BE10" s="350"/>
      <c r="BF10" s="343"/>
      <c r="BG10" s="343"/>
      <c r="BH10" s="343"/>
      <c r="BI10" s="344"/>
      <c r="BJ10" s="345"/>
      <c r="BK10" s="343"/>
      <c r="BL10" s="343"/>
      <c r="BM10" s="343"/>
      <c r="BN10" s="346"/>
      <c r="BO10" s="350"/>
      <c r="BP10" s="343"/>
      <c r="BQ10" s="343"/>
      <c r="BR10" s="343"/>
      <c r="BS10" s="344"/>
      <c r="BT10" s="345"/>
      <c r="BU10" s="343"/>
      <c r="BV10" s="343"/>
      <c r="BW10" s="343"/>
      <c r="BX10" s="346"/>
      <c r="BY10" s="350"/>
      <c r="BZ10" s="343"/>
      <c r="CA10" s="343"/>
      <c r="CB10" s="343"/>
      <c r="CC10" s="344"/>
      <c r="CD10" s="345"/>
      <c r="CE10" s="343"/>
      <c r="CF10" s="343"/>
      <c r="CG10" s="343"/>
      <c r="CH10" s="344"/>
      <c r="CI10" s="345"/>
      <c r="CJ10" s="343"/>
      <c r="CK10" s="343"/>
      <c r="CL10" s="343"/>
      <c r="CM10" s="346"/>
      <c r="CN10" s="45"/>
      <c r="CO10" s="45"/>
      <c r="CP10" s="45"/>
      <c r="CQ10" s="45"/>
      <c r="CR10" s="45"/>
      <c r="CS10" s="45"/>
      <c r="CT10" s="45"/>
      <c r="CU10" s="45"/>
      <c r="CV10" s="45"/>
      <c r="CW10" s="45"/>
      <c r="CX10" s="45"/>
      <c r="CY10" s="45"/>
      <c r="CZ10" s="45"/>
      <c r="DA10" s="45"/>
      <c r="DB10" s="45"/>
      <c r="DC10" s="45"/>
      <c r="DD10" s="45"/>
      <c r="DE10" s="45"/>
      <c r="DF10" s="45"/>
      <c r="DG10" s="45"/>
      <c r="DH10" s="45"/>
      <c r="DI10" s="45"/>
      <c r="DJ10" s="45"/>
      <c r="DK10" s="45"/>
      <c r="DL10" s="45"/>
      <c r="DM10" s="45"/>
      <c r="DN10" s="45"/>
    </row>
    <row r="11" spans="1:121" ht="25.5" customHeight="1">
      <c r="A11" s="321">
        <v>4454</v>
      </c>
      <c r="B11" s="322" t="s">
        <v>11</v>
      </c>
      <c r="C11" s="322" t="s">
        <v>44</v>
      </c>
      <c r="D11" s="322" t="s">
        <v>76</v>
      </c>
      <c r="E11" s="323" t="s">
        <v>53</v>
      </c>
      <c r="F11" s="322"/>
      <c r="G11" s="323" t="s">
        <v>1476</v>
      </c>
      <c r="H11" s="324" t="s">
        <v>54</v>
      </c>
      <c r="I11" s="325"/>
      <c r="J11" s="323"/>
      <c r="K11" s="326"/>
      <c r="L11" s="327" t="s">
        <v>78</v>
      </c>
      <c r="M11" s="322" t="s">
        <v>77</v>
      </c>
      <c r="N11" s="322"/>
      <c r="O11" s="322" t="s">
        <v>77</v>
      </c>
      <c r="P11" s="328" t="s">
        <v>77</v>
      </c>
      <c r="Q11" s="327"/>
      <c r="R11" s="322"/>
      <c r="S11" s="322"/>
      <c r="T11" s="322"/>
      <c r="U11" s="329" t="s">
        <v>80</v>
      </c>
      <c r="V11" s="321"/>
      <c r="W11" s="323"/>
      <c r="X11" s="323"/>
      <c r="Y11" s="323"/>
      <c r="Z11" s="326"/>
      <c r="AA11" s="330"/>
      <c r="AB11" s="323"/>
      <c r="AC11" s="323"/>
      <c r="AD11" s="323"/>
      <c r="AE11" s="324"/>
      <c r="AF11" s="325"/>
      <c r="AG11" s="323"/>
      <c r="AH11" s="323"/>
      <c r="AI11" s="323"/>
      <c r="AJ11" s="326"/>
      <c r="AK11" s="330"/>
      <c r="AL11" s="323"/>
      <c r="AM11" s="323"/>
      <c r="AN11" s="323"/>
      <c r="AO11" s="324"/>
      <c r="AP11" s="325"/>
      <c r="AQ11" s="323"/>
      <c r="AR11" s="323"/>
      <c r="AS11" s="323"/>
      <c r="AT11" s="326"/>
      <c r="AU11" s="330"/>
      <c r="AV11" s="323"/>
      <c r="AW11" s="323"/>
      <c r="AX11" s="323"/>
      <c r="AY11" s="324"/>
      <c r="AZ11" s="325"/>
      <c r="BA11" s="323"/>
      <c r="BB11" s="323"/>
      <c r="BC11" s="323"/>
      <c r="BD11" s="326"/>
      <c r="BE11" s="330"/>
      <c r="BF11" s="323"/>
      <c r="BG11" s="323"/>
      <c r="BH11" s="323"/>
      <c r="BI11" s="324"/>
      <c r="BJ11" s="325"/>
      <c r="BK11" s="323"/>
      <c r="BL11" s="323"/>
      <c r="BM11" s="323"/>
      <c r="BN11" s="326"/>
      <c r="BO11" s="330"/>
      <c r="BP11" s="323"/>
      <c r="BQ11" s="323"/>
      <c r="BR11" s="323"/>
      <c r="BS11" s="324"/>
      <c r="BT11" s="325"/>
      <c r="BU11" s="323"/>
      <c r="BV11" s="323"/>
      <c r="BW11" s="323"/>
      <c r="BX11" s="326"/>
      <c r="BY11" s="330"/>
      <c r="BZ11" s="323"/>
      <c r="CA11" s="323"/>
      <c r="CB11" s="323"/>
      <c r="CC11" s="324"/>
      <c r="CD11" s="325"/>
      <c r="CE11" s="323"/>
      <c r="CF11" s="323"/>
      <c r="CG11" s="323"/>
      <c r="CH11" s="324"/>
      <c r="CI11" s="325"/>
      <c r="CJ11" s="323"/>
      <c r="CK11" s="323"/>
      <c r="CL11" s="323"/>
      <c r="CM11" s="326"/>
      <c r="CN11" s="46"/>
      <c r="CO11" s="45"/>
      <c r="CP11" s="45"/>
      <c r="CQ11" s="45"/>
      <c r="CR11" s="46"/>
      <c r="CS11" s="45"/>
      <c r="CT11" s="45"/>
      <c r="CU11" s="45"/>
      <c r="CV11" s="45"/>
      <c r="CW11" s="45"/>
      <c r="CX11" s="46"/>
      <c r="CY11" s="45"/>
      <c r="CZ11" s="45"/>
      <c r="DA11" s="46"/>
      <c r="DB11" s="47"/>
      <c r="DC11" s="46"/>
      <c r="DD11" s="46"/>
      <c r="DE11" s="45"/>
      <c r="DF11" s="46"/>
      <c r="DG11" s="46"/>
      <c r="DH11" s="45"/>
      <c r="DI11" s="45"/>
      <c r="DJ11" s="45"/>
      <c r="DK11" s="45"/>
      <c r="DL11" s="45"/>
      <c r="DM11" s="45"/>
      <c r="DN11" s="45"/>
    </row>
    <row r="12" spans="1:121" ht="25.5" customHeight="1">
      <c r="A12" s="321">
        <v>4455</v>
      </c>
      <c r="B12" s="322" t="s">
        <v>11</v>
      </c>
      <c r="C12" s="322" t="s">
        <v>44</v>
      </c>
      <c r="D12" s="322" t="s">
        <v>76</v>
      </c>
      <c r="E12" s="323" t="s">
        <v>53</v>
      </c>
      <c r="F12" s="322"/>
      <c r="G12" s="323" t="s">
        <v>1478</v>
      </c>
      <c r="H12" s="324" t="s">
        <v>54</v>
      </c>
      <c r="I12" s="325"/>
      <c r="J12" s="323"/>
      <c r="K12" s="326"/>
      <c r="L12" s="327" t="s">
        <v>78</v>
      </c>
      <c r="M12" s="322" t="s">
        <v>77</v>
      </c>
      <c r="N12" s="322"/>
      <c r="O12" s="322" t="s">
        <v>77</v>
      </c>
      <c r="P12" s="328" t="s">
        <v>77</v>
      </c>
      <c r="Q12" s="327"/>
      <c r="R12" s="322"/>
      <c r="S12" s="322"/>
      <c r="T12" s="322"/>
      <c r="U12" s="329" t="s">
        <v>80</v>
      </c>
      <c r="V12" s="321"/>
      <c r="W12" s="323"/>
      <c r="X12" s="323"/>
      <c r="Y12" s="323"/>
      <c r="Z12" s="326"/>
      <c r="AA12" s="330"/>
      <c r="AB12" s="323"/>
      <c r="AC12" s="323"/>
      <c r="AD12" s="323"/>
      <c r="AE12" s="324"/>
      <c r="AF12" s="325"/>
      <c r="AG12" s="323"/>
      <c r="AH12" s="323"/>
      <c r="AI12" s="323"/>
      <c r="AJ12" s="326"/>
      <c r="AK12" s="330"/>
      <c r="AL12" s="323"/>
      <c r="AM12" s="323"/>
      <c r="AN12" s="323"/>
      <c r="AO12" s="324"/>
      <c r="AP12" s="325"/>
      <c r="AQ12" s="323"/>
      <c r="AR12" s="323"/>
      <c r="AS12" s="323"/>
      <c r="AT12" s="326"/>
      <c r="AU12" s="330"/>
      <c r="AV12" s="323"/>
      <c r="AW12" s="323"/>
      <c r="AX12" s="323"/>
      <c r="AY12" s="324"/>
      <c r="AZ12" s="325"/>
      <c r="BA12" s="323"/>
      <c r="BB12" s="323"/>
      <c r="BC12" s="323"/>
      <c r="BD12" s="326"/>
      <c r="BE12" s="330"/>
      <c r="BF12" s="323"/>
      <c r="BG12" s="323"/>
      <c r="BH12" s="323"/>
      <c r="BI12" s="324"/>
      <c r="BJ12" s="325"/>
      <c r="BK12" s="323"/>
      <c r="BL12" s="323"/>
      <c r="BM12" s="323"/>
      <c r="BN12" s="326"/>
      <c r="BO12" s="330"/>
      <c r="BP12" s="323"/>
      <c r="BQ12" s="323"/>
      <c r="BR12" s="323"/>
      <c r="BS12" s="324"/>
      <c r="BT12" s="325"/>
      <c r="BU12" s="323"/>
      <c r="BV12" s="323"/>
      <c r="BW12" s="323"/>
      <c r="BX12" s="326"/>
      <c r="BY12" s="330"/>
      <c r="BZ12" s="323"/>
      <c r="CA12" s="323"/>
      <c r="CB12" s="323"/>
      <c r="CC12" s="324"/>
      <c r="CD12" s="325"/>
      <c r="CE12" s="323"/>
      <c r="CF12" s="323"/>
      <c r="CG12" s="323"/>
      <c r="CH12" s="324"/>
      <c r="CI12" s="325"/>
      <c r="CJ12" s="323"/>
      <c r="CK12" s="323"/>
      <c r="CL12" s="323"/>
      <c r="CM12" s="326"/>
      <c r="CN12" s="45"/>
      <c r="CO12" s="45"/>
      <c r="CP12" s="45"/>
      <c r="CQ12" s="45"/>
      <c r="CR12" s="45"/>
      <c r="CS12" s="45"/>
      <c r="CT12" s="45"/>
      <c r="CU12" s="45"/>
      <c r="CV12" s="45"/>
      <c r="CW12" s="45"/>
      <c r="CX12" s="46"/>
      <c r="CY12" s="45"/>
      <c r="CZ12" s="45"/>
      <c r="DA12" s="46"/>
      <c r="DB12" s="45"/>
      <c r="DC12" s="46"/>
      <c r="DD12" s="46"/>
      <c r="DE12" s="45"/>
      <c r="DF12" s="46"/>
      <c r="DG12" s="46"/>
      <c r="DH12" s="45"/>
      <c r="DI12" s="45"/>
      <c r="DJ12" s="45"/>
      <c r="DK12" s="45"/>
      <c r="DL12" s="45"/>
      <c r="DM12" s="45"/>
      <c r="DN12" s="45"/>
    </row>
    <row r="13" spans="1:121" ht="25.5" hidden="1" customHeight="1">
      <c r="A13" s="321">
        <v>4456</v>
      </c>
      <c r="B13" s="322" t="s">
        <v>11</v>
      </c>
      <c r="C13" s="322" t="s">
        <v>44</v>
      </c>
      <c r="D13" s="322" t="s">
        <v>76</v>
      </c>
      <c r="E13" s="323" t="s">
        <v>53</v>
      </c>
      <c r="F13" s="322"/>
      <c r="G13" s="323" t="s">
        <v>1480</v>
      </c>
      <c r="H13" s="324" t="s">
        <v>54</v>
      </c>
      <c r="I13" s="325"/>
      <c r="J13" s="323"/>
      <c r="K13" s="326"/>
      <c r="L13" s="327" t="s">
        <v>78</v>
      </c>
      <c r="M13" s="322" t="s">
        <v>77</v>
      </c>
      <c r="N13" s="322"/>
      <c r="O13" s="322" t="s">
        <v>77</v>
      </c>
      <c r="P13" s="328" t="s">
        <v>77</v>
      </c>
      <c r="Q13" s="327"/>
      <c r="R13" s="322"/>
      <c r="S13" s="322"/>
      <c r="T13" s="322"/>
      <c r="U13" s="329" t="s">
        <v>80</v>
      </c>
      <c r="V13" s="321"/>
      <c r="W13" s="323"/>
      <c r="X13" s="323"/>
      <c r="Y13" s="323"/>
      <c r="Z13" s="326"/>
      <c r="AA13" s="330"/>
      <c r="AB13" s="323"/>
      <c r="AC13" s="323"/>
      <c r="AD13" s="323"/>
      <c r="AE13" s="324"/>
      <c r="AF13" s="325"/>
      <c r="AG13" s="323"/>
      <c r="AH13" s="323"/>
      <c r="AI13" s="323"/>
      <c r="AJ13" s="326"/>
      <c r="AK13" s="330"/>
      <c r="AL13" s="323"/>
      <c r="AM13" s="323"/>
      <c r="AN13" s="323"/>
      <c r="AO13" s="324"/>
      <c r="AP13" s="325"/>
      <c r="AQ13" s="323"/>
      <c r="AR13" s="323"/>
      <c r="AS13" s="323"/>
      <c r="AT13" s="326"/>
      <c r="AU13" s="330"/>
      <c r="AV13" s="323"/>
      <c r="AW13" s="323"/>
      <c r="AX13" s="323"/>
      <c r="AY13" s="324"/>
      <c r="AZ13" s="325"/>
      <c r="BA13" s="323"/>
      <c r="BB13" s="323"/>
      <c r="BC13" s="323"/>
      <c r="BD13" s="326"/>
      <c r="BE13" s="330"/>
      <c r="BF13" s="323"/>
      <c r="BG13" s="323"/>
      <c r="BH13" s="323"/>
      <c r="BI13" s="324"/>
      <c r="BJ13" s="325"/>
      <c r="BK13" s="323"/>
      <c r="BL13" s="323"/>
      <c r="BM13" s="323"/>
      <c r="BN13" s="326"/>
      <c r="BO13" s="330"/>
      <c r="BP13" s="323"/>
      <c r="BQ13" s="323"/>
      <c r="BR13" s="323"/>
      <c r="BS13" s="324"/>
      <c r="BT13" s="325"/>
      <c r="BU13" s="323"/>
      <c r="BV13" s="323"/>
      <c r="BW13" s="323"/>
      <c r="BX13" s="326"/>
      <c r="BY13" s="330"/>
      <c r="BZ13" s="323"/>
      <c r="CA13" s="323"/>
      <c r="CB13" s="323"/>
      <c r="CC13" s="324"/>
      <c r="CD13" s="325"/>
      <c r="CE13" s="323"/>
      <c r="CF13" s="323"/>
      <c r="CG13" s="323"/>
      <c r="CH13" s="324"/>
      <c r="CI13" s="325"/>
      <c r="CJ13" s="323"/>
      <c r="CK13" s="323"/>
      <c r="CL13" s="323"/>
      <c r="CM13" s="326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  <c r="DA13" s="45"/>
      <c r="DB13" s="45"/>
      <c r="DC13" s="45"/>
      <c r="DD13" s="45"/>
      <c r="DE13" s="45"/>
      <c r="DF13" s="45"/>
      <c r="DG13" s="46"/>
      <c r="DH13" s="45"/>
      <c r="DI13" s="45"/>
      <c r="DJ13" s="45"/>
      <c r="DK13" s="45"/>
      <c r="DL13" s="45"/>
      <c r="DM13" s="45"/>
      <c r="DN13" s="45"/>
    </row>
    <row r="14" spans="1:121" ht="25.5" hidden="1" customHeight="1" thickBot="1">
      <c r="A14" s="331">
        <v>4457</v>
      </c>
      <c r="B14" s="332" t="s">
        <v>11</v>
      </c>
      <c r="C14" s="332" t="s">
        <v>44</v>
      </c>
      <c r="D14" s="332" t="s">
        <v>76</v>
      </c>
      <c r="E14" s="333" t="s">
        <v>53</v>
      </c>
      <c r="F14" s="332"/>
      <c r="G14" s="333" t="s">
        <v>1482</v>
      </c>
      <c r="H14" s="334" t="s">
        <v>54</v>
      </c>
      <c r="I14" s="335"/>
      <c r="J14" s="333"/>
      <c r="K14" s="336"/>
      <c r="L14" s="337" t="s">
        <v>78</v>
      </c>
      <c r="M14" s="332" t="s">
        <v>77</v>
      </c>
      <c r="N14" s="332"/>
      <c r="O14" s="332" t="s">
        <v>77</v>
      </c>
      <c r="P14" s="338" t="s">
        <v>77</v>
      </c>
      <c r="Q14" s="337"/>
      <c r="R14" s="332"/>
      <c r="S14" s="332"/>
      <c r="T14" s="332"/>
      <c r="U14" s="339" t="s">
        <v>80</v>
      </c>
      <c r="V14" s="331"/>
      <c r="W14" s="333"/>
      <c r="X14" s="333"/>
      <c r="Y14" s="333"/>
      <c r="Z14" s="336"/>
      <c r="AA14" s="340"/>
      <c r="AB14" s="333"/>
      <c r="AC14" s="333"/>
      <c r="AD14" s="333"/>
      <c r="AE14" s="334"/>
      <c r="AF14" s="335"/>
      <c r="AG14" s="333"/>
      <c r="AH14" s="333"/>
      <c r="AI14" s="333"/>
      <c r="AJ14" s="336"/>
      <c r="AK14" s="340"/>
      <c r="AL14" s="333"/>
      <c r="AM14" s="333"/>
      <c r="AN14" s="333"/>
      <c r="AO14" s="334"/>
      <c r="AP14" s="335"/>
      <c r="AQ14" s="333"/>
      <c r="AR14" s="333"/>
      <c r="AS14" s="333"/>
      <c r="AT14" s="336"/>
      <c r="AU14" s="340"/>
      <c r="AV14" s="333"/>
      <c r="AW14" s="333"/>
      <c r="AX14" s="333"/>
      <c r="AY14" s="334"/>
      <c r="AZ14" s="335"/>
      <c r="BA14" s="333"/>
      <c r="BB14" s="333"/>
      <c r="BC14" s="333"/>
      <c r="BD14" s="336"/>
      <c r="BE14" s="340"/>
      <c r="BF14" s="333"/>
      <c r="BG14" s="333"/>
      <c r="BH14" s="333"/>
      <c r="BI14" s="334"/>
      <c r="BJ14" s="335"/>
      <c r="BK14" s="333"/>
      <c r="BL14" s="333"/>
      <c r="BM14" s="333"/>
      <c r="BN14" s="336"/>
      <c r="BO14" s="340"/>
      <c r="BP14" s="333"/>
      <c r="BQ14" s="333"/>
      <c r="BR14" s="333"/>
      <c r="BS14" s="334"/>
      <c r="BT14" s="335"/>
      <c r="BU14" s="333"/>
      <c r="BV14" s="333"/>
      <c r="BW14" s="333"/>
      <c r="BX14" s="336"/>
      <c r="BY14" s="340"/>
      <c r="BZ14" s="333"/>
      <c r="CA14" s="333"/>
      <c r="CB14" s="333"/>
      <c r="CC14" s="334"/>
      <c r="CD14" s="335"/>
      <c r="CE14" s="333"/>
      <c r="CF14" s="333"/>
      <c r="CG14" s="333"/>
      <c r="CH14" s="334"/>
      <c r="CI14" s="335"/>
      <c r="CJ14" s="333"/>
      <c r="CK14" s="333"/>
      <c r="CL14" s="333"/>
      <c r="CM14" s="336"/>
      <c r="CN14" s="45"/>
      <c r="CO14" s="45"/>
      <c r="CP14" s="45"/>
      <c r="CQ14" s="45"/>
      <c r="CR14" s="45"/>
      <c r="CS14" s="45"/>
      <c r="CT14" s="45"/>
      <c r="CU14" s="45"/>
      <c r="CV14" s="45"/>
      <c r="CW14" s="45"/>
      <c r="CX14" s="45"/>
      <c r="CY14" s="45"/>
      <c r="CZ14" s="45"/>
      <c r="DA14" s="45"/>
      <c r="DB14" s="45"/>
      <c r="DC14" s="45"/>
      <c r="DD14" s="45"/>
      <c r="DE14" s="45"/>
      <c r="DF14" s="45"/>
      <c r="DG14" s="46"/>
      <c r="DH14" s="45"/>
      <c r="DI14" s="45"/>
      <c r="DJ14" s="45"/>
      <c r="DK14" s="45"/>
      <c r="DL14" s="45"/>
      <c r="DM14" s="45"/>
      <c r="DN14" s="45"/>
    </row>
    <row r="15" spans="1:121" ht="25.5" customHeight="1">
      <c r="A15" s="341">
        <v>4458</v>
      </c>
      <c r="B15" s="342" t="s">
        <v>11</v>
      </c>
      <c r="C15" s="342" t="s">
        <v>44</v>
      </c>
      <c r="D15" s="342" t="s">
        <v>76</v>
      </c>
      <c r="E15" s="343" t="s">
        <v>53</v>
      </c>
      <c r="F15" s="342"/>
      <c r="G15" s="343" t="s">
        <v>1484</v>
      </c>
      <c r="H15" s="344" t="s">
        <v>54</v>
      </c>
      <c r="I15" s="345"/>
      <c r="J15" s="343"/>
      <c r="K15" s="346"/>
      <c r="L15" s="347" t="s">
        <v>78</v>
      </c>
      <c r="M15" s="342" t="s">
        <v>77</v>
      </c>
      <c r="N15" s="342"/>
      <c r="O15" s="342" t="s">
        <v>77</v>
      </c>
      <c r="P15" s="348" t="s">
        <v>77</v>
      </c>
      <c r="Q15" s="347"/>
      <c r="R15" s="342"/>
      <c r="S15" s="342"/>
      <c r="T15" s="342"/>
      <c r="U15" s="349" t="s">
        <v>80</v>
      </c>
      <c r="V15" s="341"/>
      <c r="W15" s="343"/>
      <c r="X15" s="343"/>
      <c r="Y15" s="343"/>
      <c r="Z15" s="346"/>
      <c r="AA15" s="350"/>
      <c r="AB15" s="343"/>
      <c r="AC15" s="343"/>
      <c r="AD15" s="343"/>
      <c r="AE15" s="344"/>
      <c r="AF15" s="345"/>
      <c r="AG15" s="343"/>
      <c r="AH15" s="343"/>
      <c r="AI15" s="343"/>
      <c r="AJ15" s="346"/>
      <c r="AK15" s="350"/>
      <c r="AL15" s="343"/>
      <c r="AM15" s="343"/>
      <c r="AN15" s="343"/>
      <c r="AO15" s="344"/>
      <c r="AP15" s="345"/>
      <c r="AQ15" s="343"/>
      <c r="AR15" s="343"/>
      <c r="AS15" s="343"/>
      <c r="AT15" s="346"/>
      <c r="AU15" s="350"/>
      <c r="AV15" s="343"/>
      <c r="AW15" s="343"/>
      <c r="AX15" s="343"/>
      <c r="AY15" s="344"/>
      <c r="AZ15" s="345"/>
      <c r="BA15" s="343"/>
      <c r="BB15" s="343"/>
      <c r="BC15" s="343"/>
      <c r="BD15" s="346"/>
      <c r="BE15" s="350"/>
      <c r="BF15" s="343"/>
      <c r="BG15" s="343"/>
      <c r="BH15" s="343"/>
      <c r="BI15" s="344"/>
      <c r="BJ15" s="345"/>
      <c r="BK15" s="343"/>
      <c r="BL15" s="343"/>
      <c r="BM15" s="343"/>
      <c r="BN15" s="346"/>
      <c r="BO15" s="350"/>
      <c r="BP15" s="343"/>
      <c r="BQ15" s="343"/>
      <c r="BR15" s="343"/>
      <c r="BS15" s="344"/>
      <c r="BT15" s="345"/>
      <c r="BU15" s="343"/>
      <c r="BV15" s="343"/>
      <c r="BW15" s="343"/>
      <c r="BX15" s="346"/>
      <c r="BY15" s="350"/>
      <c r="BZ15" s="343"/>
      <c r="CA15" s="343"/>
      <c r="CB15" s="343"/>
      <c r="CC15" s="344"/>
      <c r="CD15" s="345"/>
      <c r="CE15" s="343"/>
      <c r="CF15" s="343"/>
      <c r="CG15" s="343"/>
      <c r="CH15" s="344"/>
      <c r="CI15" s="345"/>
      <c r="CJ15" s="343"/>
      <c r="CK15" s="343"/>
      <c r="CL15" s="343"/>
      <c r="CM15" s="346"/>
      <c r="CN15" s="45"/>
      <c r="CO15" s="45"/>
      <c r="CP15" s="46"/>
      <c r="CQ15" s="45"/>
      <c r="CR15" s="45"/>
      <c r="CS15" s="45"/>
      <c r="CT15" s="45"/>
      <c r="CU15" s="45"/>
      <c r="CV15" s="45"/>
      <c r="CW15" s="45"/>
      <c r="CX15" s="46"/>
      <c r="CY15" s="45"/>
      <c r="CZ15" s="45"/>
      <c r="DA15" s="46"/>
      <c r="DB15" s="45"/>
      <c r="DC15" s="46"/>
      <c r="DD15" s="46"/>
      <c r="DE15" s="45"/>
      <c r="DF15" s="46"/>
      <c r="DG15" s="46"/>
      <c r="DH15" s="45"/>
      <c r="DI15" s="46"/>
      <c r="DJ15" s="46"/>
      <c r="DK15" s="45"/>
      <c r="DL15" s="46"/>
      <c r="DM15" s="45"/>
      <c r="DN15" s="45"/>
    </row>
    <row r="16" spans="1:121" ht="25.5" customHeight="1">
      <c r="A16" s="321">
        <v>4459</v>
      </c>
      <c r="B16" s="322" t="s">
        <v>11</v>
      </c>
      <c r="C16" s="322" t="s">
        <v>44</v>
      </c>
      <c r="D16" s="322" t="s">
        <v>76</v>
      </c>
      <c r="E16" s="323" t="s">
        <v>53</v>
      </c>
      <c r="F16" s="322"/>
      <c r="G16" s="323" t="s">
        <v>1486</v>
      </c>
      <c r="H16" s="324" t="s">
        <v>54</v>
      </c>
      <c r="I16" s="325"/>
      <c r="J16" s="323"/>
      <c r="K16" s="326"/>
      <c r="L16" s="327" t="s">
        <v>78</v>
      </c>
      <c r="M16" s="322" t="s">
        <v>77</v>
      </c>
      <c r="N16" s="322"/>
      <c r="O16" s="322" t="s">
        <v>77</v>
      </c>
      <c r="P16" s="328" t="s">
        <v>77</v>
      </c>
      <c r="Q16" s="327"/>
      <c r="R16" s="322"/>
      <c r="S16" s="322"/>
      <c r="T16" s="322"/>
      <c r="U16" s="329" t="s">
        <v>80</v>
      </c>
      <c r="V16" s="321"/>
      <c r="W16" s="323"/>
      <c r="X16" s="323"/>
      <c r="Y16" s="323"/>
      <c r="Z16" s="326"/>
      <c r="AA16" s="330"/>
      <c r="AB16" s="323"/>
      <c r="AC16" s="323"/>
      <c r="AD16" s="323"/>
      <c r="AE16" s="324"/>
      <c r="AF16" s="325"/>
      <c r="AG16" s="323"/>
      <c r="AH16" s="323"/>
      <c r="AI16" s="323"/>
      <c r="AJ16" s="326"/>
      <c r="AK16" s="330"/>
      <c r="AL16" s="323"/>
      <c r="AM16" s="323"/>
      <c r="AN16" s="323"/>
      <c r="AO16" s="324"/>
      <c r="AP16" s="325"/>
      <c r="AQ16" s="323"/>
      <c r="AR16" s="323"/>
      <c r="AS16" s="323"/>
      <c r="AT16" s="326"/>
      <c r="AU16" s="330"/>
      <c r="AV16" s="323"/>
      <c r="AW16" s="323"/>
      <c r="AX16" s="323"/>
      <c r="AY16" s="324"/>
      <c r="AZ16" s="325"/>
      <c r="BA16" s="323"/>
      <c r="BB16" s="323"/>
      <c r="BC16" s="323"/>
      <c r="BD16" s="326"/>
      <c r="BE16" s="330"/>
      <c r="BF16" s="323"/>
      <c r="BG16" s="323"/>
      <c r="BH16" s="323"/>
      <c r="BI16" s="324"/>
      <c r="BJ16" s="325"/>
      <c r="BK16" s="323"/>
      <c r="BL16" s="323"/>
      <c r="BM16" s="323"/>
      <c r="BN16" s="326"/>
      <c r="BO16" s="330"/>
      <c r="BP16" s="323"/>
      <c r="BQ16" s="323"/>
      <c r="BR16" s="323"/>
      <c r="BS16" s="324"/>
      <c r="BT16" s="325"/>
      <c r="BU16" s="323"/>
      <c r="BV16" s="323"/>
      <c r="BW16" s="323"/>
      <c r="BX16" s="326"/>
      <c r="BY16" s="330"/>
      <c r="BZ16" s="323"/>
      <c r="CA16" s="323"/>
      <c r="CB16" s="323"/>
      <c r="CC16" s="324"/>
      <c r="CD16" s="325"/>
      <c r="CE16" s="323"/>
      <c r="CF16" s="323"/>
      <c r="CG16" s="323"/>
      <c r="CH16" s="324"/>
      <c r="CI16" s="325"/>
      <c r="CJ16" s="323"/>
      <c r="CK16" s="323"/>
      <c r="CL16" s="323"/>
      <c r="CM16" s="326"/>
      <c r="CN16" s="45"/>
      <c r="CO16" s="45"/>
      <c r="CP16" s="45"/>
      <c r="CQ16" s="45"/>
      <c r="CR16" s="45"/>
      <c r="CS16" s="45"/>
      <c r="CT16" s="45"/>
      <c r="CU16" s="45"/>
      <c r="CV16" s="45"/>
      <c r="CW16" s="45"/>
      <c r="CX16" s="45"/>
      <c r="CY16" s="45"/>
      <c r="CZ16" s="45"/>
      <c r="DA16" s="45"/>
      <c r="DB16" s="45"/>
      <c r="DC16" s="45"/>
      <c r="DD16" s="45"/>
      <c r="DE16" s="45"/>
      <c r="DF16" s="45"/>
      <c r="DG16" s="45"/>
      <c r="DH16" s="45"/>
      <c r="DI16" s="45"/>
      <c r="DJ16" s="45"/>
      <c r="DK16" s="45"/>
      <c r="DL16" s="45"/>
      <c r="DM16" s="45"/>
      <c r="DN16" s="45"/>
    </row>
    <row r="17" spans="1:118" ht="25.5" customHeight="1">
      <c r="A17" s="321">
        <v>4460</v>
      </c>
      <c r="B17" s="322" t="s">
        <v>11</v>
      </c>
      <c r="C17" s="322" t="s">
        <v>44</v>
      </c>
      <c r="D17" s="322" t="s">
        <v>76</v>
      </c>
      <c r="E17" s="323" t="s">
        <v>53</v>
      </c>
      <c r="F17" s="322"/>
      <c r="G17" s="323" t="s">
        <v>1488</v>
      </c>
      <c r="H17" s="324" t="s">
        <v>54</v>
      </c>
      <c r="I17" s="325"/>
      <c r="J17" s="323"/>
      <c r="K17" s="326"/>
      <c r="L17" s="327" t="s">
        <v>78</v>
      </c>
      <c r="M17" s="322" t="s">
        <v>77</v>
      </c>
      <c r="N17" s="322"/>
      <c r="O17" s="322" t="s">
        <v>77</v>
      </c>
      <c r="P17" s="328" t="s">
        <v>77</v>
      </c>
      <c r="Q17" s="327"/>
      <c r="R17" s="322"/>
      <c r="S17" s="322"/>
      <c r="T17" s="322"/>
      <c r="U17" s="329" t="s">
        <v>80</v>
      </c>
      <c r="V17" s="321"/>
      <c r="W17" s="323"/>
      <c r="X17" s="323"/>
      <c r="Y17" s="323"/>
      <c r="Z17" s="326"/>
      <c r="AA17" s="330"/>
      <c r="AB17" s="323"/>
      <c r="AC17" s="323"/>
      <c r="AD17" s="323"/>
      <c r="AE17" s="324"/>
      <c r="AF17" s="325"/>
      <c r="AG17" s="323"/>
      <c r="AH17" s="323"/>
      <c r="AI17" s="323"/>
      <c r="AJ17" s="326"/>
      <c r="AK17" s="330"/>
      <c r="AL17" s="323"/>
      <c r="AM17" s="323"/>
      <c r="AN17" s="323"/>
      <c r="AO17" s="324"/>
      <c r="AP17" s="325"/>
      <c r="AQ17" s="323"/>
      <c r="AR17" s="323"/>
      <c r="AS17" s="323"/>
      <c r="AT17" s="326"/>
      <c r="AU17" s="330"/>
      <c r="AV17" s="323"/>
      <c r="AW17" s="323"/>
      <c r="AX17" s="323"/>
      <c r="AY17" s="324"/>
      <c r="AZ17" s="325"/>
      <c r="BA17" s="323"/>
      <c r="BB17" s="323"/>
      <c r="BC17" s="323"/>
      <c r="BD17" s="326"/>
      <c r="BE17" s="330"/>
      <c r="BF17" s="323"/>
      <c r="BG17" s="323"/>
      <c r="BH17" s="323"/>
      <c r="BI17" s="324"/>
      <c r="BJ17" s="325"/>
      <c r="BK17" s="323"/>
      <c r="BL17" s="323"/>
      <c r="BM17" s="323"/>
      <c r="BN17" s="326"/>
      <c r="BO17" s="330"/>
      <c r="BP17" s="323"/>
      <c r="BQ17" s="323"/>
      <c r="BR17" s="323"/>
      <c r="BS17" s="324"/>
      <c r="BT17" s="325"/>
      <c r="BU17" s="323"/>
      <c r="BV17" s="323"/>
      <c r="BW17" s="323"/>
      <c r="BX17" s="326"/>
      <c r="BY17" s="330"/>
      <c r="BZ17" s="323"/>
      <c r="CA17" s="323"/>
      <c r="CB17" s="323"/>
      <c r="CC17" s="324"/>
      <c r="CD17" s="325"/>
      <c r="CE17" s="323"/>
      <c r="CF17" s="323"/>
      <c r="CG17" s="323"/>
      <c r="CH17" s="324"/>
      <c r="CI17" s="325"/>
      <c r="CJ17" s="323"/>
      <c r="CK17" s="323"/>
      <c r="CL17" s="323"/>
      <c r="CM17" s="326"/>
      <c r="CN17" s="45"/>
      <c r="CO17" s="45"/>
      <c r="CP17" s="45"/>
      <c r="CQ17" s="45"/>
      <c r="CR17" s="45"/>
      <c r="CS17" s="45"/>
      <c r="CT17" s="45"/>
      <c r="CU17" s="45"/>
      <c r="CV17" s="45"/>
      <c r="CW17" s="45"/>
      <c r="CX17" s="45"/>
      <c r="CY17" s="45"/>
      <c r="CZ17" s="45"/>
      <c r="DA17" s="45"/>
      <c r="DB17" s="45"/>
      <c r="DC17" s="45"/>
      <c r="DD17" s="45"/>
      <c r="DE17" s="45"/>
      <c r="DF17" s="45"/>
      <c r="DG17" s="45"/>
      <c r="DH17" s="45"/>
      <c r="DI17" s="45"/>
      <c r="DJ17" s="45"/>
      <c r="DK17" s="45"/>
      <c r="DL17" s="45"/>
      <c r="DM17" s="45"/>
      <c r="DN17" s="45"/>
    </row>
    <row r="18" spans="1:118" ht="25.5" customHeight="1">
      <c r="A18" s="321">
        <v>4461</v>
      </c>
      <c r="B18" s="322" t="s">
        <v>11</v>
      </c>
      <c r="C18" s="322" t="s">
        <v>44</v>
      </c>
      <c r="D18" s="322" t="s">
        <v>76</v>
      </c>
      <c r="E18" s="323" t="s">
        <v>53</v>
      </c>
      <c r="F18" s="322"/>
      <c r="G18" s="323" t="s">
        <v>1490</v>
      </c>
      <c r="H18" s="324" t="s">
        <v>54</v>
      </c>
      <c r="I18" s="325"/>
      <c r="J18" s="323"/>
      <c r="K18" s="326"/>
      <c r="L18" s="327" t="s">
        <v>78</v>
      </c>
      <c r="M18" s="322" t="s">
        <v>77</v>
      </c>
      <c r="N18" s="322"/>
      <c r="O18" s="322" t="s">
        <v>77</v>
      </c>
      <c r="P18" s="328" t="s">
        <v>77</v>
      </c>
      <c r="Q18" s="327"/>
      <c r="R18" s="322"/>
      <c r="S18" s="322"/>
      <c r="T18" s="322"/>
      <c r="U18" s="329" t="s">
        <v>80</v>
      </c>
      <c r="V18" s="321"/>
      <c r="W18" s="323"/>
      <c r="X18" s="323"/>
      <c r="Y18" s="323"/>
      <c r="Z18" s="326"/>
      <c r="AA18" s="330"/>
      <c r="AB18" s="323"/>
      <c r="AC18" s="323"/>
      <c r="AD18" s="323"/>
      <c r="AE18" s="324"/>
      <c r="AF18" s="325"/>
      <c r="AG18" s="323"/>
      <c r="AH18" s="323"/>
      <c r="AI18" s="323"/>
      <c r="AJ18" s="326"/>
      <c r="AK18" s="330"/>
      <c r="AL18" s="323"/>
      <c r="AM18" s="323"/>
      <c r="AN18" s="323"/>
      <c r="AO18" s="324"/>
      <c r="AP18" s="325"/>
      <c r="AQ18" s="323"/>
      <c r="AR18" s="323"/>
      <c r="AS18" s="323"/>
      <c r="AT18" s="326"/>
      <c r="AU18" s="330"/>
      <c r="AV18" s="323"/>
      <c r="AW18" s="323"/>
      <c r="AX18" s="323"/>
      <c r="AY18" s="324"/>
      <c r="AZ18" s="325"/>
      <c r="BA18" s="323"/>
      <c r="BB18" s="323"/>
      <c r="BC18" s="323"/>
      <c r="BD18" s="326"/>
      <c r="BE18" s="330"/>
      <c r="BF18" s="323"/>
      <c r="BG18" s="323"/>
      <c r="BH18" s="323"/>
      <c r="BI18" s="324"/>
      <c r="BJ18" s="325"/>
      <c r="BK18" s="323"/>
      <c r="BL18" s="323"/>
      <c r="BM18" s="323"/>
      <c r="BN18" s="326"/>
      <c r="BO18" s="330"/>
      <c r="BP18" s="323"/>
      <c r="BQ18" s="323"/>
      <c r="BR18" s="323"/>
      <c r="BS18" s="324"/>
      <c r="BT18" s="325"/>
      <c r="BU18" s="323"/>
      <c r="BV18" s="323"/>
      <c r="BW18" s="323"/>
      <c r="BX18" s="326"/>
      <c r="BY18" s="330"/>
      <c r="BZ18" s="323"/>
      <c r="CA18" s="323"/>
      <c r="CB18" s="323"/>
      <c r="CC18" s="324"/>
      <c r="CD18" s="325"/>
      <c r="CE18" s="323"/>
      <c r="CF18" s="323"/>
      <c r="CG18" s="323"/>
      <c r="CH18" s="324"/>
      <c r="CI18" s="325"/>
      <c r="CJ18" s="323"/>
      <c r="CK18" s="323"/>
      <c r="CL18" s="323"/>
      <c r="CM18" s="326"/>
      <c r="CN18" s="45"/>
      <c r="CO18" s="45"/>
      <c r="CP18" s="45"/>
      <c r="CQ18" s="45"/>
      <c r="CR18" s="45"/>
      <c r="CS18" s="45"/>
      <c r="CT18" s="45"/>
      <c r="CU18" s="45"/>
      <c r="CV18" s="45"/>
      <c r="CW18" s="45"/>
      <c r="CX18" s="45"/>
      <c r="CY18" s="45"/>
      <c r="CZ18" s="45"/>
      <c r="DA18" s="45"/>
      <c r="DB18" s="45"/>
      <c r="DC18" s="45"/>
      <c r="DD18" s="45"/>
      <c r="DE18" s="45"/>
      <c r="DF18" s="45"/>
      <c r="DG18" s="45"/>
      <c r="DH18" s="45"/>
      <c r="DI18" s="45"/>
      <c r="DJ18" s="45"/>
      <c r="DK18" s="45"/>
      <c r="DL18" s="45"/>
      <c r="DM18" s="45"/>
      <c r="DN18" s="45"/>
    </row>
    <row r="19" spans="1:118" ht="25.5" customHeight="1" thickBot="1">
      <c r="A19" s="351">
        <v>4462</v>
      </c>
      <c r="B19" s="352" t="s">
        <v>11</v>
      </c>
      <c r="C19" s="352" t="s">
        <v>44</v>
      </c>
      <c r="D19" s="352" t="s">
        <v>76</v>
      </c>
      <c r="E19" s="353" t="s">
        <v>53</v>
      </c>
      <c r="F19" s="352"/>
      <c r="G19" s="353" t="s">
        <v>1492</v>
      </c>
      <c r="H19" s="354" t="s">
        <v>54</v>
      </c>
      <c r="I19" s="355"/>
      <c r="J19" s="353"/>
      <c r="K19" s="356"/>
      <c r="L19" s="357" t="s">
        <v>78</v>
      </c>
      <c r="M19" s="352" t="s">
        <v>77</v>
      </c>
      <c r="N19" s="352"/>
      <c r="O19" s="352" t="s">
        <v>77</v>
      </c>
      <c r="P19" s="358" t="s">
        <v>77</v>
      </c>
      <c r="Q19" s="357"/>
      <c r="R19" s="352"/>
      <c r="S19" s="352"/>
      <c r="T19" s="352"/>
      <c r="U19" s="359" t="s">
        <v>80</v>
      </c>
      <c r="V19" s="351"/>
      <c r="W19" s="353"/>
      <c r="X19" s="353"/>
      <c r="Y19" s="353"/>
      <c r="Z19" s="356"/>
      <c r="AA19" s="360"/>
      <c r="AB19" s="353"/>
      <c r="AC19" s="353"/>
      <c r="AD19" s="353"/>
      <c r="AE19" s="354"/>
      <c r="AF19" s="355"/>
      <c r="AG19" s="353"/>
      <c r="AH19" s="353"/>
      <c r="AI19" s="353"/>
      <c r="AJ19" s="356"/>
      <c r="AK19" s="360"/>
      <c r="AL19" s="353"/>
      <c r="AM19" s="353"/>
      <c r="AN19" s="353"/>
      <c r="AO19" s="354"/>
      <c r="AP19" s="355"/>
      <c r="AQ19" s="353"/>
      <c r="AR19" s="353"/>
      <c r="AS19" s="353"/>
      <c r="AT19" s="356"/>
      <c r="AU19" s="360"/>
      <c r="AV19" s="353"/>
      <c r="AW19" s="353"/>
      <c r="AX19" s="353"/>
      <c r="AY19" s="354"/>
      <c r="AZ19" s="355"/>
      <c r="BA19" s="353"/>
      <c r="BB19" s="353"/>
      <c r="BC19" s="353"/>
      <c r="BD19" s="356"/>
      <c r="BE19" s="360"/>
      <c r="BF19" s="353"/>
      <c r="BG19" s="353"/>
      <c r="BH19" s="353"/>
      <c r="BI19" s="354"/>
      <c r="BJ19" s="355"/>
      <c r="BK19" s="353"/>
      <c r="BL19" s="353"/>
      <c r="BM19" s="353"/>
      <c r="BN19" s="356"/>
      <c r="BO19" s="360"/>
      <c r="BP19" s="353"/>
      <c r="BQ19" s="353"/>
      <c r="BR19" s="353"/>
      <c r="BS19" s="354"/>
      <c r="BT19" s="355"/>
      <c r="BU19" s="353"/>
      <c r="BV19" s="353"/>
      <c r="BW19" s="353"/>
      <c r="BX19" s="356"/>
      <c r="BY19" s="360"/>
      <c r="BZ19" s="353"/>
      <c r="CA19" s="353"/>
      <c r="CB19" s="353"/>
      <c r="CC19" s="354"/>
      <c r="CD19" s="355"/>
      <c r="CE19" s="353"/>
      <c r="CF19" s="353"/>
      <c r="CG19" s="353"/>
      <c r="CH19" s="354"/>
      <c r="CI19" s="355"/>
      <c r="CJ19" s="353"/>
      <c r="CK19" s="353"/>
      <c r="CL19" s="353"/>
      <c r="CM19" s="356"/>
      <c r="CN19" s="45"/>
      <c r="CO19" s="45"/>
      <c r="CP19" s="45"/>
      <c r="CQ19" s="45"/>
      <c r="CR19" s="45"/>
      <c r="CS19" s="45"/>
      <c r="CT19" s="45"/>
      <c r="CU19" s="45"/>
      <c r="CV19" s="45"/>
      <c r="CW19" s="45"/>
      <c r="CX19" s="45"/>
      <c r="CY19" s="45"/>
      <c r="CZ19" s="45"/>
      <c r="DA19" s="45"/>
      <c r="DB19" s="45"/>
      <c r="DC19" s="45"/>
      <c r="DD19" s="45"/>
      <c r="DE19" s="45"/>
      <c r="DF19" s="45"/>
      <c r="DG19" s="45"/>
      <c r="DH19" s="45"/>
      <c r="DI19" s="45"/>
      <c r="DJ19" s="45"/>
      <c r="DK19" s="45"/>
      <c r="DL19" s="45"/>
      <c r="DM19" s="45"/>
      <c r="DN19" s="45"/>
    </row>
    <row r="20" spans="1:118" ht="25.5" customHeight="1">
      <c r="A20" s="361">
        <v>4463</v>
      </c>
      <c r="B20" s="362" t="s">
        <v>11</v>
      </c>
      <c r="C20" s="362" t="s">
        <v>44</v>
      </c>
      <c r="D20" s="362" t="s">
        <v>76</v>
      </c>
      <c r="E20" s="363" t="s">
        <v>53</v>
      </c>
      <c r="F20" s="362"/>
      <c r="G20" s="363" t="s">
        <v>1494</v>
      </c>
      <c r="H20" s="364" t="s">
        <v>54</v>
      </c>
      <c r="I20" s="365"/>
      <c r="J20" s="363"/>
      <c r="K20" s="366"/>
      <c r="L20" s="367" t="s">
        <v>78</v>
      </c>
      <c r="M20" s="362" t="s">
        <v>77</v>
      </c>
      <c r="N20" s="362"/>
      <c r="O20" s="362" t="s">
        <v>77</v>
      </c>
      <c r="P20" s="368" t="s">
        <v>77</v>
      </c>
      <c r="Q20" s="367"/>
      <c r="R20" s="362"/>
      <c r="S20" s="362"/>
      <c r="T20" s="362"/>
      <c r="U20" s="369" t="s">
        <v>80</v>
      </c>
      <c r="V20" s="361"/>
      <c r="W20" s="363"/>
      <c r="X20" s="363"/>
      <c r="Y20" s="363"/>
      <c r="Z20" s="366"/>
      <c r="AA20" s="370"/>
      <c r="AB20" s="363"/>
      <c r="AC20" s="363"/>
      <c r="AD20" s="363"/>
      <c r="AE20" s="364"/>
      <c r="AF20" s="365"/>
      <c r="AG20" s="363"/>
      <c r="AH20" s="363"/>
      <c r="AI20" s="363"/>
      <c r="AJ20" s="366"/>
      <c r="AK20" s="370"/>
      <c r="AL20" s="363"/>
      <c r="AM20" s="363"/>
      <c r="AN20" s="363"/>
      <c r="AO20" s="364"/>
      <c r="AP20" s="365"/>
      <c r="AQ20" s="363"/>
      <c r="AR20" s="363"/>
      <c r="AS20" s="363"/>
      <c r="AT20" s="366"/>
      <c r="AU20" s="370"/>
      <c r="AV20" s="363"/>
      <c r="AW20" s="363"/>
      <c r="AX20" s="363"/>
      <c r="AY20" s="364"/>
      <c r="AZ20" s="365"/>
      <c r="BA20" s="363"/>
      <c r="BB20" s="363"/>
      <c r="BC20" s="363"/>
      <c r="BD20" s="366"/>
      <c r="BE20" s="370"/>
      <c r="BF20" s="363"/>
      <c r="BG20" s="363"/>
      <c r="BH20" s="363"/>
      <c r="BI20" s="364"/>
      <c r="BJ20" s="365"/>
      <c r="BK20" s="363"/>
      <c r="BL20" s="363"/>
      <c r="BM20" s="363"/>
      <c r="BN20" s="366"/>
      <c r="BO20" s="370"/>
      <c r="BP20" s="363"/>
      <c r="BQ20" s="363"/>
      <c r="BR20" s="363"/>
      <c r="BS20" s="364"/>
      <c r="BT20" s="365"/>
      <c r="BU20" s="363"/>
      <c r="BV20" s="363"/>
      <c r="BW20" s="363"/>
      <c r="BX20" s="366"/>
      <c r="BY20" s="370"/>
      <c r="BZ20" s="363"/>
      <c r="CA20" s="363"/>
      <c r="CB20" s="363"/>
      <c r="CC20" s="364"/>
      <c r="CD20" s="365"/>
      <c r="CE20" s="363"/>
      <c r="CF20" s="363"/>
      <c r="CG20" s="363"/>
      <c r="CH20" s="364"/>
      <c r="CI20" s="365"/>
      <c r="CJ20" s="363"/>
      <c r="CK20" s="363"/>
      <c r="CL20" s="363"/>
      <c r="CM20" s="366"/>
      <c r="CN20" s="45"/>
      <c r="CO20" s="45"/>
      <c r="CP20" s="45"/>
      <c r="CQ20" s="45"/>
      <c r="CR20" s="45"/>
      <c r="CS20" s="45"/>
      <c r="CT20" s="45"/>
      <c r="CU20" s="45"/>
      <c r="CV20" s="45"/>
      <c r="CW20" s="45"/>
      <c r="CX20" s="46"/>
      <c r="CY20" s="45"/>
      <c r="CZ20" s="45"/>
      <c r="DA20" s="46"/>
      <c r="DB20" s="45"/>
      <c r="DC20" s="45"/>
      <c r="DD20" s="45"/>
      <c r="DE20" s="45"/>
      <c r="DF20" s="46"/>
      <c r="DG20" s="45"/>
      <c r="DH20" s="45"/>
      <c r="DI20" s="45"/>
      <c r="DJ20" s="45"/>
      <c r="DK20" s="45"/>
      <c r="DL20" s="45"/>
      <c r="DM20" s="45"/>
      <c r="DN20" s="45"/>
    </row>
    <row r="21" spans="1:118" ht="25.5" customHeight="1">
      <c r="A21" s="321">
        <v>4464</v>
      </c>
      <c r="B21" s="322" t="s">
        <v>11</v>
      </c>
      <c r="C21" s="322" t="s">
        <v>44</v>
      </c>
      <c r="D21" s="322" t="s">
        <v>76</v>
      </c>
      <c r="E21" s="323" t="s">
        <v>53</v>
      </c>
      <c r="F21" s="322"/>
      <c r="G21" s="323" t="s">
        <v>1496</v>
      </c>
      <c r="H21" s="324" t="s">
        <v>54</v>
      </c>
      <c r="I21" s="325"/>
      <c r="J21" s="323"/>
      <c r="K21" s="326"/>
      <c r="L21" s="327" t="s">
        <v>78</v>
      </c>
      <c r="M21" s="322" t="s">
        <v>77</v>
      </c>
      <c r="N21" s="322"/>
      <c r="O21" s="322" t="s">
        <v>77</v>
      </c>
      <c r="P21" s="328" t="s">
        <v>77</v>
      </c>
      <c r="Q21" s="327"/>
      <c r="R21" s="322"/>
      <c r="S21" s="322"/>
      <c r="T21" s="322"/>
      <c r="U21" s="329" t="s">
        <v>80</v>
      </c>
      <c r="V21" s="321"/>
      <c r="W21" s="323"/>
      <c r="X21" s="323"/>
      <c r="Y21" s="323"/>
      <c r="Z21" s="326"/>
      <c r="AA21" s="330"/>
      <c r="AB21" s="323"/>
      <c r="AC21" s="323"/>
      <c r="AD21" s="323"/>
      <c r="AE21" s="324"/>
      <c r="AF21" s="325"/>
      <c r="AG21" s="323"/>
      <c r="AH21" s="323"/>
      <c r="AI21" s="323"/>
      <c r="AJ21" s="326"/>
      <c r="AK21" s="330"/>
      <c r="AL21" s="323"/>
      <c r="AM21" s="323"/>
      <c r="AN21" s="323"/>
      <c r="AO21" s="324"/>
      <c r="AP21" s="325"/>
      <c r="AQ21" s="323"/>
      <c r="AR21" s="323"/>
      <c r="AS21" s="323"/>
      <c r="AT21" s="326"/>
      <c r="AU21" s="330"/>
      <c r="AV21" s="323"/>
      <c r="AW21" s="323"/>
      <c r="AX21" s="323"/>
      <c r="AY21" s="324"/>
      <c r="AZ21" s="325"/>
      <c r="BA21" s="323"/>
      <c r="BB21" s="323"/>
      <c r="BC21" s="323"/>
      <c r="BD21" s="326"/>
      <c r="BE21" s="330"/>
      <c r="BF21" s="323"/>
      <c r="BG21" s="323"/>
      <c r="BH21" s="323"/>
      <c r="BI21" s="324"/>
      <c r="BJ21" s="325"/>
      <c r="BK21" s="323"/>
      <c r="BL21" s="323"/>
      <c r="BM21" s="323"/>
      <c r="BN21" s="326"/>
      <c r="BO21" s="330"/>
      <c r="BP21" s="323"/>
      <c r="BQ21" s="323"/>
      <c r="BR21" s="323"/>
      <c r="BS21" s="324"/>
      <c r="BT21" s="325"/>
      <c r="BU21" s="323"/>
      <c r="BV21" s="323"/>
      <c r="BW21" s="323"/>
      <c r="BX21" s="326"/>
      <c r="BY21" s="330"/>
      <c r="BZ21" s="323"/>
      <c r="CA21" s="323"/>
      <c r="CB21" s="323"/>
      <c r="CC21" s="324"/>
      <c r="CD21" s="325"/>
      <c r="CE21" s="323"/>
      <c r="CF21" s="323"/>
      <c r="CG21" s="323"/>
      <c r="CH21" s="324"/>
      <c r="CI21" s="325"/>
      <c r="CJ21" s="323"/>
      <c r="CK21" s="323"/>
      <c r="CL21" s="323"/>
      <c r="CM21" s="326"/>
    </row>
    <row r="22" spans="1:118" ht="25.5" customHeight="1">
      <c r="A22" s="321">
        <v>4465</v>
      </c>
      <c r="B22" s="322" t="s">
        <v>11</v>
      </c>
      <c r="C22" s="322" t="s">
        <v>44</v>
      </c>
      <c r="D22" s="322" t="s">
        <v>76</v>
      </c>
      <c r="E22" s="323" t="s">
        <v>53</v>
      </c>
      <c r="F22" s="322"/>
      <c r="G22" s="323" t="s">
        <v>1498</v>
      </c>
      <c r="H22" s="371" t="s">
        <v>54</v>
      </c>
      <c r="I22" s="325"/>
      <c r="J22" s="323"/>
      <c r="K22" s="326"/>
      <c r="L22" s="327" t="s">
        <v>78</v>
      </c>
      <c r="M22" s="322" t="s">
        <v>77</v>
      </c>
      <c r="N22" s="322"/>
      <c r="O22" s="322" t="s">
        <v>77</v>
      </c>
      <c r="P22" s="328" t="s">
        <v>77</v>
      </c>
      <c r="Q22" s="327"/>
      <c r="R22" s="322"/>
      <c r="S22" s="322"/>
      <c r="T22" s="322"/>
      <c r="U22" s="329" t="s">
        <v>80</v>
      </c>
      <c r="V22" s="321"/>
      <c r="W22" s="372"/>
      <c r="X22" s="372"/>
      <c r="Y22" s="372"/>
      <c r="Z22" s="373"/>
      <c r="AA22" s="374"/>
      <c r="AB22" s="372"/>
      <c r="AC22" s="372"/>
      <c r="AD22" s="372"/>
      <c r="AE22" s="371"/>
      <c r="AF22" s="375"/>
      <c r="AG22" s="372"/>
      <c r="AH22" s="372"/>
      <c r="AI22" s="372"/>
      <c r="AJ22" s="373"/>
      <c r="AK22" s="374"/>
      <c r="AL22" s="372"/>
      <c r="AM22" s="372"/>
      <c r="AN22" s="372"/>
      <c r="AO22" s="371"/>
      <c r="AP22" s="375"/>
      <c r="AQ22" s="372"/>
      <c r="AR22" s="372"/>
      <c r="AS22" s="372"/>
      <c r="AT22" s="373"/>
      <c r="AU22" s="374"/>
      <c r="AV22" s="372"/>
      <c r="AW22" s="372"/>
      <c r="AX22" s="372"/>
      <c r="AY22" s="371"/>
      <c r="AZ22" s="375"/>
      <c r="BA22" s="372"/>
      <c r="BB22" s="372"/>
      <c r="BC22" s="372"/>
      <c r="BD22" s="373"/>
      <c r="BE22" s="374"/>
      <c r="BF22" s="372"/>
      <c r="BG22" s="372"/>
      <c r="BH22" s="372"/>
      <c r="BI22" s="371"/>
      <c r="BJ22" s="375"/>
      <c r="BK22" s="372"/>
      <c r="BL22" s="372"/>
      <c r="BM22" s="372"/>
      <c r="BN22" s="373"/>
      <c r="BO22" s="374"/>
      <c r="BP22" s="372"/>
      <c r="BQ22" s="372"/>
      <c r="BR22" s="372"/>
      <c r="BS22" s="371"/>
      <c r="BT22" s="375"/>
      <c r="BU22" s="372"/>
      <c r="BV22" s="372"/>
      <c r="BW22" s="372"/>
      <c r="BX22" s="373"/>
      <c r="BY22" s="374"/>
      <c r="BZ22" s="372"/>
      <c r="CA22" s="372"/>
      <c r="CB22" s="372"/>
      <c r="CC22" s="371"/>
      <c r="CD22" s="375"/>
      <c r="CE22" s="372"/>
      <c r="CF22" s="372"/>
      <c r="CG22" s="372"/>
      <c r="CH22" s="371"/>
      <c r="CI22" s="375"/>
      <c r="CJ22" s="372"/>
      <c r="CK22" s="372"/>
      <c r="CL22" s="372"/>
      <c r="CM22" s="373"/>
    </row>
    <row r="23" spans="1:118" ht="25.5" customHeight="1">
      <c r="A23" s="321">
        <v>4466</v>
      </c>
      <c r="B23" s="322" t="s">
        <v>11</v>
      </c>
      <c r="C23" s="322" t="s">
        <v>44</v>
      </c>
      <c r="D23" s="322" t="s">
        <v>76</v>
      </c>
      <c r="E23" s="323" t="s">
        <v>53</v>
      </c>
      <c r="F23" s="322"/>
      <c r="G23" s="323" t="s">
        <v>1500</v>
      </c>
      <c r="H23" s="371" t="s">
        <v>54</v>
      </c>
      <c r="I23" s="325"/>
      <c r="J23" s="323"/>
      <c r="K23" s="326"/>
      <c r="L23" s="327" t="s">
        <v>78</v>
      </c>
      <c r="M23" s="322" t="s">
        <v>77</v>
      </c>
      <c r="N23" s="322"/>
      <c r="O23" s="322" t="s">
        <v>77</v>
      </c>
      <c r="P23" s="328" t="s">
        <v>77</v>
      </c>
      <c r="Q23" s="327"/>
      <c r="R23" s="322"/>
      <c r="S23" s="322"/>
      <c r="T23" s="322"/>
      <c r="U23" s="329" t="s">
        <v>80</v>
      </c>
      <c r="V23" s="321"/>
      <c r="W23" s="372"/>
      <c r="X23" s="372"/>
      <c r="Y23" s="372"/>
      <c r="Z23" s="373"/>
      <c r="AA23" s="374"/>
      <c r="AB23" s="372"/>
      <c r="AC23" s="372"/>
      <c r="AD23" s="372"/>
      <c r="AE23" s="371"/>
      <c r="AF23" s="375"/>
      <c r="AG23" s="372"/>
      <c r="AH23" s="372"/>
      <c r="AI23" s="372"/>
      <c r="AJ23" s="373"/>
      <c r="AK23" s="374"/>
      <c r="AL23" s="372"/>
      <c r="AM23" s="372"/>
      <c r="AN23" s="372"/>
      <c r="AO23" s="371"/>
      <c r="AP23" s="375"/>
      <c r="AQ23" s="372"/>
      <c r="AR23" s="372"/>
      <c r="AS23" s="372"/>
      <c r="AT23" s="373"/>
      <c r="AU23" s="374"/>
      <c r="AV23" s="372"/>
      <c r="AW23" s="372"/>
      <c r="AX23" s="372"/>
      <c r="AY23" s="371"/>
      <c r="AZ23" s="375"/>
      <c r="BA23" s="372"/>
      <c r="BB23" s="372"/>
      <c r="BC23" s="372"/>
      <c r="BD23" s="373"/>
      <c r="BE23" s="374"/>
      <c r="BF23" s="372"/>
      <c r="BG23" s="372"/>
      <c r="BH23" s="372"/>
      <c r="BI23" s="371"/>
      <c r="BJ23" s="375"/>
      <c r="BK23" s="372"/>
      <c r="BL23" s="372"/>
      <c r="BM23" s="372"/>
      <c r="BN23" s="373"/>
      <c r="BO23" s="374"/>
      <c r="BP23" s="372"/>
      <c r="BQ23" s="372"/>
      <c r="BR23" s="372"/>
      <c r="BS23" s="371"/>
      <c r="BT23" s="375"/>
      <c r="BU23" s="372"/>
      <c r="BV23" s="372"/>
      <c r="BW23" s="372"/>
      <c r="BX23" s="373"/>
      <c r="BY23" s="374"/>
      <c r="BZ23" s="372"/>
      <c r="CA23" s="372"/>
      <c r="CB23" s="372"/>
      <c r="CC23" s="371"/>
      <c r="CD23" s="375"/>
      <c r="CE23" s="372"/>
      <c r="CF23" s="372"/>
      <c r="CG23" s="372"/>
      <c r="CH23" s="371"/>
      <c r="CI23" s="375"/>
      <c r="CJ23" s="372"/>
      <c r="CK23" s="372"/>
      <c r="CL23" s="372"/>
      <c r="CM23" s="373"/>
    </row>
    <row r="24" spans="1:118" ht="25.5" customHeight="1" thickBot="1">
      <c r="A24" s="331">
        <v>4467</v>
      </c>
      <c r="B24" s="332" t="s">
        <v>11</v>
      </c>
      <c r="C24" s="332" t="s">
        <v>44</v>
      </c>
      <c r="D24" s="332" t="s">
        <v>76</v>
      </c>
      <c r="E24" s="333" t="s">
        <v>53</v>
      </c>
      <c r="F24" s="332"/>
      <c r="G24" s="333" t="s">
        <v>1502</v>
      </c>
      <c r="H24" s="376" t="s">
        <v>54</v>
      </c>
      <c r="I24" s="335"/>
      <c r="J24" s="333"/>
      <c r="K24" s="336"/>
      <c r="L24" s="337" t="s">
        <v>78</v>
      </c>
      <c r="M24" s="332" t="s">
        <v>77</v>
      </c>
      <c r="N24" s="332"/>
      <c r="O24" s="332" t="s">
        <v>77</v>
      </c>
      <c r="P24" s="338" t="s">
        <v>77</v>
      </c>
      <c r="Q24" s="337"/>
      <c r="R24" s="332"/>
      <c r="S24" s="332"/>
      <c r="T24" s="332"/>
      <c r="U24" s="339" t="s">
        <v>80</v>
      </c>
      <c r="V24" s="331"/>
      <c r="W24" s="377"/>
      <c r="X24" s="377"/>
      <c r="Y24" s="377"/>
      <c r="Z24" s="378"/>
      <c r="AA24" s="379"/>
      <c r="AB24" s="377"/>
      <c r="AC24" s="377"/>
      <c r="AD24" s="377"/>
      <c r="AE24" s="376"/>
      <c r="AF24" s="380"/>
      <c r="AG24" s="377"/>
      <c r="AH24" s="377"/>
      <c r="AI24" s="377"/>
      <c r="AJ24" s="378"/>
      <c r="AK24" s="379"/>
      <c r="AL24" s="377"/>
      <c r="AM24" s="377"/>
      <c r="AN24" s="377"/>
      <c r="AO24" s="376"/>
      <c r="AP24" s="380"/>
      <c r="AQ24" s="377"/>
      <c r="AR24" s="377"/>
      <c r="AS24" s="377"/>
      <c r="AT24" s="378"/>
      <c r="AU24" s="379"/>
      <c r="AV24" s="377"/>
      <c r="AW24" s="377"/>
      <c r="AX24" s="377"/>
      <c r="AY24" s="376"/>
      <c r="AZ24" s="380"/>
      <c r="BA24" s="377"/>
      <c r="BB24" s="377"/>
      <c r="BC24" s="377"/>
      <c r="BD24" s="378"/>
      <c r="BE24" s="379"/>
      <c r="BF24" s="377"/>
      <c r="BG24" s="377"/>
      <c r="BH24" s="377"/>
      <c r="BI24" s="376"/>
      <c r="BJ24" s="380"/>
      <c r="BK24" s="377"/>
      <c r="BL24" s="377"/>
      <c r="BM24" s="377"/>
      <c r="BN24" s="378"/>
      <c r="BO24" s="379"/>
      <c r="BP24" s="377"/>
      <c r="BQ24" s="377"/>
      <c r="BR24" s="377"/>
      <c r="BS24" s="376"/>
      <c r="BT24" s="380"/>
      <c r="BU24" s="377"/>
      <c r="BV24" s="377"/>
      <c r="BW24" s="377"/>
      <c r="BX24" s="378"/>
      <c r="BY24" s="379"/>
      <c r="BZ24" s="377"/>
      <c r="CA24" s="377"/>
      <c r="CB24" s="377"/>
      <c r="CC24" s="376"/>
      <c r="CD24" s="380"/>
      <c r="CE24" s="377"/>
      <c r="CF24" s="377"/>
      <c r="CG24" s="377"/>
      <c r="CH24" s="376"/>
      <c r="CI24" s="380"/>
      <c r="CJ24" s="377"/>
      <c r="CK24" s="377"/>
      <c r="CL24" s="377"/>
      <c r="CM24" s="378"/>
    </row>
    <row r="25" spans="1:118" ht="25.5" customHeight="1">
      <c r="A25" s="341">
        <v>4468</v>
      </c>
      <c r="B25" s="342" t="s">
        <v>11</v>
      </c>
      <c r="C25" s="342" t="s">
        <v>44</v>
      </c>
      <c r="D25" s="342" t="s">
        <v>76</v>
      </c>
      <c r="E25" s="343" t="s">
        <v>53</v>
      </c>
      <c r="F25" s="342"/>
      <c r="G25" s="343" t="s">
        <v>1504</v>
      </c>
      <c r="H25" s="344" t="s">
        <v>54</v>
      </c>
      <c r="I25" s="345"/>
      <c r="J25" s="343"/>
      <c r="K25" s="346"/>
      <c r="L25" s="347" t="s">
        <v>78</v>
      </c>
      <c r="M25" s="342" t="s">
        <v>77</v>
      </c>
      <c r="N25" s="342"/>
      <c r="O25" s="342" t="s">
        <v>77</v>
      </c>
      <c r="P25" s="348" t="s">
        <v>77</v>
      </c>
      <c r="Q25" s="347"/>
      <c r="R25" s="342"/>
      <c r="S25" s="342"/>
      <c r="T25" s="342"/>
      <c r="U25" s="349" t="s">
        <v>80</v>
      </c>
      <c r="V25" s="341"/>
      <c r="W25" s="381"/>
      <c r="X25" s="381"/>
      <c r="Y25" s="381"/>
      <c r="Z25" s="382"/>
      <c r="AA25" s="383"/>
      <c r="AB25" s="381"/>
      <c r="AC25" s="381"/>
      <c r="AD25" s="381"/>
      <c r="AE25" s="384"/>
      <c r="AF25" s="385"/>
      <c r="AG25" s="381"/>
      <c r="AH25" s="381"/>
      <c r="AI25" s="381"/>
      <c r="AJ25" s="382"/>
      <c r="AK25" s="383"/>
      <c r="AL25" s="381"/>
      <c r="AM25" s="381"/>
      <c r="AN25" s="381"/>
      <c r="AO25" s="384"/>
      <c r="AP25" s="385"/>
      <c r="AQ25" s="381"/>
      <c r="AR25" s="381"/>
      <c r="AS25" s="381"/>
      <c r="AT25" s="382"/>
      <c r="AU25" s="383"/>
      <c r="AV25" s="381"/>
      <c r="AW25" s="381"/>
      <c r="AX25" s="381"/>
      <c r="AY25" s="384"/>
      <c r="AZ25" s="385"/>
      <c r="BA25" s="381"/>
      <c r="BB25" s="381"/>
      <c r="BC25" s="381"/>
      <c r="BD25" s="382"/>
      <c r="BE25" s="383"/>
      <c r="BF25" s="381"/>
      <c r="BG25" s="381"/>
      <c r="BH25" s="381"/>
      <c r="BI25" s="384"/>
      <c r="BJ25" s="385"/>
      <c r="BK25" s="381"/>
      <c r="BL25" s="381"/>
      <c r="BM25" s="381"/>
      <c r="BN25" s="382"/>
      <c r="BO25" s="383"/>
      <c r="BP25" s="381"/>
      <c r="BQ25" s="381"/>
      <c r="BR25" s="381"/>
      <c r="BS25" s="384"/>
      <c r="BT25" s="385"/>
      <c r="BU25" s="381"/>
      <c r="BV25" s="381"/>
      <c r="BW25" s="381"/>
      <c r="BX25" s="382"/>
      <c r="BY25" s="383"/>
      <c r="BZ25" s="381"/>
      <c r="CA25" s="381"/>
      <c r="CB25" s="381"/>
      <c r="CC25" s="384"/>
      <c r="CD25" s="385"/>
      <c r="CE25" s="381"/>
      <c r="CF25" s="381"/>
      <c r="CG25" s="381"/>
      <c r="CH25" s="384"/>
      <c r="CI25" s="385"/>
      <c r="CJ25" s="381"/>
      <c r="CK25" s="381"/>
      <c r="CL25" s="381"/>
      <c r="CM25" s="382"/>
    </row>
    <row r="26" spans="1:118" ht="25.5" customHeight="1">
      <c r="A26" s="386">
        <v>4469</v>
      </c>
      <c r="B26" s="387" t="s">
        <v>11</v>
      </c>
      <c r="C26" s="387" t="s">
        <v>44</v>
      </c>
      <c r="D26" s="387" t="s">
        <v>76</v>
      </c>
      <c r="E26" s="372" t="s">
        <v>53</v>
      </c>
      <c r="F26" s="387"/>
      <c r="G26" s="372" t="s">
        <v>1506</v>
      </c>
      <c r="H26" s="371" t="s">
        <v>54</v>
      </c>
      <c r="I26" s="375"/>
      <c r="J26" s="372"/>
      <c r="K26" s="373"/>
      <c r="L26" s="388" t="s">
        <v>78</v>
      </c>
      <c r="M26" s="387" t="s">
        <v>77</v>
      </c>
      <c r="N26" s="387"/>
      <c r="O26" s="387" t="s">
        <v>77</v>
      </c>
      <c r="P26" s="389" t="s">
        <v>77</v>
      </c>
      <c r="Q26" s="388"/>
      <c r="R26" s="387"/>
      <c r="S26" s="387"/>
      <c r="T26" s="387"/>
      <c r="U26" s="390" t="s">
        <v>80</v>
      </c>
      <c r="V26" s="386"/>
      <c r="W26" s="372"/>
      <c r="X26" s="372"/>
      <c r="Y26" s="372"/>
      <c r="Z26" s="373"/>
      <c r="AA26" s="374"/>
      <c r="AB26" s="372"/>
      <c r="AC26" s="372"/>
      <c r="AD26" s="372"/>
      <c r="AE26" s="371"/>
      <c r="AF26" s="375"/>
      <c r="AG26" s="372"/>
      <c r="AH26" s="372"/>
      <c r="AI26" s="372"/>
      <c r="AJ26" s="373"/>
      <c r="AK26" s="374"/>
      <c r="AL26" s="372"/>
      <c r="AM26" s="372"/>
      <c r="AN26" s="372"/>
      <c r="AO26" s="371"/>
      <c r="AP26" s="375"/>
      <c r="AQ26" s="372"/>
      <c r="AR26" s="372"/>
      <c r="AS26" s="372"/>
      <c r="AT26" s="373"/>
      <c r="AU26" s="374"/>
      <c r="AV26" s="372"/>
      <c r="AW26" s="372"/>
      <c r="AX26" s="372"/>
      <c r="AY26" s="371"/>
      <c r="AZ26" s="375"/>
      <c r="BA26" s="372"/>
      <c r="BB26" s="372"/>
      <c r="BC26" s="372"/>
      <c r="BD26" s="373"/>
      <c r="BE26" s="374"/>
      <c r="BF26" s="372"/>
      <c r="BG26" s="372"/>
      <c r="BH26" s="372"/>
      <c r="BI26" s="371"/>
      <c r="BJ26" s="375"/>
      <c r="BK26" s="372"/>
      <c r="BL26" s="372"/>
      <c r="BM26" s="372"/>
      <c r="BN26" s="373"/>
      <c r="BO26" s="374"/>
      <c r="BP26" s="372"/>
      <c r="BQ26" s="372"/>
      <c r="BR26" s="372"/>
      <c r="BS26" s="371"/>
      <c r="BT26" s="375"/>
      <c r="BU26" s="372"/>
      <c r="BV26" s="372"/>
      <c r="BW26" s="372"/>
      <c r="BX26" s="373"/>
      <c r="BY26" s="374"/>
      <c r="BZ26" s="372"/>
      <c r="CA26" s="372"/>
      <c r="CB26" s="372"/>
      <c r="CC26" s="371"/>
      <c r="CD26" s="375"/>
      <c r="CE26" s="372"/>
      <c r="CF26" s="372"/>
      <c r="CG26" s="372"/>
      <c r="CH26" s="371"/>
      <c r="CI26" s="375"/>
      <c r="CJ26" s="372"/>
      <c r="CK26" s="372"/>
      <c r="CL26" s="372"/>
      <c r="CM26" s="373"/>
    </row>
    <row r="27" spans="1:118" ht="25.5" customHeight="1">
      <c r="A27" s="386">
        <v>4470</v>
      </c>
      <c r="B27" s="387" t="s">
        <v>11</v>
      </c>
      <c r="C27" s="387" t="s">
        <v>44</v>
      </c>
      <c r="D27" s="387" t="s">
        <v>76</v>
      </c>
      <c r="E27" s="372" t="s">
        <v>53</v>
      </c>
      <c r="F27" s="387"/>
      <c r="G27" s="372" t="s">
        <v>1508</v>
      </c>
      <c r="H27" s="371" t="s">
        <v>54</v>
      </c>
      <c r="I27" s="375"/>
      <c r="J27" s="372"/>
      <c r="K27" s="373"/>
      <c r="L27" s="388" t="s">
        <v>78</v>
      </c>
      <c r="M27" s="387" t="s">
        <v>77</v>
      </c>
      <c r="N27" s="387"/>
      <c r="O27" s="387" t="s">
        <v>77</v>
      </c>
      <c r="P27" s="389" t="s">
        <v>77</v>
      </c>
      <c r="Q27" s="388"/>
      <c r="R27" s="387"/>
      <c r="S27" s="387"/>
      <c r="T27" s="387"/>
      <c r="U27" s="390" t="s">
        <v>80</v>
      </c>
      <c r="V27" s="386"/>
      <c r="W27" s="372"/>
      <c r="X27" s="372"/>
      <c r="Y27" s="372"/>
      <c r="Z27" s="373"/>
      <c r="AA27" s="374"/>
      <c r="AB27" s="372"/>
      <c r="AC27" s="372"/>
      <c r="AD27" s="372"/>
      <c r="AE27" s="371"/>
      <c r="AF27" s="375"/>
      <c r="AG27" s="372"/>
      <c r="AH27" s="372"/>
      <c r="AI27" s="372"/>
      <c r="AJ27" s="373"/>
      <c r="AK27" s="374"/>
      <c r="AL27" s="372"/>
      <c r="AM27" s="372"/>
      <c r="AN27" s="372"/>
      <c r="AO27" s="371"/>
      <c r="AP27" s="375"/>
      <c r="AQ27" s="372"/>
      <c r="AR27" s="372"/>
      <c r="AS27" s="372"/>
      <c r="AT27" s="373"/>
      <c r="AU27" s="374"/>
      <c r="AV27" s="372"/>
      <c r="AW27" s="372"/>
      <c r="AX27" s="372"/>
      <c r="AY27" s="371"/>
      <c r="AZ27" s="375"/>
      <c r="BA27" s="372"/>
      <c r="BB27" s="372"/>
      <c r="BC27" s="372"/>
      <c r="BD27" s="373"/>
      <c r="BE27" s="374"/>
      <c r="BF27" s="372"/>
      <c r="BG27" s="372"/>
      <c r="BH27" s="372"/>
      <c r="BI27" s="371"/>
      <c r="BJ27" s="375"/>
      <c r="BK27" s="372"/>
      <c r="BL27" s="372"/>
      <c r="BM27" s="372"/>
      <c r="BN27" s="373"/>
      <c r="BO27" s="374"/>
      <c r="BP27" s="372"/>
      <c r="BQ27" s="372"/>
      <c r="BR27" s="372"/>
      <c r="BS27" s="371"/>
      <c r="BT27" s="375"/>
      <c r="BU27" s="372"/>
      <c r="BV27" s="372"/>
      <c r="BW27" s="372"/>
      <c r="BX27" s="373"/>
      <c r="BY27" s="374"/>
      <c r="BZ27" s="372"/>
      <c r="CA27" s="372"/>
      <c r="CB27" s="372"/>
      <c r="CC27" s="371"/>
      <c r="CD27" s="375"/>
      <c r="CE27" s="372"/>
      <c r="CF27" s="372"/>
      <c r="CG27" s="372"/>
      <c r="CH27" s="371"/>
      <c r="CI27" s="375"/>
      <c r="CJ27" s="372"/>
      <c r="CK27" s="372"/>
      <c r="CL27" s="372"/>
      <c r="CM27" s="373"/>
    </row>
    <row r="28" spans="1:118" ht="25.5" customHeight="1">
      <c r="A28" s="386">
        <v>4471</v>
      </c>
      <c r="B28" s="387" t="s">
        <v>11</v>
      </c>
      <c r="C28" s="387" t="s">
        <v>44</v>
      </c>
      <c r="D28" s="387" t="s">
        <v>76</v>
      </c>
      <c r="E28" s="372" t="s">
        <v>53</v>
      </c>
      <c r="F28" s="387"/>
      <c r="G28" s="372" t="s">
        <v>1510</v>
      </c>
      <c r="H28" s="371" t="s">
        <v>54</v>
      </c>
      <c r="I28" s="375"/>
      <c r="J28" s="372"/>
      <c r="K28" s="373"/>
      <c r="L28" s="388" t="s">
        <v>78</v>
      </c>
      <c r="M28" s="387" t="s">
        <v>77</v>
      </c>
      <c r="N28" s="387"/>
      <c r="O28" s="387" t="s">
        <v>77</v>
      </c>
      <c r="P28" s="389" t="s">
        <v>77</v>
      </c>
      <c r="Q28" s="388"/>
      <c r="R28" s="387"/>
      <c r="S28" s="387"/>
      <c r="T28" s="387"/>
      <c r="U28" s="390" t="s">
        <v>80</v>
      </c>
      <c r="V28" s="386"/>
      <c r="W28" s="372"/>
      <c r="X28" s="372"/>
      <c r="Y28" s="372"/>
      <c r="Z28" s="373"/>
      <c r="AA28" s="374"/>
      <c r="AB28" s="372"/>
      <c r="AC28" s="372"/>
      <c r="AD28" s="372"/>
      <c r="AE28" s="371"/>
      <c r="AF28" s="375"/>
      <c r="AG28" s="372"/>
      <c r="AH28" s="372"/>
      <c r="AI28" s="372"/>
      <c r="AJ28" s="373"/>
      <c r="AK28" s="374"/>
      <c r="AL28" s="372"/>
      <c r="AM28" s="372"/>
      <c r="AN28" s="372"/>
      <c r="AO28" s="371"/>
      <c r="AP28" s="375"/>
      <c r="AQ28" s="372"/>
      <c r="AR28" s="372"/>
      <c r="AS28" s="372"/>
      <c r="AT28" s="373"/>
      <c r="AU28" s="374"/>
      <c r="AV28" s="372"/>
      <c r="AW28" s="372"/>
      <c r="AX28" s="372"/>
      <c r="AY28" s="371"/>
      <c r="AZ28" s="375"/>
      <c r="BA28" s="372"/>
      <c r="BB28" s="372"/>
      <c r="BC28" s="372"/>
      <c r="BD28" s="373"/>
      <c r="BE28" s="374"/>
      <c r="BF28" s="372"/>
      <c r="BG28" s="372"/>
      <c r="BH28" s="372"/>
      <c r="BI28" s="371"/>
      <c r="BJ28" s="375"/>
      <c r="BK28" s="372"/>
      <c r="BL28" s="372"/>
      <c r="BM28" s="372"/>
      <c r="BN28" s="373"/>
      <c r="BO28" s="374"/>
      <c r="BP28" s="372"/>
      <c r="BQ28" s="372"/>
      <c r="BR28" s="372"/>
      <c r="BS28" s="371"/>
      <c r="BT28" s="375"/>
      <c r="BU28" s="372"/>
      <c r="BV28" s="372"/>
      <c r="BW28" s="372"/>
      <c r="BX28" s="373"/>
      <c r="BY28" s="374"/>
      <c r="BZ28" s="372"/>
      <c r="CA28" s="372"/>
      <c r="CB28" s="372"/>
      <c r="CC28" s="371"/>
      <c r="CD28" s="375"/>
      <c r="CE28" s="372"/>
      <c r="CF28" s="372"/>
      <c r="CG28" s="372"/>
      <c r="CH28" s="371"/>
      <c r="CI28" s="375"/>
      <c r="CJ28" s="372"/>
      <c r="CK28" s="372"/>
      <c r="CL28" s="372"/>
      <c r="CM28" s="373"/>
    </row>
    <row r="29" spans="1:118" ht="25.5" customHeight="1" thickBot="1">
      <c r="A29" s="391">
        <v>4472</v>
      </c>
      <c r="B29" s="392" t="s">
        <v>11</v>
      </c>
      <c r="C29" s="392" t="s">
        <v>44</v>
      </c>
      <c r="D29" s="392" t="s">
        <v>76</v>
      </c>
      <c r="E29" s="393" t="s">
        <v>53</v>
      </c>
      <c r="F29" s="392"/>
      <c r="G29" s="393" t="s">
        <v>1512</v>
      </c>
      <c r="H29" s="394" t="s">
        <v>54</v>
      </c>
      <c r="I29" s="395"/>
      <c r="J29" s="393"/>
      <c r="K29" s="396"/>
      <c r="L29" s="397" t="s">
        <v>78</v>
      </c>
      <c r="M29" s="392" t="s">
        <v>77</v>
      </c>
      <c r="N29" s="392"/>
      <c r="O29" s="392" t="s">
        <v>77</v>
      </c>
      <c r="P29" s="398" t="s">
        <v>77</v>
      </c>
      <c r="Q29" s="397"/>
      <c r="R29" s="392"/>
      <c r="S29" s="392"/>
      <c r="T29" s="392"/>
      <c r="U29" s="399" t="s">
        <v>80</v>
      </c>
      <c r="V29" s="391"/>
      <c r="W29" s="393"/>
      <c r="X29" s="393"/>
      <c r="Y29" s="393"/>
      <c r="Z29" s="396"/>
      <c r="AA29" s="400"/>
      <c r="AB29" s="393"/>
      <c r="AC29" s="393"/>
      <c r="AD29" s="393"/>
      <c r="AE29" s="394"/>
      <c r="AF29" s="395"/>
      <c r="AG29" s="393"/>
      <c r="AH29" s="393"/>
      <c r="AI29" s="393"/>
      <c r="AJ29" s="396"/>
      <c r="AK29" s="400"/>
      <c r="AL29" s="393"/>
      <c r="AM29" s="393"/>
      <c r="AN29" s="393"/>
      <c r="AO29" s="394"/>
      <c r="AP29" s="395"/>
      <c r="AQ29" s="393"/>
      <c r="AR29" s="393"/>
      <c r="AS29" s="393"/>
      <c r="AT29" s="396"/>
      <c r="AU29" s="400"/>
      <c r="AV29" s="393"/>
      <c r="AW29" s="393"/>
      <c r="AX29" s="393"/>
      <c r="AY29" s="394"/>
      <c r="AZ29" s="395"/>
      <c r="BA29" s="393"/>
      <c r="BB29" s="393"/>
      <c r="BC29" s="393"/>
      <c r="BD29" s="396"/>
      <c r="BE29" s="400"/>
      <c r="BF29" s="393"/>
      <c r="BG29" s="393"/>
      <c r="BH29" s="393"/>
      <c r="BI29" s="394"/>
      <c r="BJ29" s="395"/>
      <c r="BK29" s="393"/>
      <c r="BL29" s="393"/>
      <c r="BM29" s="393"/>
      <c r="BN29" s="396"/>
      <c r="BO29" s="400"/>
      <c r="BP29" s="393"/>
      <c r="BQ29" s="393"/>
      <c r="BR29" s="393"/>
      <c r="BS29" s="394"/>
      <c r="BT29" s="395"/>
      <c r="BU29" s="393"/>
      <c r="BV29" s="393"/>
      <c r="BW29" s="393"/>
      <c r="BX29" s="396"/>
      <c r="BY29" s="400"/>
      <c r="BZ29" s="393"/>
      <c r="CA29" s="393"/>
      <c r="CB29" s="393"/>
      <c r="CC29" s="394"/>
      <c r="CD29" s="395"/>
      <c r="CE29" s="393"/>
      <c r="CF29" s="393"/>
      <c r="CG29" s="393"/>
      <c r="CH29" s="394"/>
      <c r="CI29" s="395"/>
      <c r="CJ29" s="393"/>
      <c r="CK29" s="393"/>
      <c r="CL29" s="393"/>
      <c r="CM29" s="396"/>
    </row>
    <row r="30" spans="1:118" ht="25.5" customHeight="1">
      <c r="A30" s="401">
        <v>4473</v>
      </c>
      <c r="B30" s="402" t="s">
        <v>11</v>
      </c>
      <c r="C30" s="402" t="s">
        <v>44</v>
      </c>
      <c r="D30" s="402" t="s">
        <v>76</v>
      </c>
      <c r="E30" s="403" t="s">
        <v>53</v>
      </c>
      <c r="F30" s="402"/>
      <c r="G30" s="403" t="s">
        <v>1514</v>
      </c>
      <c r="H30" s="404" t="s">
        <v>54</v>
      </c>
      <c r="I30" s="405"/>
      <c r="J30" s="403"/>
      <c r="K30" s="406"/>
      <c r="L30" s="407" t="s">
        <v>78</v>
      </c>
      <c r="M30" s="402" t="s">
        <v>77</v>
      </c>
      <c r="N30" s="402"/>
      <c r="O30" s="402" t="s">
        <v>77</v>
      </c>
      <c r="P30" s="408" t="s">
        <v>77</v>
      </c>
      <c r="Q30" s="407"/>
      <c r="R30" s="402"/>
      <c r="S30" s="402"/>
      <c r="T30" s="402"/>
      <c r="U30" s="409" t="s">
        <v>80</v>
      </c>
      <c r="V30" s="401"/>
      <c r="W30" s="403"/>
      <c r="X30" s="403"/>
      <c r="Y30" s="403"/>
      <c r="Z30" s="406"/>
      <c r="AA30" s="410"/>
      <c r="AB30" s="403"/>
      <c r="AC30" s="403"/>
      <c r="AD30" s="403"/>
      <c r="AE30" s="404"/>
      <c r="AF30" s="405"/>
      <c r="AG30" s="403"/>
      <c r="AH30" s="403"/>
      <c r="AI30" s="403"/>
      <c r="AJ30" s="406"/>
      <c r="AK30" s="410"/>
      <c r="AL30" s="403"/>
      <c r="AM30" s="403"/>
      <c r="AN30" s="403"/>
      <c r="AO30" s="404"/>
      <c r="AP30" s="405"/>
      <c r="AQ30" s="403"/>
      <c r="AR30" s="403"/>
      <c r="AS30" s="403"/>
      <c r="AT30" s="406"/>
      <c r="AU30" s="410"/>
      <c r="AV30" s="403"/>
      <c r="AW30" s="403"/>
      <c r="AX30" s="403"/>
      <c r="AY30" s="404"/>
      <c r="AZ30" s="405"/>
      <c r="BA30" s="403"/>
      <c r="BB30" s="403"/>
      <c r="BC30" s="403"/>
      <c r="BD30" s="406"/>
      <c r="BE30" s="410"/>
      <c r="BF30" s="403"/>
      <c r="BG30" s="403"/>
      <c r="BH30" s="403"/>
      <c r="BI30" s="404"/>
      <c r="BJ30" s="405"/>
      <c r="BK30" s="403"/>
      <c r="BL30" s="403"/>
      <c r="BM30" s="403"/>
      <c r="BN30" s="406"/>
      <c r="BO30" s="410"/>
      <c r="BP30" s="403"/>
      <c r="BQ30" s="403"/>
      <c r="BR30" s="403"/>
      <c r="BS30" s="404"/>
      <c r="BT30" s="405"/>
      <c r="BU30" s="403"/>
      <c r="BV30" s="403"/>
      <c r="BW30" s="403"/>
      <c r="BX30" s="406"/>
      <c r="BY30" s="410"/>
      <c r="BZ30" s="403"/>
      <c r="CA30" s="403"/>
      <c r="CB30" s="403"/>
      <c r="CC30" s="404"/>
      <c r="CD30" s="405"/>
      <c r="CE30" s="403"/>
      <c r="CF30" s="403"/>
      <c r="CG30" s="403"/>
      <c r="CH30" s="404"/>
      <c r="CI30" s="405"/>
      <c r="CJ30" s="403"/>
      <c r="CK30" s="403"/>
      <c r="CL30" s="403"/>
      <c r="CM30" s="406"/>
    </row>
    <row r="31" spans="1:118" ht="25.5" customHeight="1">
      <c r="A31" s="386">
        <v>4474</v>
      </c>
      <c r="B31" s="387" t="s">
        <v>11</v>
      </c>
      <c r="C31" s="387" t="s">
        <v>44</v>
      </c>
      <c r="D31" s="387" t="s">
        <v>76</v>
      </c>
      <c r="E31" s="372" t="s">
        <v>53</v>
      </c>
      <c r="F31" s="387"/>
      <c r="G31" s="372" t="s">
        <v>1516</v>
      </c>
      <c r="H31" s="371" t="s">
        <v>54</v>
      </c>
      <c r="I31" s="375"/>
      <c r="J31" s="372"/>
      <c r="K31" s="373"/>
      <c r="L31" s="388" t="s">
        <v>78</v>
      </c>
      <c r="M31" s="387" t="s">
        <v>77</v>
      </c>
      <c r="N31" s="387"/>
      <c r="O31" s="387" t="s">
        <v>77</v>
      </c>
      <c r="P31" s="389" t="s">
        <v>77</v>
      </c>
      <c r="Q31" s="388"/>
      <c r="R31" s="387"/>
      <c r="S31" s="387"/>
      <c r="T31" s="387"/>
      <c r="U31" s="390" t="s">
        <v>80</v>
      </c>
      <c r="V31" s="386"/>
      <c r="W31" s="372"/>
      <c r="X31" s="372"/>
      <c r="Y31" s="372"/>
      <c r="Z31" s="373"/>
      <c r="AA31" s="374"/>
      <c r="AB31" s="372"/>
      <c r="AC31" s="372"/>
      <c r="AD31" s="372"/>
      <c r="AE31" s="371"/>
      <c r="AF31" s="375"/>
      <c r="AG31" s="372"/>
      <c r="AH31" s="372"/>
      <c r="AI31" s="372"/>
      <c r="AJ31" s="373"/>
      <c r="AK31" s="374"/>
      <c r="AL31" s="372"/>
      <c r="AM31" s="372"/>
      <c r="AN31" s="372"/>
      <c r="AO31" s="371"/>
      <c r="AP31" s="375"/>
      <c r="AQ31" s="372"/>
      <c r="AR31" s="372"/>
      <c r="AS31" s="372"/>
      <c r="AT31" s="373"/>
      <c r="AU31" s="374"/>
      <c r="AV31" s="372"/>
      <c r="AW31" s="372"/>
      <c r="AX31" s="372"/>
      <c r="AY31" s="371"/>
      <c r="AZ31" s="375"/>
      <c r="BA31" s="372"/>
      <c r="BB31" s="372"/>
      <c r="BC31" s="372"/>
      <c r="BD31" s="373"/>
      <c r="BE31" s="374"/>
      <c r="BF31" s="372"/>
      <c r="BG31" s="372"/>
      <c r="BH31" s="372"/>
      <c r="BI31" s="371"/>
      <c r="BJ31" s="375"/>
      <c r="BK31" s="372"/>
      <c r="BL31" s="372"/>
      <c r="BM31" s="372"/>
      <c r="BN31" s="373"/>
      <c r="BO31" s="374"/>
      <c r="BP31" s="372"/>
      <c r="BQ31" s="372"/>
      <c r="BR31" s="372"/>
      <c r="BS31" s="371"/>
      <c r="BT31" s="375"/>
      <c r="BU31" s="372"/>
      <c r="BV31" s="372"/>
      <c r="BW31" s="372"/>
      <c r="BX31" s="373"/>
      <c r="BY31" s="374"/>
      <c r="BZ31" s="372"/>
      <c r="CA31" s="372"/>
      <c r="CB31" s="372"/>
      <c r="CC31" s="371"/>
      <c r="CD31" s="375"/>
      <c r="CE31" s="372"/>
      <c r="CF31" s="372"/>
      <c r="CG31" s="372"/>
      <c r="CH31" s="371"/>
      <c r="CI31" s="375"/>
      <c r="CJ31" s="372"/>
      <c r="CK31" s="372"/>
      <c r="CL31" s="372"/>
      <c r="CM31" s="373"/>
    </row>
    <row r="32" spans="1:118" ht="25.5" customHeight="1">
      <c r="A32" s="386">
        <v>4475</v>
      </c>
      <c r="B32" s="387" t="s">
        <v>11</v>
      </c>
      <c r="C32" s="387" t="s">
        <v>44</v>
      </c>
      <c r="D32" s="387" t="s">
        <v>76</v>
      </c>
      <c r="E32" s="372" t="s">
        <v>53</v>
      </c>
      <c r="F32" s="387"/>
      <c r="G32" s="372" t="s">
        <v>1518</v>
      </c>
      <c r="H32" s="371" t="s">
        <v>54</v>
      </c>
      <c r="I32" s="375"/>
      <c r="J32" s="372"/>
      <c r="K32" s="373"/>
      <c r="L32" s="388" t="s">
        <v>78</v>
      </c>
      <c r="M32" s="387" t="s">
        <v>77</v>
      </c>
      <c r="N32" s="387"/>
      <c r="O32" s="387" t="s">
        <v>77</v>
      </c>
      <c r="P32" s="389" t="s">
        <v>77</v>
      </c>
      <c r="Q32" s="388"/>
      <c r="R32" s="387"/>
      <c r="S32" s="387"/>
      <c r="T32" s="387"/>
      <c r="U32" s="390" t="s">
        <v>80</v>
      </c>
      <c r="V32" s="386"/>
      <c r="W32" s="372"/>
      <c r="X32" s="372"/>
      <c r="Y32" s="372"/>
      <c r="Z32" s="373"/>
      <c r="AA32" s="374"/>
      <c r="AB32" s="372"/>
      <c r="AC32" s="372"/>
      <c r="AD32" s="372"/>
      <c r="AE32" s="371"/>
      <c r="AF32" s="375"/>
      <c r="AG32" s="372"/>
      <c r="AH32" s="372"/>
      <c r="AI32" s="372"/>
      <c r="AJ32" s="373"/>
      <c r="AK32" s="374"/>
      <c r="AL32" s="372"/>
      <c r="AM32" s="372"/>
      <c r="AN32" s="372"/>
      <c r="AO32" s="371"/>
      <c r="AP32" s="375"/>
      <c r="AQ32" s="372"/>
      <c r="AR32" s="372"/>
      <c r="AS32" s="372"/>
      <c r="AT32" s="373"/>
      <c r="AU32" s="374"/>
      <c r="AV32" s="372"/>
      <c r="AW32" s="372"/>
      <c r="AX32" s="372"/>
      <c r="AY32" s="371"/>
      <c r="AZ32" s="375"/>
      <c r="BA32" s="372"/>
      <c r="BB32" s="372"/>
      <c r="BC32" s="372"/>
      <c r="BD32" s="373"/>
      <c r="BE32" s="374"/>
      <c r="BF32" s="372"/>
      <c r="BG32" s="372"/>
      <c r="BH32" s="372"/>
      <c r="BI32" s="371"/>
      <c r="BJ32" s="375"/>
      <c r="BK32" s="372"/>
      <c r="BL32" s="372"/>
      <c r="BM32" s="372"/>
      <c r="BN32" s="373"/>
      <c r="BO32" s="374"/>
      <c r="BP32" s="372"/>
      <c r="BQ32" s="372"/>
      <c r="BR32" s="372"/>
      <c r="BS32" s="371"/>
      <c r="BT32" s="375"/>
      <c r="BU32" s="372"/>
      <c r="BV32" s="372"/>
      <c r="BW32" s="372"/>
      <c r="BX32" s="373"/>
      <c r="BY32" s="374"/>
      <c r="BZ32" s="372"/>
      <c r="CA32" s="372"/>
      <c r="CB32" s="372"/>
      <c r="CC32" s="371"/>
      <c r="CD32" s="375"/>
      <c r="CE32" s="372"/>
      <c r="CF32" s="372"/>
      <c r="CG32" s="372"/>
      <c r="CH32" s="371"/>
      <c r="CI32" s="375"/>
      <c r="CJ32" s="372"/>
      <c r="CK32" s="372"/>
      <c r="CL32" s="372"/>
      <c r="CM32" s="373"/>
    </row>
    <row r="33" spans="1:91" ht="25.5" customHeight="1">
      <c r="A33" s="386">
        <v>4476</v>
      </c>
      <c r="B33" s="387" t="s">
        <v>11</v>
      </c>
      <c r="C33" s="387" t="s">
        <v>44</v>
      </c>
      <c r="D33" s="387" t="s">
        <v>76</v>
      </c>
      <c r="E33" s="372" t="s">
        <v>53</v>
      </c>
      <c r="F33" s="387"/>
      <c r="G33" s="372" t="s">
        <v>1520</v>
      </c>
      <c r="H33" s="371" t="s">
        <v>54</v>
      </c>
      <c r="I33" s="375"/>
      <c r="J33" s="372"/>
      <c r="K33" s="373"/>
      <c r="L33" s="388" t="s">
        <v>78</v>
      </c>
      <c r="M33" s="387" t="s">
        <v>77</v>
      </c>
      <c r="N33" s="387"/>
      <c r="O33" s="387" t="s">
        <v>77</v>
      </c>
      <c r="P33" s="389" t="s">
        <v>77</v>
      </c>
      <c r="Q33" s="388"/>
      <c r="R33" s="387"/>
      <c r="S33" s="387"/>
      <c r="T33" s="387"/>
      <c r="U33" s="390" t="s">
        <v>80</v>
      </c>
      <c r="V33" s="386"/>
      <c r="W33" s="372"/>
      <c r="X33" s="372"/>
      <c r="Y33" s="372"/>
      <c r="Z33" s="373"/>
      <c r="AA33" s="374"/>
      <c r="AB33" s="372"/>
      <c r="AC33" s="372"/>
      <c r="AD33" s="372"/>
      <c r="AE33" s="371"/>
      <c r="AF33" s="375"/>
      <c r="AG33" s="372"/>
      <c r="AH33" s="372"/>
      <c r="AI33" s="372"/>
      <c r="AJ33" s="373"/>
      <c r="AK33" s="374"/>
      <c r="AL33" s="372"/>
      <c r="AM33" s="372"/>
      <c r="AN33" s="372"/>
      <c r="AO33" s="371"/>
      <c r="AP33" s="375"/>
      <c r="AQ33" s="372"/>
      <c r="AR33" s="372"/>
      <c r="AS33" s="372"/>
      <c r="AT33" s="373"/>
      <c r="AU33" s="374"/>
      <c r="AV33" s="372"/>
      <c r="AW33" s="372"/>
      <c r="AX33" s="372"/>
      <c r="AY33" s="371"/>
      <c r="AZ33" s="375"/>
      <c r="BA33" s="372"/>
      <c r="BB33" s="372"/>
      <c r="BC33" s="372"/>
      <c r="BD33" s="373"/>
      <c r="BE33" s="374"/>
      <c r="BF33" s="372"/>
      <c r="BG33" s="372"/>
      <c r="BH33" s="372"/>
      <c r="BI33" s="371"/>
      <c r="BJ33" s="375"/>
      <c r="BK33" s="372"/>
      <c r="BL33" s="372"/>
      <c r="BM33" s="372"/>
      <c r="BN33" s="373"/>
      <c r="BO33" s="374"/>
      <c r="BP33" s="372"/>
      <c r="BQ33" s="372"/>
      <c r="BR33" s="372"/>
      <c r="BS33" s="371"/>
      <c r="BT33" s="375"/>
      <c r="BU33" s="372"/>
      <c r="BV33" s="372"/>
      <c r="BW33" s="372"/>
      <c r="BX33" s="373"/>
      <c r="BY33" s="374"/>
      <c r="BZ33" s="372"/>
      <c r="CA33" s="372"/>
      <c r="CB33" s="372"/>
      <c r="CC33" s="371"/>
      <c r="CD33" s="375"/>
      <c r="CE33" s="372"/>
      <c r="CF33" s="372"/>
      <c r="CG33" s="372"/>
      <c r="CH33" s="371"/>
      <c r="CI33" s="375"/>
      <c r="CJ33" s="372"/>
      <c r="CK33" s="372"/>
      <c r="CL33" s="372"/>
      <c r="CM33" s="373"/>
    </row>
    <row r="34" spans="1:91" ht="25.5" customHeight="1" thickBot="1">
      <c r="A34" s="411">
        <v>4477</v>
      </c>
      <c r="B34" s="412" t="s">
        <v>11</v>
      </c>
      <c r="C34" s="412" t="s">
        <v>44</v>
      </c>
      <c r="D34" s="412" t="s">
        <v>76</v>
      </c>
      <c r="E34" s="377" t="s">
        <v>53</v>
      </c>
      <c r="F34" s="412"/>
      <c r="G34" s="377" t="s">
        <v>1522</v>
      </c>
      <c r="H34" s="376" t="s">
        <v>54</v>
      </c>
      <c r="I34" s="380"/>
      <c r="J34" s="377"/>
      <c r="K34" s="378"/>
      <c r="L34" s="413" t="s">
        <v>78</v>
      </c>
      <c r="M34" s="412" t="s">
        <v>77</v>
      </c>
      <c r="N34" s="412"/>
      <c r="O34" s="412" t="s">
        <v>77</v>
      </c>
      <c r="P34" s="414" t="s">
        <v>77</v>
      </c>
      <c r="Q34" s="413"/>
      <c r="R34" s="412"/>
      <c r="S34" s="412"/>
      <c r="T34" s="412"/>
      <c r="U34" s="415" t="s">
        <v>80</v>
      </c>
      <c r="V34" s="411"/>
      <c r="W34" s="377"/>
      <c r="X34" s="377"/>
      <c r="Y34" s="377"/>
      <c r="Z34" s="378"/>
      <c r="AA34" s="379"/>
      <c r="AB34" s="377"/>
      <c r="AC34" s="377"/>
      <c r="AD34" s="377"/>
      <c r="AE34" s="376"/>
      <c r="AF34" s="380"/>
      <c r="AG34" s="377"/>
      <c r="AH34" s="377"/>
      <c r="AI34" s="377"/>
      <c r="AJ34" s="378"/>
      <c r="AK34" s="379"/>
      <c r="AL34" s="377"/>
      <c r="AM34" s="377"/>
      <c r="AN34" s="377"/>
      <c r="AO34" s="376"/>
      <c r="AP34" s="380"/>
      <c r="AQ34" s="377"/>
      <c r="AR34" s="377"/>
      <c r="AS34" s="377"/>
      <c r="AT34" s="378"/>
      <c r="AU34" s="379"/>
      <c r="AV34" s="377"/>
      <c r="AW34" s="377"/>
      <c r="AX34" s="377"/>
      <c r="AY34" s="376"/>
      <c r="AZ34" s="380"/>
      <c r="BA34" s="377"/>
      <c r="BB34" s="377"/>
      <c r="BC34" s="377"/>
      <c r="BD34" s="378"/>
      <c r="BE34" s="379"/>
      <c r="BF34" s="377"/>
      <c r="BG34" s="377"/>
      <c r="BH34" s="377"/>
      <c r="BI34" s="376"/>
      <c r="BJ34" s="380"/>
      <c r="BK34" s="377"/>
      <c r="BL34" s="377"/>
      <c r="BM34" s="377"/>
      <c r="BN34" s="378"/>
      <c r="BO34" s="379"/>
      <c r="BP34" s="377"/>
      <c r="BQ34" s="377"/>
      <c r="BR34" s="377"/>
      <c r="BS34" s="376"/>
      <c r="BT34" s="380"/>
      <c r="BU34" s="377"/>
      <c r="BV34" s="377"/>
      <c r="BW34" s="377"/>
      <c r="BX34" s="378"/>
      <c r="BY34" s="379"/>
      <c r="BZ34" s="377"/>
      <c r="CA34" s="377"/>
      <c r="CB34" s="377"/>
      <c r="CC34" s="376"/>
      <c r="CD34" s="380"/>
      <c r="CE34" s="377"/>
      <c r="CF34" s="377"/>
      <c r="CG34" s="377"/>
      <c r="CH34" s="376"/>
      <c r="CI34" s="380"/>
      <c r="CJ34" s="377"/>
      <c r="CK34" s="377"/>
      <c r="CL34" s="377"/>
      <c r="CM34" s="378"/>
    </row>
    <row r="35" spans="1:91" ht="25.5" customHeight="1">
      <c r="A35" s="416">
        <v>4478</v>
      </c>
      <c r="B35" s="417" t="s">
        <v>11</v>
      </c>
      <c r="C35" s="417" t="s">
        <v>44</v>
      </c>
      <c r="D35" s="417" t="s">
        <v>76</v>
      </c>
      <c r="E35" s="381" t="s">
        <v>53</v>
      </c>
      <c r="F35" s="417"/>
      <c r="G35" s="381" t="s">
        <v>1524</v>
      </c>
      <c r="H35" s="384" t="s">
        <v>54</v>
      </c>
      <c r="I35" s="385"/>
      <c r="J35" s="381"/>
      <c r="K35" s="382"/>
      <c r="L35" s="418" t="s">
        <v>78</v>
      </c>
      <c r="M35" s="417" t="s">
        <v>77</v>
      </c>
      <c r="N35" s="417"/>
      <c r="O35" s="417" t="s">
        <v>77</v>
      </c>
      <c r="P35" s="419" t="s">
        <v>77</v>
      </c>
      <c r="Q35" s="418"/>
      <c r="R35" s="417"/>
      <c r="S35" s="417"/>
      <c r="T35" s="417"/>
      <c r="U35" s="420" t="s">
        <v>80</v>
      </c>
      <c r="V35" s="416"/>
      <c r="W35" s="381"/>
      <c r="X35" s="381"/>
      <c r="Y35" s="381"/>
      <c r="Z35" s="382"/>
      <c r="AA35" s="383"/>
      <c r="AB35" s="381"/>
      <c r="AC35" s="381"/>
      <c r="AD35" s="381"/>
      <c r="AE35" s="384"/>
      <c r="AF35" s="385"/>
      <c r="AG35" s="381"/>
      <c r="AH35" s="381"/>
      <c r="AI35" s="381"/>
      <c r="AJ35" s="382"/>
      <c r="AK35" s="383"/>
      <c r="AL35" s="381"/>
      <c r="AM35" s="381"/>
      <c r="AN35" s="381"/>
      <c r="AO35" s="384"/>
      <c r="AP35" s="385"/>
      <c r="AQ35" s="381"/>
      <c r="AR35" s="381"/>
      <c r="AS35" s="381"/>
      <c r="AT35" s="382"/>
      <c r="AU35" s="383"/>
      <c r="AV35" s="381"/>
      <c r="AW35" s="381"/>
      <c r="AX35" s="381"/>
      <c r="AY35" s="384"/>
      <c r="AZ35" s="385"/>
      <c r="BA35" s="381"/>
      <c r="BB35" s="381"/>
      <c r="BC35" s="381"/>
      <c r="BD35" s="382"/>
      <c r="BE35" s="383"/>
      <c r="BF35" s="381"/>
      <c r="BG35" s="381"/>
      <c r="BH35" s="381"/>
      <c r="BI35" s="384"/>
      <c r="BJ35" s="385"/>
      <c r="BK35" s="381"/>
      <c r="BL35" s="381"/>
      <c r="BM35" s="381"/>
      <c r="BN35" s="382"/>
      <c r="BO35" s="383"/>
      <c r="BP35" s="381"/>
      <c r="BQ35" s="381"/>
      <c r="BR35" s="381"/>
      <c r="BS35" s="384"/>
      <c r="BT35" s="385"/>
      <c r="BU35" s="381"/>
      <c r="BV35" s="381"/>
      <c r="BW35" s="381"/>
      <c r="BX35" s="382"/>
      <c r="BY35" s="383"/>
      <c r="BZ35" s="381"/>
      <c r="CA35" s="381"/>
      <c r="CB35" s="381"/>
      <c r="CC35" s="384"/>
      <c r="CD35" s="385"/>
      <c r="CE35" s="381"/>
      <c r="CF35" s="381"/>
      <c r="CG35" s="381"/>
      <c r="CH35" s="384"/>
      <c r="CI35" s="385"/>
      <c r="CJ35" s="381"/>
      <c r="CK35" s="381"/>
      <c r="CL35" s="381"/>
      <c r="CM35" s="382"/>
    </row>
    <row r="36" spans="1:91" ht="25.5" customHeight="1">
      <c r="A36" s="386">
        <v>4479</v>
      </c>
      <c r="B36" s="387" t="s">
        <v>11</v>
      </c>
      <c r="C36" s="387" t="s">
        <v>44</v>
      </c>
      <c r="D36" s="387" t="s">
        <v>76</v>
      </c>
      <c r="E36" s="372" t="s">
        <v>53</v>
      </c>
      <c r="F36" s="387"/>
      <c r="G36" s="372" t="s">
        <v>1526</v>
      </c>
      <c r="H36" s="371" t="s">
        <v>54</v>
      </c>
      <c r="I36" s="375"/>
      <c r="J36" s="372"/>
      <c r="K36" s="373"/>
      <c r="L36" s="388" t="s">
        <v>78</v>
      </c>
      <c r="M36" s="387" t="s">
        <v>77</v>
      </c>
      <c r="N36" s="387"/>
      <c r="O36" s="387" t="s">
        <v>77</v>
      </c>
      <c r="P36" s="389" t="s">
        <v>77</v>
      </c>
      <c r="Q36" s="388"/>
      <c r="R36" s="387"/>
      <c r="S36" s="387"/>
      <c r="T36" s="387"/>
      <c r="U36" s="390" t="s">
        <v>80</v>
      </c>
      <c r="V36" s="386"/>
      <c r="W36" s="372"/>
      <c r="X36" s="372"/>
      <c r="Y36" s="372"/>
      <c r="Z36" s="373"/>
      <c r="AA36" s="374"/>
      <c r="AB36" s="372"/>
      <c r="AC36" s="372"/>
      <c r="AD36" s="372"/>
      <c r="AE36" s="371"/>
      <c r="AF36" s="375"/>
      <c r="AG36" s="372"/>
      <c r="AH36" s="372"/>
      <c r="AI36" s="372"/>
      <c r="AJ36" s="373"/>
      <c r="AK36" s="374"/>
      <c r="AL36" s="372"/>
      <c r="AM36" s="372"/>
      <c r="AN36" s="372"/>
      <c r="AO36" s="371"/>
      <c r="AP36" s="375"/>
      <c r="AQ36" s="372"/>
      <c r="AR36" s="372"/>
      <c r="AS36" s="372"/>
      <c r="AT36" s="373"/>
      <c r="AU36" s="374"/>
      <c r="AV36" s="372"/>
      <c r="AW36" s="372"/>
      <c r="AX36" s="372"/>
      <c r="AY36" s="371"/>
      <c r="AZ36" s="375"/>
      <c r="BA36" s="372"/>
      <c r="BB36" s="372"/>
      <c r="BC36" s="372"/>
      <c r="BD36" s="373"/>
      <c r="BE36" s="374"/>
      <c r="BF36" s="372"/>
      <c r="BG36" s="372"/>
      <c r="BH36" s="372"/>
      <c r="BI36" s="371"/>
      <c r="BJ36" s="375"/>
      <c r="BK36" s="372"/>
      <c r="BL36" s="372"/>
      <c r="BM36" s="372"/>
      <c r="BN36" s="373"/>
      <c r="BO36" s="374"/>
      <c r="BP36" s="372"/>
      <c r="BQ36" s="372"/>
      <c r="BR36" s="372"/>
      <c r="BS36" s="371"/>
      <c r="BT36" s="375"/>
      <c r="BU36" s="372"/>
      <c r="BV36" s="372"/>
      <c r="BW36" s="372"/>
      <c r="BX36" s="373"/>
      <c r="BY36" s="374"/>
      <c r="BZ36" s="372"/>
      <c r="CA36" s="372"/>
      <c r="CB36" s="372"/>
      <c r="CC36" s="371"/>
      <c r="CD36" s="375"/>
      <c r="CE36" s="372"/>
      <c r="CF36" s="372"/>
      <c r="CG36" s="372"/>
      <c r="CH36" s="371"/>
      <c r="CI36" s="375"/>
      <c r="CJ36" s="372"/>
      <c r="CK36" s="372"/>
      <c r="CL36" s="372"/>
      <c r="CM36" s="373"/>
    </row>
    <row r="37" spans="1:91" ht="25.5" customHeight="1">
      <c r="A37" s="386">
        <v>4480</v>
      </c>
      <c r="B37" s="387" t="s">
        <v>11</v>
      </c>
      <c r="C37" s="387" t="s">
        <v>44</v>
      </c>
      <c r="D37" s="387" t="s">
        <v>76</v>
      </c>
      <c r="E37" s="372" t="s">
        <v>53</v>
      </c>
      <c r="F37" s="387"/>
      <c r="G37" s="372" t="s">
        <v>1528</v>
      </c>
      <c r="H37" s="371" t="s">
        <v>54</v>
      </c>
      <c r="I37" s="375"/>
      <c r="J37" s="372"/>
      <c r="K37" s="373"/>
      <c r="L37" s="388" t="s">
        <v>78</v>
      </c>
      <c r="M37" s="387" t="s">
        <v>77</v>
      </c>
      <c r="N37" s="387"/>
      <c r="O37" s="387" t="s">
        <v>77</v>
      </c>
      <c r="P37" s="389" t="s">
        <v>77</v>
      </c>
      <c r="Q37" s="388"/>
      <c r="R37" s="387"/>
      <c r="S37" s="387"/>
      <c r="T37" s="387"/>
      <c r="U37" s="390" t="s">
        <v>80</v>
      </c>
      <c r="V37" s="386"/>
      <c r="W37" s="372"/>
      <c r="X37" s="372"/>
      <c r="Y37" s="372"/>
      <c r="Z37" s="373"/>
      <c r="AA37" s="374"/>
      <c r="AB37" s="372"/>
      <c r="AC37" s="372"/>
      <c r="AD37" s="372"/>
      <c r="AE37" s="371"/>
      <c r="AF37" s="375"/>
      <c r="AG37" s="372"/>
      <c r="AH37" s="372"/>
      <c r="AI37" s="372"/>
      <c r="AJ37" s="373"/>
      <c r="AK37" s="374"/>
      <c r="AL37" s="372"/>
      <c r="AM37" s="372"/>
      <c r="AN37" s="372"/>
      <c r="AO37" s="371"/>
      <c r="AP37" s="375"/>
      <c r="AQ37" s="372"/>
      <c r="AR37" s="372"/>
      <c r="AS37" s="372"/>
      <c r="AT37" s="373"/>
      <c r="AU37" s="374"/>
      <c r="AV37" s="372"/>
      <c r="AW37" s="372"/>
      <c r="AX37" s="372"/>
      <c r="AY37" s="371"/>
      <c r="AZ37" s="375"/>
      <c r="BA37" s="372"/>
      <c r="BB37" s="372"/>
      <c r="BC37" s="372"/>
      <c r="BD37" s="373"/>
      <c r="BE37" s="374"/>
      <c r="BF37" s="372"/>
      <c r="BG37" s="372"/>
      <c r="BH37" s="372"/>
      <c r="BI37" s="371"/>
      <c r="BJ37" s="375"/>
      <c r="BK37" s="372"/>
      <c r="BL37" s="372"/>
      <c r="BM37" s="372"/>
      <c r="BN37" s="373"/>
      <c r="BO37" s="374"/>
      <c r="BP37" s="372"/>
      <c r="BQ37" s="372"/>
      <c r="BR37" s="372"/>
      <c r="BS37" s="371"/>
      <c r="BT37" s="375"/>
      <c r="BU37" s="372"/>
      <c r="BV37" s="372"/>
      <c r="BW37" s="372"/>
      <c r="BX37" s="373"/>
      <c r="BY37" s="374"/>
      <c r="BZ37" s="372"/>
      <c r="CA37" s="372"/>
      <c r="CB37" s="372"/>
      <c r="CC37" s="371"/>
      <c r="CD37" s="375"/>
      <c r="CE37" s="372"/>
      <c r="CF37" s="372"/>
      <c r="CG37" s="372"/>
      <c r="CH37" s="371"/>
      <c r="CI37" s="375"/>
      <c r="CJ37" s="372"/>
      <c r="CK37" s="372"/>
      <c r="CL37" s="372"/>
      <c r="CM37" s="373"/>
    </row>
    <row r="38" spans="1:91" ht="25.5" customHeight="1">
      <c r="A38" s="386">
        <v>4481</v>
      </c>
      <c r="B38" s="387" t="s">
        <v>11</v>
      </c>
      <c r="C38" s="387" t="s">
        <v>44</v>
      </c>
      <c r="D38" s="387" t="s">
        <v>76</v>
      </c>
      <c r="E38" s="372" t="s">
        <v>53</v>
      </c>
      <c r="F38" s="387"/>
      <c r="G38" s="372" t="s">
        <v>1530</v>
      </c>
      <c r="H38" s="371" t="s">
        <v>54</v>
      </c>
      <c r="I38" s="375"/>
      <c r="J38" s="372"/>
      <c r="K38" s="373"/>
      <c r="L38" s="388" t="s">
        <v>78</v>
      </c>
      <c r="M38" s="387" t="s">
        <v>77</v>
      </c>
      <c r="N38" s="387"/>
      <c r="O38" s="387" t="s">
        <v>77</v>
      </c>
      <c r="P38" s="389" t="s">
        <v>77</v>
      </c>
      <c r="Q38" s="388"/>
      <c r="R38" s="387"/>
      <c r="S38" s="387"/>
      <c r="T38" s="387"/>
      <c r="U38" s="390" t="s">
        <v>80</v>
      </c>
      <c r="V38" s="386"/>
      <c r="W38" s="372"/>
      <c r="X38" s="372"/>
      <c r="Y38" s="372"/>
      <c r="Z38" s="373"/>
      <c r="AA38" s="374"/>
      <c r="AB38" s="372"/>
      <c r="AC38" s="372"/>
      <c r="AD38" s="372"/>
      <c r="AE38" s="371"/>
      <c r="AF38" s="375"/>
      <c r="AG38" s="372"/>
      <c r="AH38" s="372"/>
      <c r="AI38" s="372"/>
      <c r="AJ38" s="373"/>
      <c r="AK38" s="374"/>
      <c r="AL38" s="372"/>
      <c r="AM38" s="372"/>
      <c r="AN38" s="372"/>
      <c r="AO38" s="371"/>
      <c r="AP38" s="375"/>
      <c r="AQ38" s="372"/>
      <c r="AR38" s="372"/>
      <c r="AS38" s="372"/>
      <c r="AT38" s="373"/>
      <c r="AU38" s="374"/>
      <c r="AV38" s="372"/>
      <c r="AW38" s="372"/>
      <c r="AX38" s="372"/>
      <c r="AY38" s="371"/>
      <c r="AZ38" s="375"/>
      <c r="BA38" s="372"/>
      <c r="BB38" s="372"/>
      <c r="BC38" s="372"/>
      <c r="BD38" s="373"/>
      <c r="BE38" s="374"/>
      <c r="BF38" s="372"/>
      <c r="BG38" s="372"/>
      <c r="BH38" s="372"/>
      <c r="BI38" s="371"/>
      <c r="BJ38" s="375"/>
      <c r="BK38" s="372"/>
      <c r="BL38" s="372"/>
      <c r="BM38" s="372"/>
      <c r="BN38" s="373"/>
      <c r="BO38" s="374"/>
      <c r="BP38" s="372"/>
      <c r="BQ38" s="372"/>
      <c r="BR38" s="372"/>
      <c r="BS38" s="371"/>
      <c r="BT38" s="375"/>
      <c r="BU38" s="372"/>
      <c r="BV38" s="372"/>
      <c r="BW38" s="372"/>
      <c r="BX38" s="373"/>
      <c r="BY38" s="374"/>
      <c r="BZ38" s="372"/>
      <c r="CA38" s="372"/>
      <c r="CB38" s="372"/>
      <c r="CC38" s="371"/>
      <c r="CD38" s="375"/>
      <c r="CE38" s="372"/>
      <c r="CF38" s="372"/>
      <c r="CG38" s="372"/>
      <c r="CH38" s="371"/>
      <c r="CI38" s="375"/>
      <c r="CJ38" s="372"/>
      <c r="CK38" s="372"/>
      <c r="CL38" s="372"/>
      <c r="CM38" s="373"/>
    </row>
    <row r="39" spans="1:91" ht="25.5" customHeight="1" thickBot="1">
      <c r="A39" s="391">
        <v>4482</v>
      </c>
      <c r="B39" s="392" t="s">
        <v>11</v>
      </c>
      <c r="C39" s="392" t="s">
        <v>44</v>
      </c>
      <c r="D39" s="392" t="s">
        <v>76</v>
      </c>
      <c r="E39" s="393" t="s">
        <v>53</v>
      </c>
      <c r="F39" s="392"/>
      <c r="G39" s="393" t="s">
        <v>1532</v>
      </c>
      <c r="H39" s="394" t="s">
        <v>54</v>
      </c>
      <c r="I39" s="395"/>
      <c r="J39" s="393"/>
      <c r="K39" s="396"/>
      <c r="L39" s="397" t="s">
        <v>78</v>
      </c>
      <c r="M39" s="392" t="s">
        <v>77</v>
      </c>
      <c r="N39" s="392"/>
      <c r="O39" s="392" t="s">
        <v>77</v>
      </c>
      <c r="P39" s="398" t="s">
        <v>77</v>
      </c>
      <c r="Q39" s="397"/>
      <c r="R39" s="392"/>
      <c r="S39" s="392"/>
      <c r="T39" s="392"/>
      <c r="U39" s="399" t="s">
        <v>80</v>
      </c>
      <c r="V39" s="391"/>
      <c r="W39" s="393"/>
      <c r="X39" s="393"/>
      <c r="Y39" s="393"/>
      <c r="Z39" s="396"/>
      <c r="AA39" s="400"/>
      <c r="AB39" s="393"/>
      <c r="AC39" s="393"/>
      <c r="AD39" s="393"/>
      <c r="AE39" s="394"/>
      <c r="AF39" s="395"/>
      <c r="AG39" s="393"/>
      <c r="AH39" s="393"/>
      <c r="AI39" s="393"/>
      <c r="AJ39" s="396"/>
      <c r="AK39" s="400"/>
      <c r="AL39" s="393"/>
      <c r="AM39" s="393"/>
      <c r="AN39" s="393"/>
      <c r="AO39" s="394"/>
      <c r="AP39" s="395"/>
      <c r="AQ39" s="393"/>
      <c r="AR39" s="393"/>
      <c r="AS39" s="393"/>
      <c r="AT39" s="396"/>
      <c r="AU39" s="400"/>
      <c r="AV39" s="393"/>
      <c r="AW39" s="393"/>
      <c r="AX39" s="393"/>
      <c r="AY39" s="394"/>
      <c r="AZ39" s="395"/>
      <c r="BA39" s="393"/>
      <c r="BB39" s="393"/>
      <c r="BC39" s="393"/>
      <c r="BD39" s="396"/>
      <c r="BE39" s="400"/>
      <c r="BF39" s="393"/>
      <c r="BG39" s="393"/>
      <c r="BH39" s="393"/>
      <c r="BI39" s="394"/>
      <c r="BJ39" s="395"/>
      <c r="BK39" s="393"/>
      <c r="BL39" s="393"/>
      <c r="BM39" s="393"/>
      <c r="BN39" s="396"/>
      <c r="BO39" s="400"/>
      <c r="BP39" s="393"/>
      <c r="BQ39" s="393"/>
      <c r="BR39" s="393"/>
      <c r="BS39" s="394"/>
      <c r="BT39" s="395"/>
      <c r="BU39" s="393"/>
      <c r="BV39" s="393"/>
      <c r="BW39" s="393"/>
      <c r="BX39" s="396"/>
      <c r="BY39" s="400"/>
      <c r="BZ39" s="393"/>
      <c r="CA39" s="393"/>
      <c r="CB39" s="393"/>
      <c r="CC39" s="394"/>
      <c r="CD39" s="395"/>
      <c r="CE39" s="393"/>
      <c r="CF39" s="393"/>
      <c r="CG39" s="393"/>
      <c r="CH39" s="394"/>
      <c r="CI39" s="395"/>
      <c r="CJ39" s="393"/>
      <c r="CK39" s="393"/>
      <c r="CL39" s="393"/>
      <c r="CM39" s="396"/>
    </row>
    <row r="40" spans="1:91" ht="25.5" customHeight="1">
      <c r="A40" s="401">
        <v>4483</v>
      </c>
      <c r="B40" s="402" t="s">
        <v>11</v>
      </c>
      <c r="C40" s="402" t="s">
        <v>44</v>
      </c>
      <c r="D40" s="402" t="s">
        <v>76</v>
      </c>
      <c r="E40" s="403" t="s">
        <v>53</v>
      </c>
      <c r="F40" s="402"/>
      <c r="G40" s="403" t="s">
        <v>1534</v>
      </c>
      <c r="H40" s="404" t="s">
        <v>54</v>
      </c>
      <c r="I40" s="405"/>
      <c r="J40" s="403"/>
      <c r="K40" s="406"/>
      <c r="L40" s="407" t="s">
        <v>78</v>
      </c>
      <c r="M40" s="402" t="s">
        <v>77</v>
      </c>
      <c r="N40" s="402"/>
      <c r="O40" s="402" t="s">
        <v>77</v>
      </c>
      <c r="P40" s="408" t="s">
        <v>77</v>
      </c>
      <c r="Q40" s="407"/>
      <c r="R40" s="402"/>
      <c r="S40" s="402"/>
      <c r="T40" s="402"/>
      <c r="U40" s="409" t="s">
        <v>80</v>
      </c>
      <c r="V40" s="401"/>
      <c r="W40" s="403"/>
      <c r="X40" s="403"/>
      <c r="Y40" s="403"/>
      <c r="Z40" s="406"/>
      <c r="AA40" s="410"/>
      <c r="AB40" s="403"/>
      <c r="AC40" s="403"/>
      <c r="AD40" s="403"/>
      <c r="AE40" s="404"/>
      <c r="AF40" s="405"/>
      <c r="AG40" s="403"/>
      <c r="AH40" s="403"/>
      <c r="AI40" s="403"/>
      <c r="AJ40" s="406"/>
      <c r="AK40" s="410"/>
      <c r="AL40" s="403"/>
      <c r="AM40" s="403"/>
      <c r="AN40" s="403"/>
      <c r="AO40" s="404"/>
      <c r="AP40" s="405"/>
      <c r="AQ40" s="403"/>
      <c r="AR40" s="403"/>
      <c r="AS40" s="403"/>
      <c r="AT40" s="406"/>
      <c r="AU40" s="410"/>
      <c r="AV40" s="403"/>
      <c r="AW40" s="403"/>
      <c r="AX40" s="403"/>
      <c r="AY40" s="404"/>
      <c r="AZ40" s="405"/>
      <c r="BA40" s="403"/>
      <c r="BB40" s="403"/>
      <c r="BC40" s="403"/>
      <c r="BD40" s="406"/>
      <c r="BE40" s="410"/>
      <c r="BF40" s="403"/>
      <c r="BG40" s="403"/>
      <c r="BH40" s="403"/>
      <c r="BI40" s="404"/>
      <c r="BJ40" s="405"/>
      <c r="BK40" s="403"/>
      <c r="BL40" s="403"/>
      <c r="BM40" s="403"/>
      <c r="BN40" s="406"/>
      <c r="BO40" s="410"/>
      <c r="BP40" s="403"/>
      <c r="BQ40" s="403"/>
      <c r="BR40" s="403"/>
      <c r="BS40" s="404"/>
      <c r="BT40" s="405"/>
      <c r="BU40" s="403"/>
      <c r="BV40" s="403"/>
      <c r="BW40" s="403"/>
      <c r="BX40" s="406"/>
      <c r="BY40" s="410"/>
      <c r="BZ40" s="403"/>
      <c r="CA40" s="403"/>
      <c r="CB40" s="403"/>
      <c r="CC40" s="404"/>
      <c r="CD40" s="405"/>
      <c r="CE40" s="403"/>
      <c r="CF40" s="403"/>
      <c r="CG40" s="403"/>
      <c r="CH40" s="404"/>
      <c r="CI40" s="405"/>
      <c r="CJ40" s="403"/>
      <c r="CK40" s="403"/>
      <c r="CL40" s="403"/>
      <c r="CM40" s="406"/>
    </row>
    <row r="41" spans="1:91" ht="25.5" customHeight="1">
      <c r="A41" s="386">
        <v>4484</v>
      </c>
      <c r="B41" s="387" t="s">
        <v>11</v>
      </c>
      <c r="C41" s="387" t="s">
        <v>44</v>
      </c>
      <c r="D41" s="387" t="s">
        <v>76</v>
      </c>
      <c r="E41" s="372" t="s">
        <v>53</v>
      </c>
      <c r="F41" s="387"/>
      <c r="G41" s="372" t="s">
        <v>1536</v>
      </c>
      <c r="H41" s="371" t="s">
        <v>54</v>
      </c>
      <c r="I41" s="375"/>
      <c r="J41" s="372"/>
      <c r="K41" s="373"/>
      <c r="L41" s="388" t="s">
        <v>78</v>
      </c>
      <c r="M41" s="387" t="s">
        <v>77</v>
      </c>
      <c r="N41" s="387"/>
      <c r="O41" s="387" t="s">
        <v>77</v>
      </c>
      <c r="P41" s="389" t="s">
        <v>77</v>
      </c>
      <c r="Q41" s="388"/>
      <c r="R41" s="387"/>
      <c r="S41" s="387"/>
      <c r="T41" s="387"/>
      <c r="U41" s="390" t="s">
        <v>80</v>
      </c>
      <c r="V41" s="386"/>
      <c r="W41" s="372"/>
      <c r="X41" s="372"/>
      <c r="Y41" s="372"/>
      <c r="Z41" s="373"/>
      <c r="AA41" s="374"/>
      <c r="AB41" s="372"/>
      <c r="AC41" s="372"/>
      <c r="AD41" s="372"/>
      <c r="AE41" s="371"/>
      <c r="AF41" s="375"/>
      <c r="AG41" s="372"/>
      <c r="AH41" s="372"/>
      <c r="AI41" s="372"/>
      <c r="AJ41" s="373"/>
      <c r="AK41" s="374"/>
      <c r="AL41" s="372"/>
      <c r="AM41" s="372"/>
      <c r="AN41" s="372"/>
      <c r="AO41" s="371"/>
      <c r="AP41" s="375"/>
      <c r="AQ41" s="372"/>
      <c r="AR41" s="372"/>
      <c r="AS41" s="372"/>
      <c r="AT41" s="373"/>
      <c r="AU41" s="374"/>
      <c r="AV41" s="372"/>
      <c r="AW41" s="372"/>
      <c r="AX41" s="372"/>
      <c r="AY41" s="371"/>
      <c r="AZ41" s="375"/>
      <c r="BA41" s="372"/>
      <c r="BB41" s="372"/>
      <c r="BC41" s="372"/>
      <c r="BD41" s="373"/>
      <c r="BE41" s="374"/>
      <c r="BF41" s="372"/>
      <c r="BG41" s="372"/>
      <c r="BH41" s="372"/>
      <c r="BI41" s="371"/>
      <c r="BJ41" s="375"/>
      <c r="BK41" s="372"/>
      <c r="BL41" s="372"/>
      <c r="BM41" s="372"/>
      <c r="BN41" s="373"/>
      <c r="BO41" s="374"/>
      <c r="BP41" s="372"/>
      <c r="BQ41" s="372"/>
      <c r="BR41" s="372"/>
      <c r="BS41" s="371"/>
      <c r="BT41" s="375"/>
      <c r="BU41" s="372"/>
      <c r="BV41" s="372"/>
      <c r="BW41" s="372"/>
      <c r="BX41" s="373"/>
      <c r="BY41" s="374"/>
      <c r="BZ41" s="372"/>
      <c r="CA41" s="372"/>
      <c r="CB41" s="372"/>
      <c r="CC41" s="371"/>
      <c r="CD41" s="375"/>
      <c r="CE41" s="372"/>
      <c r="CF41" s="372"/>
      <c r="CG41" s="372"/>
      <c r="CH41" s="371"/>
      <c r="CI41" s="375"/>
      <c r="CJ41" s="372"/>
      <c r="CK41" s="372"/>
      <c r="CL41" s="372"/>
      <c r="CM41" s="373"/>
    </row>
    <row r="42" spans="1:91" ht="25.5" customHeight="1">
      <c r="A42" s="386">
        <v>4485</v>
      </c>
      <c r="B42" s="387" t="s">
        <v>11</v>
      </c>
      <c r="C42" s="387" t="s">
        <v>44</v>
      </c>
      <c r="D42" s="387" t="s">
        <v>76</v>
      </c>
      <c r="E42" s="372" t="s">
        <v>53</v>
      </c>
      <c r="F42" s="387"/>
      <c r="G42" s="372" t="s">
        <v>1538</v>
      </c>
      <c r="H42" s="371" t="s">
        <v>54</v>
      </c>
      <c r="I42" s="375"/>
      <c r="J42" s="372"/>
      <c r="K42" s="373"/>
      <c r="L42" s="388" t="s">
        <v>78</v>
      </c>
      <c r="M42" s="387" t="s">
        <v>77</v>
      </c>
      <c r="N42" s="387"/>
      <c r="O42" s="387" t="s">
        <v>77</v>
      </c>
      <c r="P42" s="389" t="s">
        <v>77</v>
      </c>
      <c r="Q42" s="388"/>
      <c r="R42" s="387"/>
      <c r="S42" s="387"/>
      <c r="T42" s="387"/>
      <c r="U42" s="390" t="s">
        <v>80</v>
      </c>
      <c r="V42" s="386"/>
      <c r="W42" s="372"/>
      <c r="X42" s="372"/>
      <c r="Y42" s="372"/>
      <c r="Z42" s="373"/>
      <c r="AA42" s="374"/>
      <c r="AB42" s="372"/>
      <c r="AC42" s="372"/>
      <c r="AD42" s="372"/>
      <c r="AE42" s="371"/>
      <c r="AF42" s="375"/>
      <c r="AG42" s="372"/>
      <c r="AH42" s="372"/>
      <c r="AI42" s="372"/>
      <c r="AJ42" s="373"/>
      <c r="AK42" s="374"/>
      <c r="AL42" s="372"/>
      <c r="AM42" s="372"/>
      <c r="AN42" s="372"/>
      <c r="AO42" s="371"/>
      <c r="AP42" s="375"/>
      <c r="AQ42" s="372"/>
      <c r="AR42" s="372"/>
      <c r="AS42" s="372"/>
      <c r="AT42" s="373"/>
      <c r="AU42" s="374"/>
      <c r="AV42" s="372"/>
      <c r="AW42" s="372"/>
      <c r="AX42" s="372"/>
      <c r="AY42" s="371"/>
      <c r="AZ42" s="375"/>
      <c r="BA42" s="372"/>
      <c r="BB42" s="372"/>
      <c r="BC42" s="372"/>
      <c r="BD42" s="373"/>
      <c r="BE42" s="374"/>
      <c r="BF42" s="372"/>
      <c r="BG42" s="372"/>
      <c r="BH42" s="372"/>
      <c r="BI42" s="371"/>
      <c r="BJ42" s="375"/>
      <c r="BK42" s="372"/>
      <c r="BL42" s="372"/>
      <c r="BM42" s="372"/>
      <c r="BN42" s="373"/>
      <c r="BO42" s="374"/>
      <c r="BP42" s="372"/>
      <c r="BQ42" s="372"/>
      <c r="BR42" s="372"/>
      <c r="BS42" s="371"/>
      <c r="BT42" s="375"/>
      <c r="BU42" s="372"/>
      <c r="BV42" s="372"/>
      <c r="BW42" s="372"/>
      <c r="BX42" s="373"/>
      <c r="BY42" s="374"/>
      <c r="BZ42" s="372"/>
      <c r="CA42" s="372"/>
      <c r="CB42" s="372"/>
      <c r="CC42" s="371"/>
      <c r="CD42" s="375"/>
      <c r="CE42" s="372"/>
      <c r="CF42" s="372"/>
      <c r="CG42" s="372"/>
      <c r="CH42" s="371"/>
      <c r="CI42" s="375"/>
      <c r="CJ42" s="372"/>
      <c r="CK42" s="372"/>
      <c r="CL42" s="372"/>
      <c r="CM42" s="373"/>
    </row>
    <row r="43" spans="1:91" ht="25.5" customHeight="1">
      <c r="A43" s="386">
        <v>4486</v>
      </c>
      <c r="B43" s="387" t="s">
        <v>11</v>
      </c>
      <c r="C43" s="387" t="s">
        <v>44</v>
      </c>
      <c r="D43" s="387" t="s">
        <v>76</v>
      </c>
      <c r="E43" s="372" t="s">
        <v>53</v>
      </c>
      <c r="F43" s="387"/>
      <c r="G43" s="372" t="s">
        <v>1540</v>
      </c>
      <c r="H43" s="371" t="s">
        <v>54</v>
      </c>
      <c r="I43" s="375"/>
      <c r="J43" s="372"/>
      <c r="K43" s="373"/>
      <c r="L43" s="388" t="s">
        <v>78</v>
      </c>
      <c r="M43" s="387" t="s">
        <v>77</v>
      </c>
      <c r="N43" s="387"/>
      <c r="O43" s="387" t="s">
        <v>77</v>
      </c>
      <c r="P43" s="389" t="s">
        <v>77</v>
      </c>
      <c r="Q43" s="388"/>
      <c r="R43" s="387"/>
      <c r="S43" s="387"/>
      <c r="T43" s="387"/>
      <c r="U43" s="390" t="s">
        <v>80</v>
      </c>
      <c r="V43" s="386"/>
      <c r="W43" s="372"/>
      <c r="X43" s="372"/>
      <c r="Y43" s="372"/>
      <c r="Z43" s="373"/>
      <c r="AA43" s="374"/>
      <c r="AB43" s="372"/>
      <c r="AC43" s="372"/>
      <c r="AD43" s="372"/>
      <c r="AE43" s="371"/>
      <c r="AF43" s="375"/>
      <c r="AG43" s="372"/>
      <c r="AH43" s="372"/>
      <c r="AI43" s="372"/>
      <c r="AJ43" s="373"/>
      <c r="AK43" s="374"/>
      <c r="AL43" s="372"/>
      <c r="AM43" s="372"/>
      <c r="AN43" s="372"/>
      <c r="AO43" s="371"/>
      <c r="AP43" s="375"/>
      <c r="AQ43" s="372"/>
      <c r="AR43" s="372"/>
      <c r="AS43" s="372"/>
      <c r="AT43" s="373"/>
      <c r="AU43" s="374"/>
      <c r="AV43" s="372"/>
      <c r="AW43" s="372"/>
      <c r="AX43" s="372"/>
      <c r="AY43" s="371"/>
      <c r="AZ43" s="375"/>
      <c r="BA43" s="372"/>
      <c r="BB43" s="372"/>
      <c r="BC43" s="372"/>
      <c r="BD43" s="373"/>
      <c r="BE43" s="374"/>
      <c r="BF43" s="372"/>
      <c r="BG43" s="372"/>
      <c r="BH43" s="372"/>
      <c r="BI43" s="371"/>
      <c r="BJ43" s="375"/>
      <c r="BK43" s="372"/>
      <c r="BL43" s="372"/>
      <c r="BM43" s="372"/>
      <c r="BN43" s="373"/>
      <c r="BO43" s="374"/>
      <c r="BP43" s="372"/>
      <c r="BQ43" s="372"/>
      <c r="BR43" s="372"/>
      <c r="BS43" s="371"/>
      <c r="BT43" s="375"/>
      <c r="BU43" s="372"/>
      <c r="BV43" s="372"/>
      <c r="BW43" s="372"/>
      <c r="BX43" s="373"/>
      <c r="BY43" s="374"/>
      <c r="BZ43" s="372"/>
      <c r="CA43" s="372"/>
      <c r="CB43" s="372"/>
      <c r="CC43" s="371"/>
      <c r="CD43" s="375"/>
      <c r="CE43" s="372"/>
      <c r="CF43" s="372"/>
      <c r="CG43" s="372"/>
      <c r="CH43" s="371"/>
      <c r="CI43" s="375"/>
      <c r="CJ43" s="372"/>
      <c r="CK43" s="372"/>
      <c r="CL43" s="372"/>
      <c r="CM43" s="373"/>
    </row>
    <row r="44" spans="1:91" ht="25.5" customHeight="1" thickBot="1">
      <c r="A44" s="411">
        <v>4487</v>
      </c>
      <c r="B44" s="412" t="s">
        <v>11</v>
      </c>
      <c r="C44" s="412" t="s">
        <v>44</v>
      </c>
      <c r="D44" s="412" t="s">
        <v>76</v>
      </c>
      <c r="E44" s="377" t="s">
        <v>53</v>
      </c>
      <c r="F44" s="412"/>
      <c r="G44" s="377" t="s">
        <v>1542</v>
      </c>
      <c r="H44" s="376" t="s">
        <v>54</v>
      </c>
      <c r="I44" s="380"/>
      <c r="J44" s="377"/>
      <c r="K44" s="378"/>
      <c r="L44" s="413" t="s">
        <v>78</v>
      </c>
      <c r="M44" s="412" t="s">
        <v>77</v>
      </c>
      <c r="N44" s="412"/>
      <c r="O44" s="412" t="s">
        <v>77</v>
      </c>
      <c r="P44" s="414" t="s">
        <v>77</v>
      </c>
      <c r="Q44" s="413"/>
      <c r="R44" s="412"/>
      <c r="S44" s="412"/>
      <c r="T44" s="412"/>
      <c r="U44" s="415" t="s">
        <v>80</v>
      </c>
      <c r="V44" s="411"/>
      <c r="W44" s="377"/>
      <c r="X44" s="377"/>
      <c r="Y44" s="377"/>
      <c r="Z44" s="378"/>
      <c r="AA44" s="379"/>
      <c r="AB44" s="377"/>
      <c r="AC44" s="377"/>
      <c r="AD44" s="377"/>
      <c r="AE44" s="376"/>
      <c r="AF44" s="380"/>
      <c r="AG44" s="377"/>
      <c r="AH44" s="377"/>
      <c r="AI44" s="377"/>
      <c r="AJ44" s="378"/>
      <c r="AK44" s="379"/>
      <c r="AL44" s="377"/>
      <c r="AM44" s="377"/>
      <c r="AN44" s="377"/>
      <c r="AO44" s="376"/>
      <c r="AP44" s="380"/>
      <c r="AQ44" s="377"/>
      <c r="AR44" s="377"/>
      <c r="AS44" s="377"/>
      <c r="AT44" s="378"/>
      <c r="AU44" s="379"/>
      <c r="AV44" s="377"/>
      <c r="AW44" s="377"/>
      <c r="AX44" s="377"/>
      <c r="AY44" s="376"/>
      <c r="AZ44" s="380"/>
      <c r="BA44" s="377"/>
      <c r="BB44" s="377"/>
      <c r="BC44" s="377"/>
      <c r="BD44" s="378"/>
      <c r="BE44" s="379"/>
      <c r="BF44" s="377"/>
      <c r="BG44" s="377"/>
      <c r="BH44" s="377"/>
      <c r="BI44" s="376"/>
      <c r="BJ44" s="380"/>
      <c r="BK44" s="377"/>
      <c r="BL44" s="377"/>
      <c r="BM44" s="377"/>
      <c r="BN44" s="378"/>
      <c r="BO44" s="379"/>
      <c r="BP44" s="377"/>
      <c r="BQ44" s="377"/>
      <c r="BR44" s="377"/>
      <c r="BS44" s="376"/>
      <c r="BT44" s="380"/>
      <c r="BU44" s="377"/>
      <c r="BV44" s="377"/>
      <c r="BW44" s="377"/>
      <c r="BX44" s="378"/>
      <c r="BY44" s="379"/>
      <c r="BZ44" s="377"/>
      <c r="CA44" s="377"/>
      <c r="CB44" s="377"/>
      <c r="CC44" s="376"/>
      <c r="CD44" s="380"/>
      <c r="CE44" s="377"/>
      <c r="CF44" s="377"/>
      <c r="CG44" s="377"/>
      <c r="CH44" s="376"/>
      <c r="CI44" s="380"/>
      <c r="CJ44" s="377"/>
      <c r="CK44" s="377"/>
      <c r="CL44" s="377"/>
      <c r="CM44" s="378"/>
    </row>
    <row r="45" spans="1:91" ht="25.5" customHeight="1">
      <c r="A45" s="416">
        <v>4488</v>
      </c>
      <c r="B45" s="417" t="s">
        <v>11</v>
      </c>
      <c r="C45" s="417" t="s">
        <v>44</v>
      </c>
      <c r="D45" s="417" t="s">
        <v>76</v>
      </c>
      <c r="E45" s="381" t="s">
        <v>53</v>
      </c>
      <c r="F45" s="417"/>
      <c r="G45" s="381" t="s">
        <v>1544</v>
      </c>
      <c r="H45" s="384" t="s">
        <v>54</v>
      </c>
      <c r="I45" s="385"/>
      <c r="J45" s="381"/>
      <c r="K45" s="382"/>
      <c r="L45" s="418" t="s">
        <v>78</v>
      </c>
      <c r="M45" s="417" t="s">
        <v>77</v>
      </c>
      <c r="N45" s="417"/>
      <c r="O45" s="417" t="s">
        <v>77</v>
      </c>
      <c r="P45" s="419" t="s">
        <v>77</v>
      </c>
      <c r="Q45" s="418"/>
      <c r="R45" s="417"/>
      <c r="S45" s="417"/>
      <c r="T45" s="417"/>
      <c r="U45" s="420" t="s">
        <v>80</v>
      </c>
      <c r="V45" s="416"/>
      <c r="W45" s="381"/>
      <c r="X45" s="381"/>
      <c r="Y45" s="381"/>
      <c r="Z45" s="382"/>
      <c r="AA45" s="383"/>
      <c r="AB45" s="381"/>
      <c r="AC45" s="381"/>
      <c r="AD45" s="381"/>
      <c r="AE45" s="384"/>
      <c r="AF45" s="385"/>
      <c r="AG45" s="381"/>
      <c r="AH45" s="381"/>
      <c r="AI45" s="381"/>
      <c r="AJ45" s="382"/>
      <c r="AK45" s="383"/>
      <c r="AL45" s="381"/>
      <c r="AM45" s="381"/>
      <c r="AN45" s="381"/>
      <c r="AO45" s="384"/>
      <c r="AP45" s="385"/>
      <c r="AQ45" s="381"/>
      <c r="AR45" s="381"/>
      <c r="AS45" s="381"/>
      <c r="AT45" s="382"/>
      <c r="AU45" s="383"/>
      <c r="AV45" s="381"/>
      <c r="AW45" s="381"/>
      <c r="AX45" s="381"/>
      <c r="AY45" s="384"/>
      <c r="AZ45" s="385"/>
      <c r="BA45" s="381"/>
      <c r="BB45" s="381"/>
      <c r="BC45" s="381"/>
      <c r="BD45" s="382"/>
      <c r="BE45" s="383"/>
      <c r="BF45" s="381"/>
      <c r="BG45" s="381"/>
      <c r="BH45" s="381"/>
      <c r="BI45" s="384"/>
      <c r="BJ45" s="385"/>
      <c r="BK45" s="381"/>
      <c r="BL45" s="381"/>
      <c r="BM45" s="381"/>
      <c r="BN45" s="382"/>
      <c r="BO45" s="383"/>
      <c r="BP45" s="381"/>
      <c r="BQ45" s="381"/>
      <c r="BR45" s="381"/>
      <c r="BS45" s="384"/>
      <c r="BT45" s="385"/>
      <c r="BU45" s="381"/>
      <c r="BV45" s="381"/>
      <c r="BW45" s="381"/>
      <c r="BX45" s="382"/>
      <c r="BY45" s="383"/>
      <c r="BZ45" s="381"/>
      <c r="CA45" s="381"/>
      <c r="CB45" s="381"/>
      <c r="CC45" s="384"/>
      <c r="CD45" s="385"/>
      <c r="CE45" s="381"/>
      <c r="CF45" s="381"/>
      <c r="CG45" s="381"/>
      <c r="CH45" s="384"/>
      <c r="CI45" s="385"/>
      <c r="CJ45" s="381"/>
      <c r="CK45" s="381"/>
      <c r="CL45" s="381"/>
      <c r="CM45" s="382"/>
    </row>
    <row r="46" spans="1:91" ht="25.5" customHeight="1">
      <c r="A46" s="386">
        <v>4489</v>
      </c>
      <c r="B46" s="387" t="s">
        <v>11</v>
      </c>
      <c r="C46" s="387" t="s">
        <v>44</v>
      </c>
      <c r="D46" s="387" t="s">
        <v>76</v>
      </c>
      <c r="E46" s="372" t="s">
        <v>53</v>
      </c>
      <c r="F46" s="387"/>
      <c r="G46" s="372" t="s">
        <v>1546</v>
      </c>
      <c r="H46" s="371" t="s">
        <v>54</v>
      </c>
      <c r="I46" s="375"/>
      <c r="J46" s="372"/>
      <c r="K46" s="373"/>
      <c r="L46" s="388" t="s">
        <v>78</v>
      </c>
      <c r="M46" s="387" t="s">
        <v>77</v>
      </c>
      <c r="N46" s="387"/>
      <c r="O46" s="387" t="s">
        <v>77</v>
      </c>
      <c r="P46" s="389" t="s">
        <v>77</v>
      </c>
      <c r="Q46" s="388"/>
      <c r="R46" s="387"/>
      <c r="S46" s="387"/>
      <c r="T46" s="387"/>
      <c r="U46" s="390" t="s">
        <v>80</v>
      </c>
      <c r="V46" s="386"/>
      <c r="W46" s="372"/>
      <c r="X46" s="372"/>
      <c r="Y46" s="372"/>
      <c r="Z46" s="373"/>
      <c r="AA46" s="374"/>
      <c r="AB46" s="372"/>
      <c r="AC46" s="372"/>
      <c r="AD46" s="372"/>
      <c r="AE46" s="371"/>
      <c r="AF46" s="375"/>
      <c r="AG46" s="372"/>
      <c r="AH46" s="372"/>
      <c r="AI46" s="372"/>
      <c r="AJ46" s="373"/>
      <c r="AK46" s="374"/>
      <c r="AL46" s="372"/>
      <c r="AM46" s="372"/>
      <c r="AN46" s="372"/>
      <c r="AO46" s="371"/>
      <c r="AP46" s="375"/>
      <c r="AQ46" s="372"/>
      <c r="AR46" s="372"/>
      <c r="AS46" s="372"/>
      <c r="AT46" s="373"/>
      <c r="AU46" s="374"/>
      <c r="AV46" s="372"/>
      <c r="AW46" s="372"/>
      <c r="AX46" s="372"/>
      <c r="AY46" s="371"/>
      <c r="AZ46" s="375"/>
      <c r="BA46" s="372"/>
      <c r="BB46" s="372"/>
      <c r="BC46" s="372"/>
      <c r="BD46" s="373"/>
      <c r="BE46" s="374"/>
      <c r="BF46" s="372"/>
      <c r="BG46" s="372"/>
      <c r="BH46" s="372"/>
      <c r="BI46" s="371"/>
      <c r="BJ46" s="375"/>
      <c r="BK46" s="372"/>
      <c r="BL46" s="372"/>
      <c r="BM46" s="372"/>
      <c r="BN46" s="373"/>
      <c r="BO46" s="374"/>
      <c r="BP46" s="372"/>
      <c r="BQ46" s="372"/>
      <c r="BR46" s="372"/>
      <c r="BS46" s="371"/>
      <c r="BT46" s="375"/>
      <c r="BU46" s="372"/>
      <c r="BV46" s="372"/>
      <c r="BW46" s="372"/>
      <c r="BX46" s="373"/>
      <c r="BY46" s="374"/>
      <c r="BZ46" s="372"/>
      <c r="CA46" s="372"/>
      <c r="CB46" s="372"/>
      <c r="CC46" s="371"/>
      <c r="CD46" s="375"/>
      <c r="CE46" s="372"/>
      <c r="CF46" s="372"/>
      <c r="CG46" s="372"/>
      <c r="CH46" s="371"/>
      <c r="CI46" s="375"/>
      <c r="CJ46" s="372"/>
      <c r="CK46" s="372"/>
      <c r="CL46" s="372"/>
      <c r="CM46" s="373"/>
    </row>
    <row r="47" spans="1:91" ht="25.5" customHeight="1">
      <c r="A47" s="386">
        <v>4490</v>
      </c>
      <c r="B47" s="387" t="s">
        <v>11</v>
      </c>
      <c r="C47" s="387" t="s">
        <v>44</v>
      </c>
      <c r="D47" s="387" t="s">
        <v>76</v>
      </c>
      <c r="E47" s="372" t="s">
        <v>53</v>
      </c>
      <c r="F47" s="387"/>
      <c r="G47" s="372" t="s">
        <v>1548</v>
      </c>
      <c r="H47" s="371" t="s">
        <v>54</v>
      </c>
      <c r="I47" s="375"/>
      <c r="J47" s="372"/>
      <c r="K47" s="373"/>
      <c r="L47" s="388" t="s">
        <v>78</v>
      </c>
      <c r="M47" s="387" t="s">
        <v>77</v>
      </c>
      <c r="N47" s="387"/>
      <c r="O47" s="387" t="s">
        <v>77</v>
      </c>
      <c r="P47" s="389" t="s">
        <v>77</v>
      </c>
      <c r="Q47" s="388"/>
      <c r="R47" s="387"/>
      <c r="S47" s="387"/>
      <c r="T47" s="387"/>
      <c r="U47" s="390" t="s">
        <v>80</v>
      </c>
      <c r="V47" s="386"/>
      <c r="W47" s="372"/>
      <c r="X47" s="372"/>
      <c r="Y47" s="372"/>
      <c r="Z47" s="373"/>
      <c r="AA47" s="374"/>
      <c r="AB47" s="372"/>
      <c r="AC47" s="372"/>
      <c r="AD47" s="372"/>
      <c r="AE47" s="371"/>
      <c r="AF47" s="375"/>
      <c r="AG47" s="372"/>
      <c r="AH47" s="372"/>
      <c r="AI47" s="372"/>
      <c r="AJ47" s="373"/>
      <c r="AK47" s="374"/>
      <c r="AL47" s="372"/>
      <c r="AM47" s="372"/>
      <c r="AN47" s="372"/>
      <c r="AO47" s="371"/>
      <c r="AP47" s="375"/>
      <c r="AQ47" s="372"/>
      <c r="AR47" s="372"/>
      <c r="AS47" s="372"/>
      <c r="AT47" s="373"/>
      <c r="AU47" s="374"/>
      <c r="AV47" s="372"/>
      <c r="AW47" s="372"/>
      <c r="AX47" s="372"/>
      <c r="AY47" s="371"/>
      <c r="AZ47" s="375"/>
      <c r="BA47" s="372"/>
      <c r="BB47" s="372"/>
      <c r="BC47" s="372"/>
      <c r="BD47" s="373"/>
      <c r="BE47" s="374"/>
      <c r="BF47" s="372"/>
      <c r="BG47" s="372"/>
      <c r="BH47" s="372"/>
      <c r="BI47" s="371"/>
      <c r="BJ47" s="375"/>
      <c r="BK47" s="372"/>
      <c r="BL47" s="372"/>
      <c r="BM47" s="372"/>
      <c r="BN47" s="373"/>
      <c r="BO47" s="374"/>
      <c r="BP47" s="372"/>
      <c r="BQ47" s="372"/>
      <c r="BR47" s="372"/>
      <c r="BS47" s="371"/>
      <c r="BT47" s="375"/>
      <c r="BU47" s="372"/>
      <c r="BV47" s="372"/>
      <c r="BW47" s="372"/>
      <c r="BX47" s="373"/>
      <c r="BY47" s="374"/>
      <c r="BZ47" s="372"/>
      <c r="CA47" s="372"/>
      <c r="CB47" s="372"/>
      <c r="CC47" s="371"/>
      <c r="CD47" s="375"/>
      <c r="CE47" s="372"/>
      <c r="CF47" s="372"/>
      <c r="CG47" s="372"/>
      <c r="CH47" s="371"/>
      <c r="CI47" s="375"/>
      <c r="CJ47" s="372"/>
      <c r="CK47" s="372"/>
      <c r="CL47" s="372"/>
      <c r="CM47" s="373"/>
    </row>
    <row r="48" spans="1:91" ht="25.5" customHeight="1">
      <c r="A48" s="386">
        <v>4491</v>
      </c>
      <c r="B48" s="387" t="s">
        <v>11</v>
      </c>
      <c r="C48" s="387" t="s">
        <v>44</v>
      </c>
      <c r="D48" s="387" t="s">
        <v>76</v>
      </c>
      <c r="E48" s="372" t="s">
        <v>53</v>
      </c>
      <c r="F48" s="387"/>
      <c r="G48" s="372" t="s">
        <v>1550</v>
      </c>
      <c r="H48" s="371" t="s">
        <v>54</v>
      </c>
      <c r="I48" s="375"/>
      <c r="J48" s="372"/>
      <c r="K48" s="373"/>
      <c r="L48" s="388" t="s">
        <v>78</v>
      </c>
      <c r="M48" s="387" t="s">
        <v>77</v>
      </c>
      <c r="N48" s="387"/>
      <c r="O48" s="387" t="s">
        <v>77</v>
      </c>
      <c r="P48" s="389" t="s">
        <v>77</v>
      </c>
      <c r="Q48" s="388"/>
      <c r="R48" s="387"/>
      <c r="S48" s="387"/>
      <c r="T48" s="387"/>
      <c r="U48" s="390" t="s">
        <v>80</v>
      </c>
      <c r="V48" s="386"/>
      <c r="W48" s="372"/>
      <c r="X48" s="372"/>
      <c r="Y48" s="372"/>
      <c r="Z48" s="373"/>
      <c r="AA48" s="374"/>
      <c r="AB48" s="372"/>
      <c r="AC48" s="372"/>
      <c r="AD48" s="372"/>
      <c r="AE48" s="371"/>
      <c r="AF48" s="375"/>
      <c r="AG48" s="372"/>
      <c r="AH48" s="372"/>
      <c r="AI48" s="372"/>
      <c r="AJ48" s="373"/>
      <c r="AK48" s="374"/>
      <c r="AL48" s="372"/>
      <c r="AM48" s="372"/>
      <c r="AN48" s="372"/>
      <c r="AO48" s="371"/>
      <c r="AP48" s="375"/>
      <c r="AQ48" s="372"/>
      <c r="AR48" s="372"/>
      <c r="AS48" s="372"/>
      <c r="AT48" s="373"/>
      <c r="AU48" s="374"/>
      <c r="AV48" s="372"/>
      <c r="AW48" s="372"/>
      <c r="AX48" s="372"/>
      <c r="AY48" s="371"/>
      <c r="AZ48" s="375"/>
      <c r="BA48" s="372"/>
      <c r="BB48" s="372"/>
      <c r="BC48" s="372"/>
      <c r="BD48" s="373"/>
      <c r="BE48" s="374"/>
      <c r="BF48" s="372"/>
      <c r="BG48" s="372"/>
      <c r="BH48" s="372"/>
      <c r="BI48" s="371"/>
      <c r="BJ48" s="375"/>
      <c r="BK48" s="372"/>
      <c r="BL48" s="372"/>
      <c r="BM48" s="372"/>
      <c r="BN48" s="373"/>
      <c r="BO48" s="374"/>
      <c r="BP48" s="372"/>
      <c r="BQ48" s="372"/>
      <c r="BR48" s="372"/>
      <c r="BS48" s="371"/>
      <c r="BT48" s="375"/>
      <c r="BU48" s="372"/>
      <c r="BV48" s="372"/>
      <c r="BW48" s="372"/>
      <c r="BX48" s="373"/>
      <c r="BY48" s="374"/>
      <c r="BZ48" s="372"/>
      <c r="CA48" s="372"/>
      <c r="CB48" s="372"/>
      <c r="CC48" s="371"/>
      <c r="CD48" s="375"/>
      <c r="CE48" s="372"/>
      <c r="CF48" s="372"/>
      <c r="CG48" s="372"/>
      <c r="CH48" s="371"/>
      <c r="CI48" s="375"/>
      <c r="CJ48" s="372"/>
      <c r="CK48" s="372"/>
      <c r="CL48" s="372"/>
      <c r="CM48" s="373"/>
    </row>
    <row r="49" spans="1:91" ht="25.5" customHeight="1" thickBot="1">
      <c r="A49" s="391">
        <v>4492</v>
      </c>
      <c r="B49" s="392" t="s">
        <v>11</v>
      </c>
      <c r="C49" s="392" t="s">
        <v>44</v>
      </c>
      <c r="D49" s="392" t="s">
        <v>76</v>
      </c>
      <c r="E49" s="393" t="s">
        <v>53</v>
      </c>
      <c r="F49" s="392"/>
      <c r="G49" s="393" t="s">
        <v>1552</v>
      </c>
      <c r="H49" s="394" t="s">
        <v>54</v>
      </c>
      <c r="I49" s="395"/>
      <c r="J49" s="393"/>
      <c r="K49" s="396"/>
      <c r="L49" s="397" t="s">
        <v>78</v>
      </c>
      <c r="M49" s="392" t="s">
        <v>77</v>
      </c>
      <c r="N49" s="392"/>
      <c r="O49" s="392" t="s">
        <v>77</v>
      </c>
      <c r="P49" s="398" t="s">
        <v>77</v>
      </c>
      <c r="Q49" s="397"/>
      <c r="R49" s="392"/>
      <c r="S49" s="392"/>
      <c r="T49" s="392"/>
      <c r="U49" s="399" t="s">
        <v>80</v>
      </c>
      <c r="V49" s="391"/>
      <c r="W49" s="393"/>
      <c r="X49" s="393"/>
      <c r="Y49" s="393"/>
      <c r="Z49" s="396"/>
      <c r="AA49" s="400"/>
      <c r="AB49" s="393"/>
      <c r="AC49" s="393"/>
      <c r="AD49" s="393"/>
      <c r="AE49" s="394"/>
      <c r="AF49" s="395"/>
      <c r="AG49" s="393"/>
      <c r="AH49" s="393"/>
      <c r="AI49" s="393"/>
      <c r="AJ49" s="396"/>
      <c r="AK49" s="400"/>
      <c r="AL49" s="393"/>
      <c r="AM49" s="393"/>
      <c r="AN49" s="393"/>
      <c r="AO49" s="394"/>
      <c r="AP49" s="395"/>
      <c r="AQ49" s="393"/>
      <c r="AR49" s="393"/>
      <c r="AS49" s="393"/>
      <c r="AT49" s="396"/>
      <c r="AU49" s="400"/>
      <c r="AV49" s="393"/>
      <c r="AW49" s="393"/>
      <c r="AX49" s="393"/>
      <c r="AY49" s="394"/>
      <c r="AZ49" s="395"/>
      <c r="BA49" s="393"/>
      <c r="BB49" s="393"/>
      <c r="BC49" s="393"/>
      <c r="BD49" s="396"/>
      <c r="BE49" s="400"/>
      <c r="BF49" s="393"/>
      <c r="BG49" s="393"/>
      <c r="BH49" s="393"/>
      <c r="BI49" s="394"/>
      <c r="BJ49" s="395"/>
      <c r="BK49" s="393"/>
      <c r="BL49" s="393"/>
      <c r="BM49" s="393"/>
      <c r="BN49" s="396"/>
      <c r="BO49" s="400"/>
      <c r="BP49" s="393"/>
      <c r="BQ49" s="393"/>
      <c r="BR49" s="393"/>
      <c r="BS49" s="394"/>
      <c r="BT49" s="395"/>
      <c r="BU49" s="393"/>
      <c r="BV49" s="393"/>
      <c r="BW49" s="393"/>
      <c r="BX49" s="396"/>
      <c r="BY49" s="400"/>
      <c r="BZ49" s="393"/>
      <c r="CA49" s="393"/>
      <c r="CB49" s="393"/>
      <c r="CC49" s="394"/>
      <c r="CD49" s="395"/>
      <c r="CE49" s="393"/>
      <c r="CF49" s="393"/>
      <c r="CG49" s="393"/>
      <c r="CH49" s="394"/>
      <c r="CI49" s="395"/>
      <c r="CJ49" s="393"/>
      <c r="CK49" s="393"/>
      <c r="CL49" s="393"/>
      <c r="CM49" s="396"/>
    </row>
    <row r="50" spans="1:91" ht="25.5" customHeight="1">
      <c r="A50" s="401">
        <v>4493</v>
      </c>
      <c r="B50" s="402" t="s">
        <v>11</v>
      </c>
      <c r="C50" s="402" t="s">
        <v>44</v>
      </c>
      <c r="D50" s="402" t="s">
        <v>76</v>
      </c>
      <c r="E50" s="403" t="s">
        <v>53</v>
      </c>
      <c r="F50" s="402"/>
      <c r="G50" s="403" t="s">
        <v>1554</v>
      </c>
      <c r="H50" s="404" t="s">
        <v>54</v>
      </c>
      <c r="I50" s="405"/>
      <c r="J50" s="403"/>
      <c r="K50" s="406"/>
      <c r="L50" s="407" t="s">
        <v>78</v>
      </c>
      <c r="M50" s="402" t="s">
        <v>77</v>
      </c>
      <c r="N50" s="402"/>
      <c r="O50" s="402" t="s">
        <v>77</v>
      </c>
      <c r="P50" s="408" t="s">
        <v>77</v>
      </c>
      <c r="Q50" s="407"/>
      <c r="R50" s="402"/>
      <c r="S50" s="402"/>
      <c r="T50" s="402"/>
      <c r="U50" s="409" t="s">
        <v>80</v>
      </c>
      <c r="V50" s="401"/>
      <c r="W50" s="403"/>
      <c r="X50" s="403"/>
      <c r="Y50" s="403"/>
      <c r="Z50" s="406"/>
      <c r="AA50" s="410"/>
      <c r="AB50" s="403"/>
      <c r="AC50" s="403"/>
      <c r="AD50" s="403"/>
      <c r="AE50" s="404"/>
      <c r="AF50" s="405"/>
      <c r="AG50" s="403"/>
      <c r="AH50" s="403"/>
      <c r="AI50" s="403"/>
      <c r="AJ50" s="406"/>
      <c r="AK50" s="410"/>
      <c r="AL50" s="403"/>
      <c r="AM50" s="403"/>
      <c r="AN50" s="403"/>
      <c r="AO50" s="404"/>
      <c r="AP50" s="405"/>
      <c r="AQ50" s="403"/>
      <c r="AR50" s="403"/>
      <c r="AS50" s="403"/>
      <c r="AT50" s="406"/>
      <c r="AU50" s="410"/>
      <c r="AV50" s="403"/>
      <c r="AW50" s="403"/>
      <c r="AX50" s="403"/>
      <c r="AY50" s="404"/>
      <c r="AZ50" s="405"/>
      <c r="BA50" s="403"/>
      <c r="BB50" s="403"/>
      <c r="BC50" s="403"/>
      <c r="BD50" s="406"/>
      <c r="BE50" s="410"/>
      <c r="BF50" s="403"/>
      <c r="BG50" s="403"/>
      <c r="BH50" s="403"/>
      <c r="BI50" s="404"/>
      <c r="BJ50" s="405"/>
      <c r="BK50" s="403"/>
      <c r="BL50" s="403"/>
      <c r="BM50" s="403"/>
      <c r="BN50" s="406"/>
      <c r="BO50" s="410"/>
      <c r="BP50" s="403"/>
      <c r="BQ50" s="403"/>
      <c r="BR50" s="403"/>
      <c r="BS50" s="404"/>
      <c r="BT50" s="405"/>
      <c r="BU50" s="403"/>
      <c r="BV50" s="403"/>
      <c r="BW50" s="403"/>
      <c r="BX50" s="406"/>
      <c r="BY50" s="410"/>
      <c r="BZ50" s="403"/>
      <c r="CA50" s="403"/>
      <c r="CB50" s="403"/>
      <c r="CC50" s="404"/>
      <c r="CD50" s="405"/>
      <c r="CE50" s="403"/>
      <c r="CF50" s="403"/>
      <c r="CG50" s="403"/>
      <c r="CH50" s="404"/>
      <c r="CI50" s="405"/>
      <c r="CJ50" s="403"/>
      <c r="CK50" s="403"/>
      <c r="CL50" s="403"/>
      <c r="CM50" s="406"/>
    </row>
    <row r="51" spans="1:91" ht="25.5" customHeight="1">
      <c r="A51" s="386">
        <v>4494</v>
      </c>
      <c r="B51" s="387" t="s">
        <v>11</v>
      </c>
      <c r="C51" s="387" t="s">
        <v>44</v>
      </c>
      <c r="D51" s="387" t="s">
        <v>76</v>
      </c>
      <c r="E51" s="372" t="s">
        <v>53</v>
      </c>
      <c r="F51" s="387"/>
      <c r="G51" s="372" t="s">
        <v>1556</v>
      </c>
      <c r="H51" s="371" t="s">
        <v>54</v>
      </c>
      <c r="I51" s="375"/>
      <c r="J51" s="372"/>
      <c r="K51" s="373"/>
      <c r="L51" s="388" t="s">
        <v>78</v>
      </c>
      <c r="M51" s="387" t="s">
        <v>77</v>
      </c>
      <c r="N51" s="387"/>
      <c r="O51" s="387" t="s">
        <v>77</v>
      </c>
      <c r="P51" s="389" t="s">
        <v>77</v>
      </c>
      <c r="Q51" s="388"/>
      <c r="R51" s="387"/>
      <c r="S51" s="387"/>
      <c r="T51" s="387"/>
      <c r="U51" s="390" t="s">
        <v>80</v>
      </c>
      <c r="V51" s="386"/>
      <c r="W51" s="372"/>
      <c r="X51" s="372"/>
      <c r="Y51" s="372"/>
      <c r="Z51" s="373"/>
      <c r="AA51" s="374"/>
      <c r="AB51" s="372"/>
      <c r="AC51" s="372"/>
      <c r="AD51" s="372"/>
      <c r="AE51" s="371"/>
      <c r="AF51" s="375"/>
      <c r="AG51" s="372"/>
      <c r="AH51" s="372"/>
      <c r="AI51" s="372"/>
      <c r="AJ51" s="373"/>
      <c r="AK51" s="374"/>
      <c r="AL51" s="372"/>
      <c r="AM51" s="372"/>
      <c r="AN51" s="372"/>
      <c r="AO51" s="371"/>
      <c r="AP51" s="375"/>
      <c r="AQ51" s="372"/>
      <c r="AR51" s="372"/>
      <c r="AS51" s="372"/>
      <c r="AT51" s="373"/>
      <c r="AU51" s="374"/>
      <c r="AV51" s="372"/>
      <c r="AW51" s="372"/>
      <c r="AX51" s="372"/>
      <c r="AY51" s="371"/>
      <c r="AZ51" s="375"/>
      <c r="BA51" s="372"/>
      <c r="BB51" s="372"/>
      <c r="BC51" s="372"/>
      <c r="BD51" s="373"/>
      <c r="BE51" s="374"/>
      <c r="BF51" s="372"/>
      <c r="BG51" s="372"/>
      <c r="BH51" s="372"/>
      <c r="BI51" s="371"/>
      <c r="BJ51" s="375"/>
      <c r="BK51" s="372"/>
      <c r="BL51" s="372"/>
      <c r="BM51" s="372"/>
      <c r="BN51" s="373"/>
      <c r="BO51" s="374"/>
      <c r="BP51" s="372"/>
      <c r="BQ51" s="372"/>
      <c r="BR51" s="372"/>
      <c r="BS51" s="371"/>
      <c r="BT51" s="375"/>
      <c r="BU51" s="372"/>
      <c r="BV51" s="372"/>
      <c r="BW51" s="372"/>
      <c r="BX51" s="373"/>
      <c r="BY51" s="374"/>
      <c r="BZ51" s="372"/>
      <c r="CA51" s="372"/>
      <c r="CB51" s="372"/>
      <c r="CC51" s="371"/>
      <c r="CD51" s="375"/>
      <c r="CE51" s="372"/>
      <c r="CF51" s="372"/>
      <c r="CG51" s="372"/>
      <c r="CH51" s="371"/>
      <c r="CI51" s="375"/>
      <c r="CJ51" s="372"/>
      <c r="CK51" s="372"/>
      <c r="CL51" s="372"/>
      <c r="CM51" s="373"/>
    </row>
    <row r="52" spans="1:91" ht="25.5" customHeight="1">
      <c r="A52" s="386">
        <v>4495</v>
      </c>
      <c r="B52" s="387" t="s">
        <v>11</v>
      </c>
      <c r="C52" s="387" t="s">
        <v>44</v>
      </c>
      <c r="D52" s="387" t="s">
        <v>76</v>
      </c>
      <c r="E52" s="372" t="s">
        <v>53</v>
      </c>
      <c r="F52" s="387"/>
      <c r="G52" s="372" t="s">
        <v>1558</v>
      </c>
      <c r="H52" s="371" t="s">
        <v>54</v>
      </c>
      <c r="I52" s="375"/>
      <c r="J52" s="372"/>
      <c r="K52" s="373"/>
      <c r="L52" s="388" t="s">
        <v>78</v>
      </c>
      <c r="M52" s="387" t="s">
        <v>77</v>
      </c>
      <c r="N52" s="387"/>
      <c r="O52" s="387" t="s">
        <v>77</v>
      </c>
      <c r="P52" s="389" t="s">
        <v>77</v>
      </c>
      <c r="Q52" s="388"/>
      <c r="R52" s="387"/>
      <c r="S52" s="387"/>
      <c r="T52" s="387"/>
      <c r="U52" s="390" t="s">
        <v>80</v>
      </c>
      <c r="V52" s="386"/>
      <c r="W52" s="372"/>
      <c r="X52" s="372"/>
      <c r="Y52" s="372"/>
      <c r="Z52" s="373"/>
      <c r="AA52" s="374"/>
      <c r="AB52" s="372"/>
      <c r="AC52" s="372"/>
      <c r="AD52" s="372"/>
      <c r="AE52" s="371"/>
      <c r="AF52" s="375"/>
      <c r="AG52" s="372"/>
      <c r="AH52" s="372"/>
      <c r="AI52" s="372"/>
      <c r="AJ52" s="373"/>
      <c r="AK52" s="374"/>
      <c r="AL52" s="372"/>
      <c r="AM52" s="372"/>
      <c r="AN52" s="372"/>
      <c r="AO52" s="371"/>
      <c r="AP52" s="375"/>
      <c r="AQ52" s="372"/>
      <c r="AR52" s="372"/>
      <c r="AS52" s="372"/>
      <c r="AT52" s="373"/>
      <c r="AU52" s="374"/>
      <c r="AV52" s="372"/>
      <c r="AW52" s="372"/>
      <c r="AX52" s="372"/>
      <c r="AY52" s="371"/>
      <c r="AZ52" s="375"/>
      <c r="BA52" s="372"/>
      <c r="BB52" s="372"/>
      <c r="BC52" s="372"/>
      <c r="BD52" s="373"/>
      <c r="BE52" s="374"/>
      <c r="BF52" s="372"/>
      <c r="BG52" s="372"/>
      <c r="BH52" s="372"/>
      <c r="BI52" s="371"/>
      <c r="BJ52" s="375"/>
      <c r="BK52" s="372"/>
      <c r="BL52" s="372"/>
      <c r="BM52" s="372"/>
      <c r="BN52" s="373"/>
      <c r="BO52" s="374"/>
      <c r="BP52" s="372"/>
      <c r="BQ52" s="372"/>
      <c r="BR52" s="372"/>
      <c r="BS52" s="371"/>
      <c r="BT52" s="375"/>
      <c r="BU52" s="372"/>
      <c r="BV52" s="372"/>
      <c r="BW52" s="372"/>
      <c r="BX52" s="373"/>
      <c r="BY52" s="374"/>
      <c r="BZ52" s="372"/>
      <c r="CA52" s="372"/>
      <c r="CB52" s="372"/>
      <c r="CC52" s="371"/>
      <c r="CD52" s="375"/>
      <c r="CE52" s="372"/>
      <c r="CF52" s="372"/>
      <c r="CG52" s="372"/>
      <c r="CH52" s="371"/>
      <c r="CI52" s="375"/>
      <c r="CJ52" s="372"/>
      <c r="CK52" s="372"/>
      <c r="CL52" s="372"/>
      <c r="CM52" s="373"/>
    </row>
    <row r="53" spans="1:91" ht="25.5" customHeight="1">
      <c r="A53" s="386">
        <v>4496</v>
      </c>
      <c r="B53" s="387" t="s">
        <v>11</v>
      </c>
      <c r="C53" s="387" t="s">
        <v>44</v>
      </c>
      <c r="D53" s="387" t="s">
        <v>76</v>
      </c>
      <c r="E53" s="372" t="s">
        <v>53</v>
      </c>
      <c r="F53" s="387"/>
      <c r="G53" s="372" t="s">
        <v>1560</v>
      </c>
      <c r="H53" s="371" t="s">
        <v>54</v>
      </c>
      <c r="I53" s="375"/>
      <c r="J53" s="372"/>
      <c r="K53" s="373"/>
      <c r="L53" s="388" t="s">
        <v>78</v>
      </c>
      <c r="M53" s="387" t="s">
        <v>77</v>
      </c>
      <c r="N53" s="387"/>
      <c r="O53" s="387" t="s">
        <v>77</v>
      </c>
      <c r="P53" s="389" t="s">
        <v>77</v>
      </c>
      <c r="Q53" s="388"/>
      <c r="R53" s="387"/>
      <c r="S53" s="387"/>
      <c r="T53" s="387"/>
      <c r="U53" s="390" t="s">
        <v>80</v>
      </c>
      <c r="V53" s="386"/>
      <c r="W53" s="372"/>
      <c r="X53" s="372"/>
      <c r="Y53" s="372"/>
      <c r="Z53" s="373"/>
      <c r="AA53" s="374"/>
      <c r="AB53" s="372"/>
      <c r="AC53" s="372"/>
      <c r="AD53" s="372"/>
      <c r="AE53" s="371"/>
      <c r="AF53" s="375"/>
      <c r="AG53" s="372"/>
      <c r="AH53" s="372"/>
      <c r="AI53" s="372"/>
      <c r="AJ53" s="373"/>
      <c r="AK53" s="374"/>
      <c r="AL53" s="372"/>
      <c r="AM53" s="372"/>
      <c r="AN53" s="372"/>
      <c r="AO53" s="371"/>
      <c r="AP53" s="375"/>
      <c r="AQ53" s="372"/>
      <c r="AR53" s="372"/>
      <c r="AS53" s="372"/>
      <c r="AT53" s="373"/>
      <c r="AU53" s="374"/>
      <c r="AV53" s="372"/>
      <c r="AW53" s="372"/>
      <c r="AX53" s="372"/>
      <c r="AY53" s="371"/>
      <c r="AZ53" s="375"/>
      <c r="BA53" s="372"/>
      <c r="BB53" s="372"/>
      <c r="BC53" s="372"/>
      <c r="BD53" s="373"/>
      <c r="BE53" s="374"/>
      <c r="BF53" s="372"/>
      <c r="BG53" s="372"/>
      <c r="BH53" s="372"/>
      <c r="BI53" s="371"/>
      <c r="BJ53" s="375"/>
      <c r="BK53" s="372"/>
      <c r="BL53" s="372"/>
      <c r="BM53" s="372"/>
      <c r="BN53" s="373"/>
      <c r="BO53" s="374"/>
      <c r="BP53" s="372"/>
      <c r="BQ53" s="372"/>
      <c r="BR53" s="372"/>
      <c r="BS53" s="371"/>
      <c r="BT53" s="375"/>
      <c r="BU53" s="372"/>
      <c r="BV53" s="372"/>
      <c r="BW53" s="372"/>
      <c r="BX53" s="373"/>
      <c r="BY53" s="374"/>
      <c r="BZ53" s="372"/>
      <c r="CA53" s="372"/>
      <c r="CB53" s="372"/>
      <c r="CC53" s="371"/>
      <c r="CD53" s="375"/>
      <c r="CE53" s="372"/>
      <c r="CF53" s="372"/>
      <c r="CG53" s="372"/>
      <c r="CH53" s="371"/>
      <c r="CI53" s="375"/>
      <c r="CJ53" s="372"/>
      <c r="CK53" s="372"/>
      <c r="CL53" s="372"/>
      <c r="CM53" s="373"/>
    </row>
    <row r="54" spans="1:91" ht="25.5" customHeight="1" thickBot="1">
      <c r="A54" s="411">
        <v>4497</v>
      </c>
      <c r="B54" s="412" t="s">
        <v>11</v>
      </c>
      <c r="C54" s="412" t="s">
        <v>44</v>
      </c>
      <c r="D54" s="412" t="s">
        <v>76</v>
      </c>
      <c r="E54" s="377" t="s">
        <v>53</v>
      </c>
      <c r="F54" s="412"/>
      <c r="G54" s="377" t="s">
        <v>1562</v>
      </c>
      <c r="H54" s="376" t="s">
        <v>54</v>
      </c>
      <c r="I54" s="380"/>
      <c r="J54" s="377"/>
      <c r="K54" s="378"/>
      <c r="L54" s="413" t="s">
        <v>78</v>
      </c>
      <c r="M54" s="412" t="s">
        <v>77</v>
      </c>
      <c r="N54" s="412"/>
      <c r="O54" s="412" t="s">
        <v>77</v>
      </c>
      <c r="P54" s="414" t="s">
        <v>77</v>
      </c>
      <c r="Q54" s="413"/>
      <c r="R54" s="412"/>
      <c r="S54" s="412"/>
      <c r="T54" s="412"/>
      <c r="U54" s="415" t="s">
        <v>80</v>
      </c>
      <c r="V54" s="411"/>
      <c r="W54" s="377"/>
      <c r="X54" s="377"/>
      <c r="Y54" s="377"/>
      <c r="Z54" s="378"/>
      <c r="AA54" s="379"/>
      <c r="AB54" s="377"/>
      <c r="AC54" s="377"/>
      <c r="AD54" s="377"/>
      <c r="AE54" s="376"/>
      <c r="AF54" s="380"/>
      <c r="AG54" s="377"/>
      <c r="AH54" s="377"/>
      <c r="AI54" s="377"/>
      <c r="AJ54" s="378"/>
      <c r="AK54" s="379"/>
      <c r="AL54" s="377"/>
      <c r="AM54" s="377"/>
      <c r="AN54" s="377"/>
      <c r="AO54" s="376"/>
      <c r="AP54" s="380"/>
      <c r="AQ54" s="377"/>
      <c r="AR54" s="377"/>
      <c r="AS54" s="377"/>
      <c r="AT54" s="378"/>
      <c r="AU54" s="379"/>
      <c r="AV54" s="377"/>
      <c r="AW54" s="377"/>
      <c r="AX54" s="377"/>
      <c r="AY54" s="376"/>
      <c r="AZ54" s="380"/>
      <c r="BA54" s="377"/>
      <c r="BB54" s="377"/>
      <c r="BC54" s="377"/>
      <c r="BD54" s="378"/>
      <c r="BE54" s="379"/>
      <c r="BF54" s="377"/>
      <c r="BG54" s="377"/>
      <c r="BH54" s="377"/>
      <c r="BI54" s="376"/>
      <c r="BJ54" s="380"/>
      <c r="BK54" s="377"/>
      <c r="BL54" s="377"/>
      <c r="BM54" s="377"/>
      <c r="BN54" s="378"/>
      <c r="BO54" s="379"/>
      <c r="BP54" s="377"/>
      <c r="BQ54" s="377"/>
      <c r="BR54" s="377"/>
      <c r="BS54" s="376"/>
      <c r="BT54" s="380"/>
      <c r="BU54" s="377"/>
      <c r="BV54" s="377"/>
      <c r="BW54" s="377"/>
      <c r="BX54" s="378"/>
      <c r="BY54" s="379"/>
      <c r="BZ54" s="377"/>
      <c r="CA54" s="377"/>
      <c r="CB54" s="377"/>
      <c r="CC54" s="376"/>
      <c r="CD54" s="380"/>
      <c r="CE54" s="377"/>
      <c r="CF54" s="377"/>
      <c r="CG54" s="377"/>
      <c r="CH54" s="376"/>
      <c r="CI54" s="380"/>
      <c r="CJ54" s="377"/>
      <c r="CK54" s="377"/>
      <c r="CL54" s="377"/>
      <c r="CM54" s="378"/>
    </row>
    <row r="55" spans="1:91" ht="25.5" customHeight="1">
      <c r="A55" s="416">
        <v>4498</v>
      </c>
      <c r="B55" s="417" t="s">
        <v>11</v>
      </c>
      <c r="C55" s="417" t="s">
        <v>44</v>
      </c>
      <c r="D55" s="417" t="s">
        <v>76</v>
      </c>
      <c r="E55" s="381" t="s">
        <v>53</v>
      </c>
      <c r="F55" s="417"/>
      <c r="G55" s="381" t="s">
        <v>1564</v>
      </c>
      <c r="H55" s="384" t="s">
        <v>54</v>
      </c>
      <c r="I55" s="385"/>
      <c r="J55" s="381"/>
      <c r="K55" s="382"/>
      <c r="L55" s="418" t="s">
        <v>78</v>
      </c>
      <c r="M55" s="417" t="s">
        <v>77</v>
      </c>
      <c r="N55" s="417"/>
      <c r="O55" s="417" t="s">
        <v>77</v>
      </c>
      <c r="P55" s="419" t="s">
        <v>77</v>
      </c>
      <c r="Q55" s="418"/>
      <c r="R55" s="417"/>
      <c r="S55" s="417"/>
      <c r="T55" s="417"/>
      <c r="U55" s="420" t="s">
        <v>80</v>
      </c>
      <c r="V55" s="416"/>
      <c r="W55" s="381"/>
      <c r="X55" s="381"/>
      <c r="Y55" s="381"/>
      <c r="Z55" s="382"/>
      <c r="AA55" s="383"/>
      <c r="AB55" s="381"/>
      <c r="AC55" s="381"/>
      <c r="AD55" s="381"/>
      <c r="AE55" s="384"/>
      <c r="AF55" s="385"/>
      <c r="AG55" s="381"/>
      <c r="AH55" s="381"/>
      <c r="AI55" s="381"/>
      <c r="AJ55" s="382"/>
      <c r="AK55" s="383"/>
      <c r="AL55" s="381"/>
      <c r="AM55" s="381"/>
      <c r="AN55" s="381"/>
      <c r="AO55" s="384"/>
      <c r="AP55" s="385"/>
      <c r="AQ55" s="381"/>
      <c r="AR55" s="381"/>
      <c r="AS55" s="381"/>
      <c r="AT55" s="382"/>
      <c r="AU55" s="383"/>
      <c r="AV55" s="381"/>
      <c r="AW55" s="381"/>
      <c r="AX55" s="381"/>
      <c r="AY55" s="384"/>
      <c r="AZ55" s="385"/>
      <c r="BA55" s="381"/>
      <c r="BB55" s="381"/>
      <c r="BC55" s="381"/>
      <c r="BD55" s="382"/>
      <c r="BE55" s="383"/>
      <c r="BF55" s="381"/>
      <c r="BG55" s="381"/>
      <c r="BH55" s="381"/>
      <c r="BI55" s="384"/>
      <c r="BJ55" s="385"/>
      <c r="BK55" s="381"/>
      <c r="BL55" s="381"/>
      <c r="BM55" s="381"/>
      <c r="BN55" s="382"/>
      <c r="BO55" s="383"/>
      <c r="BP55" s="381"/>
      <c r="BQ55" s="381"/>
      <c r="BR55" s="381"/>
      <c r="BS55" s="384"/>
      <c r="BT55" s="385"/>
      <c r="BU55" s="381"/>
      <c r="BV55" s="381"/>
      <c r="BW55" s="381"/>
      <c r="BX55" s="382"/>
      <c r="BY55" s="383"/>
      <c r="BZ55" s="381"/>
      <c r="CA55" s="381"/>
      <c r="CB55" s="381"/>
      <c r="CC55" s="384"/>
      <c r="CD55" s="385"/>
      <c r="CE55" s="381"/>
      <c r="CF55" s="381"/>
      <c r="CG55" s="381"/>
      <c r="CH55" s="384"/>
      <c r="CI55" s="385"/>
      <c r="CJ55" s="381"/>
      <c r="CK55" s="381"/>
      <c r="CL55" s="381"/>
      <c r="CM55" s="382"/>
    </row>
    <row r="56" spans="1:91" ht="25.5" customHeight="1">
      <c r="A56" s="386">
        <v>4499</v>
      </c>
      <c r="B56" s="387" t="s">
        <v>11</v>
      </c>
      <c r="C56" s="387" t="s">
        <v>44</v>
      </c>
      <c r="D56" s="387" t="s">
        <v>76</v>
      </c>
      <c r="E56" s="372" t="s">
        <v>53</v>
      </c>
      <c r="F56" s="387"/>
      <c r="G56" s="372" t="s">
        <v>1566</v>
      </c>
      <c r="H56" s="371" t="s">
        <v>54</v>
      </c>
      <c r="I56" s="375"/>
      <c r="J56" s="372"/>
      <c r="K56" s="373"/>
      <c r="L56" s="388" t="s">
        <v>78</v>
      </c>
      <c r="M56" s="387" t="s">
        <v>77</v>
      </c>
      <c r="N56" s="387"/>
      <c r="O56" s="387" t="s">
        <v>77</v>
      </c>
      <c r="P56" s="389" t="s">
        <v>77</v>
      </c>
      <c r="Q56" s="388"/>
      <c r="R56" s="387"/>
      <c r="S56" s="387"/>
      <c r="T56" s="387"/>
      <c r="U56" s="390" t="s">
        <v>80</v>
      </c>
      <c r="V56" s="386"/>
      <c r="W56" s="372"/>
      <c r="X56" s="372"/>
      <c r="Y56" s="372"/>
      <c r="Z56" s="373"/>
      <c r="AA56" s="374"/>
      <c r="AB56" s="372"/>
      <c r="AC56" s="372"/>
      <c r="AD56" s="372"/>
      <c r="AE56" s="371"/>
      <c r="AF56" s="375"/>
      <c r="AG56" s="372"/>
      <c r="AH56" s="372"/>
      <c r="AI56" s="372"/>
      <c r="AJ56" s="373"/>
      <c r="AK56" s="374"/>
      <c r="AL56" s="372"/>
      <c r="AM56" s="372"/>
      <c r="AN56" s="372"/>
      <c r="AO56" s="371"/>
      <c r="AP56" s="375"/>
      <c r="AQ56" s="372"/>
      <c r="AR56" s="372"/>
      <c r="AS56" s="372"/>
      <c r="AT56" s="373"/>
      <c r="AU56" s="374"/>
      <c r="AV56" s="372"/>
      <c r="AW56" s="372"/>
      <c r="AX56" s="372"/>
      <c r="AY56" s="371"/>
      <c r="AZ56" s="375"/>
      <c r="BA56" s="372"/>
      <c r="BB56" s="372"/>
      <c r="BC56" s="372"/>
      <c r="BD56" s="373"/>
      <c r="BE56" s="374"/>
      <c r="BF56" s="372"/>
      <c r="BG56" s="372"/>
      <c r="BH56" s="372"/>
      <c r="BI56" s="371"/>
      <c r="BJ56" s="375"/>
      <c r="BK56" s="372"/>
      <c r="BL56" s="372"/>
      <c r="BM56" s="372"/>
      <c r="BN56" s="373"/>
      <c r="BO56" s="374"/>
      <c r="BP56" s="372"/>
      <c r="BQ56" s="372"/>
      <c r="BR56" s="372"/>
      <c r="BS56" s="371"/>
      <c r="BT56" s="375"/>
      <c r="BU56" s="372"/>
      <c r="BV56" s="372"/>
      <c r="BW56" s="372"/>
      <c r="BX56" s="373"/>
      <c r="BY56" s="374"/>
      <c r="BZ56" s="372"/>
      <c r="CA56" s="372"/>
      <c r="CB56" s="372"/>
      <c r="CC56" s="371"/>
      <c r="CD56" s="375"/>
      <c r="CE56" s="372"/>
      <c r="CF56" s="372"/>
      <c r="CG56" s="372"/>
      <c r="CH56" s="371"/>
      <c r="CI56" s="375"/>
      <c r="CJ56" s="372"/>
      <c r="CK56" s="372"/>
      <c r="CL56" s="372"/>
      <c r="CM56" s="373"/>
    </row>
    <row r="57" spans="1:91" ht="25.5" customHeight="1">
      <c r="A57" s="386">
        <v>4500</v>
      </c>
      <c r="B57" s="387" t="s">
        <v>11</v>
      </c>
      <c r="C57" s="387" t="s">
        <v>44</v>
      </c>
      <c r="D57" s="387" t="s">
        <v>76</v>
      </c>
      <c r="E57" s="372" t="s">
        <v>53</v>
      </c>
      <c r="F57" s="387"/>
      <c r="G57" s="372" t="s">
        <v>1568</v>
      </c>
      <c r="H57" s="371" t="s">
        <v>54</v>
      </c>
      <c r="I57" s="375"/>
      <c r="J57" s="372"/>
      <c r="K57" s="373"/>
      <c r="L57" s="388" t="s">
        <v>78</v>
      </c>
      <c r="M57" s="387" t="s">
        <v>77</v>
      </c>
      <c r="N57" s="387"/>
      <c r="O57" s="387" t="s">
        <v>77</v>
      </c>
      <c r="P57" s="389" t="s">
        <v>77</v>
      </c>
      <c r="Q57" s="388"/>
      <c r="R57" s="387"/>
      <c r="S57" s="387"/>
      <c r="T57" s="387"/>
      <c r="U57" s="390" t="s">
        <v>80</v>
      </c>
      <c r="V57" s="386"/>
      <c r="W57" s="372"/>
      <c r="X57" s="372"/>
      <c r="Y57" s="372"/>
      <c r="Z57" s="373"/>
      <c r="AA57" s="374"/>
      <c r="AB57" s="372"/>
      <c r="AC57" s="372"/>
      <c r="AD57" s="372"/>
      <c r="AE57" s="371"/>
      <c r="AF57" s="375"/>
      <c r="AG57" s="372"/>
      <c r="AH57" s="372"/>
      <c r="AI57" s="372"/>
      <c r="AJ57" s="373"/>
      <c r="AK57" s="374"/>
      <c r="AL57" s="372"/>
      <c r="AM57" s="372"/>
      <c r="AN57" s="372"/>
      <c r="AO57" s="371"/>
      <c r="AP57" s="375"/>
      <c r="AQ57" s="372"/>
      <c r="AR57" s="372"/>
      <c r="AS57" s="372"/>
      <c r="AT57" s="373"/>
      <c r="AU57" s="374"/>
      <c r="AV57" s="372"/>
      <c r="AW57" s="372"/>
      <c r="AX57" s="372"/>
      <c r="AY57" s="371"/>
      <c r="AZ57" s="375"/>
      <c r="BA57" s="372"/>
      <c r="BB57" s="372"/>
      <c r="BC57" s="372"/>
      <c r="BD57" s="373"/>
      <c r="BE57" s="374"/>
      <c r="BF57" s="372"/>
      <c r="BG57" s="372"/>
      <c r="BH57" s="372"/>
      <c r="BI57" s="371"/>
      <c r="BJ57" s="375"/>
      <c r="BK57" s="372"/>
      <c r="BL57" s="372"/>
      <c r="BM57" s="372"/>
      <c r="BN57" s="373"/>
      <c r="BO57" s="374"/>
      <c r="BP57" s="372"/>
      <c r="BQ57" s="372"/>
      <c r="BR57" s="372"/>
      <c r="BS57" s="371"/>
      <c r="BT57" s="375"/>
      <c r="BU57" s="372"/>
      <c r="BV57" s="372"/>
      <c r="BW57" s="372"/>
      <c r="BX57" s="373"/>
      <c r="BY57" s="374"/>
      <c r="BZ57" s="372"/>
      <c r="CA57" s="372"/>
      <c r="CB57" s="372"/>
      <c r="CC57" s="371"/>
      <c r="CD57" s="375"/>
      <c r="CE57" s="372"/>
      <c r="CF57" s="372"/>
      <c r="CG57" s="372"/>
      <c r="CH57" s="371"/>
      <c r="CI57" s="375"/>
      <c r="CJ57" s="372"/>
      <c r="CK57" s="372"/>
      <c r="CL57" s="372"/>
      <c r="CM57" s="373"/>
    </row>
    <row r="58" spans="1:91" ht="25.5" customHeight="1">
      <c r="A58" s="386">
        <v>4501</v>
      </c>
      <c r="B58" s="387" t="s">
        <v>11</v>
      </c>
      <c r="C58" s="387" t="s">
        <v>44</v>
      </c>
      <c r="D58" s="387" t="s">
        <v>76</v>
      </c>
      <c r="E58" s="372" t="s">
        <v>53</v>
      </c>
      <c r="F58" s="387"/>
      <c r="G58" s="372" t="s">
        <v>1570</v>
      </c>
      <c r="H58" s="371" t="s">
        <v>54</v>
      </c>
      <c r="I58" s="375"/>
      <c r="J58" s="372"/>
      <c r="K58" s="373"/>
      <c r="L58" s="388" t="s">
        <v>78</v>
      </c>
      <c r="M58" s="387" t="s">
        <v>77</v>
      </c>
      <c r="N58" s="387"/>
      <c r="O58" s="387" t="s">
        <v>77</v>
      </c>
      <c r="P58" s="389" t="s">
        <v>77</v>
      </c>
      <c r="Q58" s="388"/>
      <c r="R58" s="387"/>
      <c r="S58" s="387"/>
      <c r="T58" s="387"/>
      <c r="U58" s="390" t="s">
        <v>80</v>
      </c>
      <c r="V58" s="386"/>
      <c r="W58" s="372"/>
      <c r="X58" s="372"/>
      <c r="Y58" s="372"/>
      <c r="Z58" s="373"/>
      <c r="AA58" s="374"/>
      <c r="AB58" s="372"/>
      <c r="AC58" s="372"/>
      <c r="AD58" s="372"/>
      <c r="AE58" s="371"/>
      <c r="AF58" s="375"/>
      <c r="AG58" s="372"/>
      <c r="AH58" s="372"/>
      <c r="AI58" s="372"/>
      <c r="AJ58" s="373"/>
      <c r="AK58" s="374"/>
      <c r="AL58" s="372"/>
      <c r="AM58" s="372"/>
      <c r="AN58" s="372"/>
      <c r="AO58" s="371"/>
      <c r="AP58" s="375"/>
      <c r="AQ58" s="372"/>
      <c r="AR58" s="372"/>
      <c r="AS58" s="372"/>
      <c r="AT58" s="373"/>
      <c r="AU58" s="374"/>
      <c r="AV58" s="372"/>
      <c r="AW58" s="372"/>
      <c r="AX58" s="372"/>
      <c r="AY58" s="371"/>
      <c r="AZ58" s="375"/>
      <c r="BA58" s="372"/>
      <c r="BB58" s="372"/>
      <c r="BC58" s="372"/>
      <c r="BD58" s="373"/>
      <c r="BE58" s="374"/>
      <c r="BF58" s="372"/>
      <c r="BG58" s="372"/>
      <c r="BH58" s="372"/>
      <c r="BI58" s="371"/>
      <c r="BJ58" s="375"/>
      <c r="BK58" s="372"/>
      <c r="BL58" s="372"/>
      <c r="BM58" s="372"/>
      <c r="BN58" s="373"/>
      <c r="BO58" s="374"/>
      <c r="BP58" s="372"/>
      <c r="BQ58" s="372"/>
      <c r="BR58" s="372"/>
      <c r="BS58" s="371"/>
      <c r="BT58" s="375"/>
      <c r="BU58" s="372"/>
      <c r="BV58" s="372"/>
      <c r="BW58" s="372"/>
      <c r="BX58" s="373"/>
      <c r="BY58" s="374"/>
      <c r="BZ58" s="372"/>
      <c r="CA58" s="372"/>
      <c r="CB58" s="372"/>
      <c r="CC58" s="371"/>
      <c r="CD58" s="375"/>
      <c r="CE58" s="372"/>
      <c r="CF58" s="372"/>
      <c r="CG58" s="372"/>
      <c r="CH58" s="371"/>
      <c r="CI58" s="375"/>
      <c r="CJ58" s="372"/>
      <c r="CK58" s="372"/>
      <c r="CL58" s="372"/>
      <c r="CM58" s="373"/>
    </row>
    <row r="59" spans="1:91" ht="25.5" customHeight="1" thickBot="1">
      <c r="A59" s="411">
        <v>4502</v>
      </c>
      <c r="B59" s="412" t="s">
        <v>11</v>
      </c>
      <c r="C59" s="412" t="s">
        <v>44</v>
      </c>
      <c r="D59" s="412" t="s">
        <v>76</v>
      </c>
      <c r="E59" s="377" t="s">
        <v>53</v>
      </c>
      <c r="F59" s="412"/>
      <c r="G59" s="377" t="s">
        <v>1572</v>
      </c>
      <c r="H59" s="376" t="s">
        <v>54</v>
      </c>
      <c r="I59" s="380"/>
      <c r="J59" s="377"/>
      <c r="K59" s="378"/>
      <c r="L59" s="413" t="s">
        <v>78</v>
      </c>
      <c r="M59" s="412" t="s">
        <v>77</v>
      </c>
      <c r="N59" s="412"/>
      <c r="O59" s="412" t="s">
        <v>77</v>
      </c>
      <c r="P59" s="414" t="s">
        <v>77</v>
      </c>
      <c r="Q59" s="413"/>
      <c r="R59" s="412"/>
      <c r="S59" s="412"/>
      <c r="T59" s="412"/>
      <c r="U59" s="415" t="s">
        <v>80</v>
      </c>
      <c r="V59" s="411"/>
      <c r="W59" s="377"/>
      <c r="X59" s="377"/>
      <c r="Y59" s="377"/>
      <c r="Z59" s="378"/>
      <c r="AA59" s="379"/>
      <c r="AB59" s="377"/>
      <c r="AC59" s="377"/>
      <c r="AD59" s="377"/>
      <c r="AE59" s="376"/>
      <c r="AF59" s="380"/>
      <c r="AG59" s="377"/>
      <c r="AH59" s="377"/>
      <c r="AI59" s="377"/>
      <c r="AJ59" s="378"/>
      <c r="AK59" s="379"/>
      <c r="AL59" s="377"/>
      <c r="AM59" s="377"/>
      <c r="AN59" s="377"/>
      <c r="AO59" s="376"/>
      <c r="AP59" s="380"/>
      <c r="AQ59" s="377"/>
      <c r="AR59" s="377"/>
      <c r="AS59" s="377"/>
      <c r="AT59" s="378"/>
      <c r="AU59" s="379"/>
      <c r="AV59" s="377"/>
      <c r="AW59" s="377"/>
      <c r="AX59" s="377"/>
      <c r="AY59" s="376"/>
      <c r="AZ59" s="380"/>
      <c r="BA59" s="377"/>
      <c r="BB59" s="377"/>
      <c r="BC59" s="377"/>
      <c r="BD59" s="378"/>
      <c r="BE59" s="379"/>
      <c r="BF59" s="377"/>
      <c r="BG59" s="377"/>
      <c r="BH59" s="377"/>
      <c r="BI59" s="376"/>
      <c r="BJ59" s="380"/>
      <c r="BK59" s="377"/>
      <c r="BL59" s="377"/>
      <c r="BM59" s="377"/>
      <c r="BN59" s="378"/>
      <c r="BO59" s="379"/>
      <c r="BP59" s="377"/>
      <c r="BQ59" s="377"/>
      <c r="BR59" s="377"/>
      <c r="BS59" s="376"/>
      <c r="BT59" s="380"/>
      <c r="BU59" s="377"/>
      <c r="BV59" s="377"/>
      <c r="BW59" s="377"/>
      <c r="BX59" s="378"/>
      <c r="BY59" s="379"/>
      <c r="BZ59" s="377"/>
      <c r="CA59" s="377"/>
      <c r="CB59" s="377"/>
      <c r="CC59" s="376"/>
      <c r="CD59" s="380"/>
      <c r="CE59" s="377"/>
      <c r="CF59" s="377"/>
      <c r="CG59" s="377"/>
      <c r="CH59" s="376"/>
      <c r="CI59" s="380"/>
      <c r="CJ59" s="377"/>
      <c r="CK59" s="377"/>
      <c r="CL59" s="377"/>
      <c r="CM59" s="378"/>
    </row>
    <row r="60" spans="1:91" ht="15" customHeight="1" thickBot="1">
      <c r="A60" s="48"/>
      <c r="B60" s="179"/>
      <c r="C60" s="180"/>
      <c r="D60" s="181"/>
      <c r="E60" s="17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50"/>
      <c r="CH60" s="50"/>
      <c r="CI60" s="50"/>
      <c r="CJ60" s="50"/>
      <c r="CK60" s="50"/>
      <c r="CL60" s="50"/>
      <c r="CM60" s="51"/>
    </row>
    <row r="61" spans="1:91" ht="25.5" customHeight="1" thickBot="1">
      <c r="A61" s="275" t="s">
        <v>31</v>
      </c>
      <c r="B61" s="276"/>
      <c r="C61" s="277"/>
      <c r="D61" s="192"/>
      <c r="E61" s="278" t="s">
        <v>32</v>
      </c>
      <c r="F61" s="276"/>
      <c r="G61" s="277"/>
      <c r="H61" s="193" t="s">
        <v>8</v>
      </c>
      <c r="I61" s="192" t="s">
        <v>9</v>
      </c>
      <c r="J61" s="192" t="s">
        <v>33</v>
      </c>
      <c r="K61" s="192" t="s">
        <v>10</v>
      </c>
      <c r="L61" s="291"/>
      <c r="M61" s="292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  <c r="AA61" s="292"/>
      <c r="AB61" s="292"/>
      <c r="AC61" s="292"/>
      <c r="AD61" s="292"/>
      <c r="AE61" s="292"/>
      <c r="AF61" s="292"/>
      <c r="AG61" s="292"/>
      <c r="AH61" s="292"/>
      <c r="AI61" s="292"/>
      <c r="AJ61" s="292"/>
      <c r="AK61" s="292"/>
      <c r="AL61" s="292"/>
      <c r="AM61" s="292"/>
      <c r="AN61" s="292"/>
      <c r="AO61" s="292"/>
      <c r="AP61" s="292"/>
      <c r="AQ61" s="292"/>
      <c r="AR61" s="292"/>
      <c r="AS61" s="292"/>
      <c r="AT61" s="292"/>
      <c r="AU61" s="292"/>
      <c r="AV61" s="292"/>
      <c r="AW61" s="292"/>
      <c r="AX61" s="292"/>
      <c r="AY61" s="292"/>
      <c r="AZ61" s="292"/>
      <c r="BA61" s="292"/>
      <c r="BB61" s="292"/>
      <c r="BC61" s="292"/>
      <c r="BD61" s="292"/>
      <c r="BE61" s="293"/>
      <c r="BF61" s="300"/>
      <c r="BG61" s="300"/>
      <c r="BH61" s="300"/>
      <c r="BI61" s="300"/>
      <c r="BJ61" s="300"/>
      <c r="BK61" s="300"/>
      <c r="BL61" s="300"/>
      <c r="BM61" s="300"/>
      <c r="BN61" s="300"/>
      <c r="BO61" s="300"/>
      <c r="BP61" s="300"/>
      <c r="BQ61" s="300"/>
      <c r="BR61" s="300"/>
      <c r="BS61" s="300"/>
      <c r="BT61" s="300"/>
      <c r="BU61" s="301"/>
      <c r="BV61" s="291"/>
      <c r="BW61" s="247"/>
      <c r="BX61" s="247"/>
      <c r="BY61" s="247"/>
      <c r="BZ61" s="247"/>
      <c r="CA61" s="247"/>
      <c r="CB61" s="247"/>
      <c r="CC61" s="247"/>
      <c r="CD61" s="247"/>
      <c r="CE61" s="247"/>
      <c r="CF61" s="247"/>
      <c r="CG61" s="247"/>
      <c r="CH61" s="247"/>
      <c r="CI61" s="247"/>
      <c r="CJ61" s="247"/>
      <c r="CK61" s="247"/>
      <c r="CL61" s="247"/>
      <c r="CM61" s="248"/>
    </row>
    <row r="62" spans="1:91" ht="25.5" customHeight="1">
      <c r="A62" s="288"/>
      <c r="B62" s="289"/>
      <c r="C62" s="289"/>
      <c r="D62" s="52"/>
      <c r="E62" s="290"/>
      <c r="F62" s="290"/>
      <c r="G62" s="290"/>
      <c r="H62" s="53"/>
      <c r="I62" s="53"/>
      <c r="J62" s="53"/>
      <c r="K62" s="54"/>
      <c r="L62" s="294"/>
      <c r="M62" s="295"/>
      <c r="N62" s="295"/>
      <c r="O62" s="295"/>
      <c r="P62" s="295"/>
      <c r="Q62" s="295"/>
      <c r="R62" s="295"/>
      <c r="S62" s="295"/>
      <c r="T62" s="295"/>
      <c r="U62" s="295"/>
      <c r="V62" s="295"/>
      <c r="W62" s="295"/>
      <c r="X62" s="295"/>
      <c r="Y62" s="295"/>
      <c r="Z62" s="295"/>
      <c r="AA62" s="295"/>
      <c r="AB62" s="295"/>
      <c r="AC62" s="295"/>
      <c r="AD62" s="295"/>
      <c r="AE62" s="295"/>
      <c r="AF62" s="295"/>
      <c r="AG62" s="295"/>
      <c r="AH62" s="295"/>
      <c r="AI62" s="295"/>
      <c r="AJ62" s="295"/>
      <c r="AK62" s="295"/>
      <c r="AL62" s="295"/>
      <c r="AM62" s="295"/>
      <c r="AN62" s="295"/>
      <c r="AO62" s="295"/>
      <c r="AP62" s="295"/>
      <c r="AQ62" s="295"/>
      <c r="AR62" s="295"/>
      <c r="AS62" s="295"/>
      <c r="AT62" s="295"/>
      <c r="AU62" s="295"/>
      <c r="AV62" s="295"/>
      <c r="AW62" s="295"/>
      <c r="AX62" s="295"/>
      <c r="AY62" s="295"/>
      <c r="AZ62" s="295"/>
      <c r="BA62" s="295"/>
      <c r="BB62" s="295"/>
      <c r="BC62" s="295"/>
      <c r="BD62" s="295"/>
      <c r="BE62" s="296"/>
      <c r="BF62" s="302"/>
      <c r="BG62" s="302"/>
      <c r="BH62" s="302"/>
      <c r="BI62" s="302"/>
      <c r="BJ62" s="302"/>
      <c r="BK62" s="302"/>
      <c r="BL62" s="302"/>
      <c r="BM62" s="302"/>
      <c r="BN62" s="302"/>
      <c r="BO62" s="302"/>
      <c r="BP62" s="302"/>
      <c r="BQ62" s="302"/>
      <c r="BR62" s="302"/>
      <c r="BS62" s="302"/>
      <c r="BT62" s="302"/>
      <c r="BU62" s="303"/>
      <c r="BV62" s="306"/>
      <c r="BW62" s="249"/>
      <c r="BX62" s="249"/>
      <c r="BY62" s="249"/>
      <c r="BZ62" s="249"/>
      <c r="CA62" s="249"/>
      <c r="CB62" s="249"/>
      <c r="CC62" s="249"/>
      <c r="CD62" s="249"/>
      <c r="CE62" s="249"/>
      <c r="CF62" s="249"/>
      <c r="CG62" s="249"/>
      <c r="CH62" s="249"/>
      <c r="CI62" s="249"/>
      <c r="CJ62" s="249"/>
      <c r="CK62" s="249"/>
      <c r="CL62" s="249"/>
      <c r="CM62" s="250"/>
    </row>
    <row r="63" spans="1:91" ht="25.5" customHeight="1" thickBot="1">
      <c r="A63" s="288"/>
      <c r="B63" s="289"/>
      <c r="C63" s="289"/>
      <c r="D63" s="52"/>
      <c r="E63" s="290"/>
      <c r="F63" s="290"/>
      <c r="G63" s="290"/>
      <c r="H63" s="53"/>
      <c r="I63" s="53"/>
      <c r="J63" s="53"/>
      <c r="K63" s="54"/>
      <c r="L63" s="294"/>
      <c r="M63" s="295"/>
      <c r="N63" s="295"/>
      <c r="O63" s="295"/>
      <c r="P63" s="295"/>
      <c r="Q63" s="295"/>
      <c r="R63" s="295"/>
      <c r="S63" s="295"/>
      <c r="T63" s="295"/>
      <c r="U63" s="295"/>
      <c r="V63" s="295"/>
      <c r="W63" s="295"/>
      <c r="X63" s="295"/>
      <c r="Y63" s="295"/>
      <c r="Z63" s="295"/>
      <c r="AA63" s="295"/>
      <c r="AB63" s="295"/>
      <c r="AC63" s="295"/>
      <c r="AD63" s="295"/>
      <c r="AE63" s="295"/>
      <c r="AF63" s="295"/>
      <c r="AG63" s="295"/>
      <c r="AH63" s="295"/>
      <c r="AI63" s="295"/>
      <c r="AJ63" s="295"/>
      <c r="AK63" s="295"/>
      <c r="AL63" s="295"/>
      <c r="AM63" s="295"/>
      <c r="AN63" s="295"/>
      <c r="AO63" s="295"/>
      <c r="AP63" s="295"/>
      <c r="AQ63" s="295"/>
      <c r="AR63" s="295"/>
      <c r="AS63" s="295"/>
      <c r="AT63" s="295"/>
      <c r="AU63" s="295"/>
      <c r="AV63" s="295"/>
      <c r="AW63" s="295"/>
      <c r="AX63" s="295"/>
      <c r="AY63" s="295"/>
      <c r="AZ63" s="295"/>
      <c r="BA63" s="295"/>
      <c r="BB63" s="295"/>
      <c r="BC63" s="295"/>
      <c r="BD63" s="295"/>
      <c r="BE63" s="296"/>
      <c r="BF63" s="304"/>
      <c r="BG63" s="304"/>
      <c r="BH63" s="304"/>
      <c r="BI63" s="304"/>
      <c r="BJ63" s="304"/>
      <c r="BK63" s="304"/>
      <c r="BL63" s="304"/>
      <c r="BM63" s="304"/>
      <c r="BN63" s="304"/>
      <c r="BO63" s="304"/>
      <c r="BP63" s="304"/>
      <c r="BQ63" s="304"/>
      <c r="BR63" s="304"/>
      <c r="BS63" s="304"/>
      <c r="BT63" s="304"/>
      <c r="BU63" s="305"/>
      <c r="BV63" s="263"/>
      <c r="BW63" s="251"/>
      <c r="BX63" s="251"/>
      <c r="BY63" s="251"/>
      <c r="BZ63" s="251"/>
      <c r="CA63" s="251"/>
      <c r="CB63" s="251"/>
      <c r="CC63" s="251"/>
      <c r="CD63" s="251"/>
      <c r="CE63" s="251"/>
      <c r="CF63" s="251"/>
      <c r="CG63" s="251"/>
      <c r="CH63" s="251"/>
      <c r="CI63" s="251"/>
      <c r="CJ63" s="251"/>
      <c r="CK63" s="251"/>
      <c r="CL63" s="251"/>
      <c r="CM63" s="252"/>
    </row>
    <row r="64" spans="1:91" ht="27" customHeight="1">
      <c r="A64" s="288"/>
      <c r="B64" s="289"/>
      <c r="C64" s="289"/>
      <c r="D64" s="52"/>
      <c r="E64" s="290"/>
      <c r="F64" s="290"/>
      <c r="G64" s="290"/>
      <c r="H64" s="53"/>
      <c r="I64" s="53"/>
      <c r="J64" s="53"/>
      <c r="K64" s="54"/>
      <c r="L64" s="294"/>
      <c r="M64" s="295"/>
      <c r="N64" s="295"/>
      <c r="O64" s="295"/>
      <c r="P64" s="295"/>
      <c r="Q64" s="295"/>
      <c r="R64" s="295"/>
      <c r="S64" s="295"/>
      <c r="T64" s="295"/>
      <c r="U64" s="295"/>
      <c r="V64" s="295"/>
      <c r="W64" s="295"/>
      <c r="X64" s="295"/>
      <c r="Y64" s="295"/>
      <c r="Z64" s="295"/>
      <c r="AA64" s="295"/>
      <c r="AB64" s="295"/>
      <c r="AC64" s="295"/>
      <c r="AD64" s="295"/>
      <c r="AE64" s="295"/>
      <c r="AF64" s="295"/>
      <c r="AG64" s="295"/>
      <c r="AH64" s="295"/>
      <c r="AI64" s="295"/>
      <c r="AJ64" s="295"/>
      <c r="AK64" s="295"/>
      <c r="AL64" s="295"/>
      <c r="AM64" s="295"/>
      <c r="AN64" s="295"/>
      <c r="AO64" s="295"/>
      <c r="AP64" s="295"/>
      <c r="AQ64" s="295"/>
      <c r="AR64" s="295"/>
      <c r="AS64" s="295"/>
      <c r="AT64" s="295"/>
      <c r="AU64" s="295"/>
      <c r="AV64" s="295"/>
      <c r="AW64" s="295"/>
      <c r="AX64" s="295"/>
      <c r="AY64" s="295"/>
      <c r="AZ64" s="295"/>
      <c r="BA64" s="295"/>
      <c r="BB64" s="295"/>
      <c r="BC64" s="295"/>
      <c r="BD64" s="295"/>
      <c r="BE64" s="296"/>
      <c r="BF64" s="247" t="s">
        <v>89</v>
      </c>
      <c r="BG64" s="247"/>
      <c r="BH64" s="247"/>
      <c r="BI64" s="247"/>
      <c r="BJ64" s="247"/>
      <c r="BK64" s="247"/>
      <c r="BL64" s="247"/>
      <c r="BM64" s="247"/>
      <c r="BN64" s="247"/>
      <c r="BO64" s="247"/>
      <c r="BP64" s="247"/>
      <c r="BQ64" s="247"/>
      <c r="BR64" s="247"/>
      <c r="BS64" s="247"/>
      <c r="BT64" s="247"/>
      <c r="BU64" s="248"/>
      <c r="BV64" s="279" t="s">
        <v>90</v>
      </c>
      <c r="BW64" s="280"/>
      <c r="BX64" s="280"/>
      <c r="BY64" s="280"/>
      <c r="BZ64" s="280"/>
      <c r="CA64" s="280"/>
      <c r="CB64" s="280"/>
      <c r="CC64" s="280"/>
      <c r="CD64" s="280"/>
      <c r="CE64" s="280"/>
      <c r="CF64" s="280"/>
      <c r="CG64" s="280"/>
      <c r="CH64" s="280"/>
      <c r="CI64" s="280"/>
      <c r="CJ64" s="280"/>
      <c r="CK64" s="280"/>
      <c r="CL64" s="280"/>
      <c r="CM64" s="281"/>
    </row>
    <row r="65" spans="1:91" ht="25.5" customHeight="1">
      <c r="A65" s="288"/>
      <c r="B65" s="289"/>
      <c r="C65" s="289"/>
      <c r="D65" s="52"/>
      <c r="E65" s="290"/>
      <c r="F65" s="290"/>
      <c r="G65" s="290"/>
      <c r="H65" s="53"/>
      <c r="I65" s="53"/>
      <c r="J65" s="53"/>
      <c r="K65" s="54"/>
      <c r="L65" s="294"/>
      <c r="M65" s="295"/>
      <c r="N65" s="295"/>
      <c r="O65" s="295"/>
      <c r="P65" s="295"/>
      <c r="Q65" s="295"/>
      <c r="R65" s="295"/>
      <c r="S65" s="295"/>
      <c r="T65" s="295"/>
      <c r="U65" s="295"/>
      <c r="V65" s="295"/>
      <c r="W65" s="295"/>
      <c r="X65" s="295"/>
      <c r="Y65" s="295"/>
      <c r="Z65" s="295"/>
      <c r="AA65" s="295"/>
      <c r="AB65" s="295"/>
      <c r="AC65" s="295"/>
      <c r="AD65" s="295"/>
      <c r="AE65" s="295"/>
      <c r="AF65" s="295"/>
      <c r="AG65" s="295"/>
      <c r="AH65" s="295"/>
      <c r="AI65" s="295"/>
      <c r="AJ65" s="295"/>
      <c r="AK65" s="295"/>
      <c r="AL65" s="295"/>
      <c r="AM65" s="295"/>
      <c r="AN65" s="295"/>
      <c r="AO65" s="295"/>
      <c r="AP65" s="295"/>
      <c r="AQ65" s="295"/>
      <c r="AR65" s="295"/>
      <c r="AS65" s="295"/>
      <c r="AT65" s="295"/>
      <c r="AU65" s="295"/>
      <c r="AV65" s="295"/>
      <c r="AW65" s="295"/>
      <c r="AX65" s="295"/>
      <c r="AY65" s="295"/>
      <c r="AZ65" s="295"/>
      <c r="BA65" s="295"/>
      <c r="BB65" s="295"/>
      <c r="BC65" s="295"/>
      <c r="BD65" s="295"/>
      <c r="BE65" s="296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50"/>
      <c r="BV65" s="282"/>
      <c r="BW65" s="283"/>
      <c r="BX65" s="283"/>
      <c r="BY65" s="283"/>
      <c r="BZ65" s="283"/>
      <c r="CA65" s="283"/>
      <c r="CB65" s="283"/>
      <c r="CC65" s="283"/>
      <c r="CD65" s="283"/>
      <c r="CE65" s="283"/>
      <c r="CF65" s="283"/>
      <c r="CG65" s="283"/>
      <c r="CH65" s="283"/>
      <c r="CI65" s="283"/>
      <c r="CJ65" s="283"/>
      <c r="CK65" s="283"/>
      <c r="CL65" s="283"/>
      <c r="CM65" s="284"/>
    </row>
    <row r="66" spans="1:91" ht="25.5" customHeight="1" thickBot="1">
      <c r="A66" s="288"/>
      <c r="B66" s="289"/>
      <c r="C66" s="289"/>
      <c r="D66" s="52"/>
      <c r="E66" s="290"/>
      <c r="F66" s="290"/>
      <c r="G66" s="290"/>
      <c r="H66" s="53"/>
      <c r="I66" s="53"/>
      <c r="J66" s="53"/>
      <c r="K66" s="54"/>
      <c r="L66" s="294"/>
      <c r="M66" s="295"/>
      <c r="N66" s="295"/>
      <c r="O66" s="295"/>
      <c r="P66" s="295"/>
      <c r="Q66" s="295"/>
      <c r="R66" s="295"/>
      <c r="S66" s="295"/>
      <c r="T66" s="295"/>
      <c r="U66" s="295"/>
      <c r="V66" s="295"/>
      <c r="W66" s="295"/>
      <c r="X66" s="295"/>
      <c r="Y66" s="295"/>
      <c r="Z66" s="295"/>
      <c r="AA66" s="295"/>
      <c r="AB66" s="295"/>
      <c r="AC66" s="295"/>
      <c r="AD66" s="295"/>
      <c r="AE66" s="295"/>
      <c r="AF66" s="295"/>
      <c r="AG66" s="295"/>
      <c r="AH66" s="295"/>
      <c r="AI66" s="295"/>
      <c r="AJ66" s="295"/>
      <c r="AK66" s="295"/>
      <c r="AL66" s="295"/>
      <c r="AM66" s="295"/>
      <c r="AN66" s="295"/>
      <c r="AO66" s="295"/>
      <c r="AP66" s="295"/>
      <c r="AQ66" s="295"/>
      <c r="AR66" s="295"/>
      <c r="AS66" s="295"/>
      <c r="AT66" s="295"/>
      <c r="AU66" s="295"/>
      <c r="AV66" s="295"/>
      <c r="AW66" s="295"/>
      <c r="AX66" s="295"/>
      <c r="AY66" s="295"/>
      <c r="AZ66" s="295"/>
      <c r="BA66" s="295"/>
      <c r="BB66" s="295"/>
      <c r="BC66" s="295"/>
      <c r="BD66" s="295"/>
      <c r="BE66" s="296"/>
      <c r="BF66" s="251"/>
      <c r="BG66" s="251"/>
      <c r="BH66" s="251"/>
      <c r="BI66" s="251"/>
      <c r="BJ66" s="251"/>
      <c r="BK66" s="251"/>
      <c r="BL66" s="251"/>
      <c r="BM66" s="251"/>
      <c r="BN66" s="251"/>
      <c r="BO66" s="251"/>
      <c r="BP66" s="251"/>
      <c r="BQ66" s="251"/>
      <c r="BR66" s="251"/>
      <c r="BS66" s="251"/>
      <c r="BT66" s="251"/>
      <c r="BU66" s="252"/>
      <c r="BV66" s="285"/>
      <c r="BW66" s="286"/>
      <c r="BX66" s="286"/>
      <c r="BY66" s="286"/>
      <c r="BZ66" s="286"/>
      <c r="CA66" s="286"/>
      <c r="CB66" s="286"/>
      <c r="CC66" s="286"/>
      <c r="CD66" s="286"/>
      <c r="CE66" s="286"/>
      <c r="CF66" s="286"/>
      <c r="CG66" s="286"/>
      <c r="CH66" s="286"/>
      <c r="CI66" s="286"/>
      <c r="CJ66" s="286"/>
      <c r="CK66" s="286"/>
      <c r="CL66" s="286"/>
      <c r="CM66" s="287"/>
    </row>
    <row r="67" spans="1:91" ht="25.5" customHeight="1">
      <c r="A67" s="255" t="e">
        <f>IF(#REF!&lt;&gt;"",#REF!,"")</f>
        <v>#REF!</v>
      </c>
      <c r="B67" s="256"/>
      <c r="C67" s="256"/>
      <c r="D67" s="185"/>
      <c r="E67" s="257" t="e">
        <f>IF(#REF!&lt;&gt;"",#REF!,"")</f>
        <v>#REF!</v>
      </c>
      <c r="F67" s="257"/>
      <c r="G67" s="257"/>
      <c r="H67" s="186" t="e">
        <f>IF(#REF!&lt;&gt;"",#REF!,"")</f>
        <v>#REF!</v>
      </c>
      <c r="I67" s="186" t="e">
        <f>IF(#REF!&lt;&gt;"",#REF!,"")</f>
        <v>#REF!</v>
      </c>
      <c r="J67" s="186" t="e">
        <f>IF(#REF!&lt;&gt;"",#REF!,"")</f>
        <v>#REF!</v>
      </c>
      <c r="K67" s="187" t="e">
        <f>IF(#REF!&lt;&gt;"",#REF!,"")</f>
        <v>#REF!</v>
      </c>
      <c r="L67" s="294"/>
      <c r="M67" s="295"/>
      <c r="N67" s="295"/>
      <c r="O67" s="295"/>
      <c r="P67" s="295"/>
      <c r="Q67" s="295"/>
      <c r="R67" s="295"/>
      <c r="S67" s="295"/>
      <c r="T67" s="295"/>
      <c r="U67" s="295"/>
      <c r="V67" s="295"/>
      <c r="W67" s="295"/>
      <c r="X67" s="295"/>
      <c r="Y67" s="295"/>
      <c r="Z67" s="295"/>
      <c r="AA67" s="295"/>
      <c r="AB67" s="295"/>
      <c r="AC67" s="295"/>
      <c r="AD67" s="295"/>
      <c r="AE67" s="295"/>
      <c r="AF67" s="295"/>
      <c r="AG67" s="295"/>
      <c r="AH67" s="295"/>
      <c r="AI67" s="295"/>
      <c r="AJ67" s="295"/>
      <c r="AK67" s="295"/>
      <c r="AL67" s="295"/>
      <c r="AM67" s="295"/>
      <c r="AN67" s="295"/>
      <c r="AO67" s="295"/>
      <c r="AP67" s="295"/>
      <c r="AQ67" s="295"/>
      <c r="AR67" s="295"/>
      <c r="AS67" s="295"/>
      <c r="AT67" s="295"/>
      <c r="AU67" s="295"/>
      <c r="AV67" s="295"/>
      <c r="AW67" s="295"/>
      <c r="AX67" s="295"/>
      <c r="AY67" s="295"/>
      <c r="AZ67" s="295"/>
      <c r="BA67" s="295"/>
      <c r="BB67" s="295"/>
      <c r="BC67" s="295"/>
      <c r="BD67" s="295"/>
      <c r="BE67" s="296"/>
      <c r="BF67" s="272" t="s">
        <v>34</v>
      </c>
      <c r="BG67" s="272"/>
      <c r="BH67" s="272"/>
      <c r="BI67" s="272"/>
      <c r="BJ67" s="272"/>
      <c r="BK67" s="272"/>
      <c r="BL67" s="272"/>
      <c r="BM67" s="272"/>
      <c r="BN67" s="272"/>
      <c r="BO67" s="272"/>
      <c r="BP67" s="272"/>
      <c r="BQ67" s="272"/>
      <c r="BR67" s="272"/>
      <c r="BS67" s="272"/>
      <c r="BT67" s="272"/>
      <c r="BU67" s="254"/>
      <c r="BV67" s="273" t="s">
        <v>35</v>
      </c>
      <c r="BW67" s="272"/>
      <c r="BX67" s="274"/>
      <c r="BY67" s="253" t="s">
        <v>36</v>
      </c>
      <c r="BZ67" s="272"/>
      <c r="CA67" s="272"/>
      <c r="CB67" s="272"/>
      <c r="CC67" s="272"/>
      <c r="CD67" s="272"/>
      <c r="CE67" s="272"/>
      <c r="CF67" s="272"/>
      <c r="CG67" s="272"/>
      <c r="CH67" s="272"/>
      <c r="CI67" s="272"/>
      <c r="CJ67" s="272"/>
      <c r="CK67" s="274"/>
      <c r="CL67" s="253" t="s">
        <v>37</v>
      </c>
      <c r="CM67" s="254"/>
    </row>
    <row r="68" spans="1:91" ht="25.5" customHeight="1">
      <c r="A68" s="255" t="e">
        <f>IF(#REF!&lt;&gt;"",#REF!,"")</f>
        <v>#REF!</v>
      </c>
      <c r="B68" s="256"/>
      <c r="C68" s="256"/>
      <c r="D68" s="185"/>
      <c r="E68" s="257" t="e">
        <f>IF(#REF!&lt;&gt;"",#REF!,"")</f>
        <v>#REF!</v>
      </c>
      <c r="F68" s="257"/>
      <c r="G68" s="257"/>
      <c r="H68" s="186" t="e">
        <f>IF(#REF!&lt;&gt;"",#REF!,"")</f>
        <v>#REF!</v>
      </c>
      <c r="I68" s="186" t="e">
        <f>IF(#REF!&lt;&gt;"",#REF!,"")</f>
        <v>#REF!</v>
      </c>
      <c r="J68" s="186" t="e">
        <f>IF(#REF!&lt;&gt;"",#REF!,"")</f>
        <v>#REF!</v>
      </c>
      <c r="K68" s="187" t="e">
        <f>IF(#REF!&lt;&gt;"",#REF!,"")</f>
        <v>#REF!</v>
      </c>
      <c r="L68" s="294"/>
      <c r="M68" s="295"/>
      <c r="N68" s="295"/>
      <c r="O68" s="295"/>
      <c r="P68" s="295"/>
      <c r="Q68" s="295"/>
      <c r="R68" s="295"/>
      <c r="S68" s="295"/>
      <c r="T68" s="295"/>
      <c r="U68" s="295"/>
      <c r="V68" s="295"/>
      <c r="W68" s="295"/>
      <c r="X68" s="295"/>
      <c r="Y68" s="295"/>
      <c r="Z68" s="295"/>
      <c r="AA68" s="295"/>
      <c r="AB68" s="295"/>
      <c r="AC68" s="295"/>
      <c r="AD68" s="295"/>
      <c r="AE68" s="295"/>
      <c r="AF68" s="295"/>
      <c r="AG68" s="295"/>
      <c r="AH68" s="295"/>
      <c r="AI68" s="295"/>
      <c r="AJ68" s="295"/>
      <c r="AK68" s="295"/>
      <c r="AL68" s="295"/>
      <c r="AM68" s="295"/>
      <c r="AN68" s="295"/>
      <c r="AO68" s="295"/>
      <c r="AP68" s="295"/>
      <c r="AQ68" s="295"/>
      <c r="AR68" s="295"/>
      <c r="AS68" s="295"/>
      <c r="AT68" s="295"/>
      <c r="AU68" s="295"/>
      <c r="AV68" s="295"/>
      <c r="AW68" s="295"/>
      <c r="AX68" s="295"/>
      <c r="AY68" s="295"/>
      <c r="AZ68" s="295"/>
      <c r="BA68" s="295"/>
      <c r="BB68" s="295"/>
      <c r="BC68" s="295"/>
      <c r="BD68" s="295"/>
      <c r="BE68" s="296"/>
      <c r="BF68" s="258" t="s">
        <v>5</v>
      </c>
      <c r="BG68" s="259"/>
      <c r="BH68" s="259"/>
      <c r="BI68" s="259"/>
      <c r="BJ68" s="259"/>
      <c r="BK68" s="259"/>
      <c r="BL68" s="259"/>
      <c r="BM68" s="259"/>
      <c r="BN68" s="259"/>
      <c r="BO68" s="259"/>
      <c r="BP68" s="259"/>
      <c r="BQ68" s="259"/>
      <c r="BR68" s="259"/>
      <c r="BS68" s="259"/>
      <c r="BT68" s="259"/>
      <c r="BU68" s="260"/>
      <c r="BV68" s="261" t="s">
        <v>12</v>
      </c>
      <c r="BW68" s="259"/>
      <c r="BX68" s="262"/>
      <c r="BY68" s="265" t="s">
        <v>1704</v>
      </c>
      <c r="BZ68" s="266"/>
      <c r="CA68" s="266"/>
      <c r="CB68" s="266"/>
      <c r="CC68" s="266"/>
      <c r="CD68" s="266"/>
      <c r="CE68" s="266"/>
      <c r="CF68" s="266"/>
      <c r="CG68" s="266"/>
      <c r="CH68" s="266"/>
      <c r="CI68" s="266"/>
      <c r="CJ68" s="266"/>
      <c r="CK68" s="267"/>
      <c r="CL68" s="227" t="s">
        <v>11</v>
      </c>
      <c r="CM68" s="260"/>
    </row>
    <row r="69" spans="1:91" ht="25.5" customHeight="1" thickBot="1">
      <c r="A69" s="255" t="e">
        <f>IF(#REF!&lt;&gt;"",#REF!,"")</f>
        <v>#REF!</v>
      </c>
      <c r="B69" s="256"/>
      <c r="C69" s="256"/>
      <c r="D69" s="185"/>
      <c r="E69" s="257" t="e">
        <f>IF(#REF!&lt;&gt;"",#REF!,"")</f>
        <v>#REF!</v>
      </c>
      <c r="F69" s="257"/>
      <c r="G69" s="257"/>
      <c r="H69" s="186" t="e">
        <f>IF(#REF!&lt;&gt;"",#REF!,"")</f>
        <v>#REF!</v>
      </c>
      <c r="I69" s="186" t="e">
        <f>IF(#REF!&lt;&gt;"",#REF!,"")</f>
        <v>#REF!</v>
      </c>
      <c r="J69" s="186" t="e">
        <f>IF(#REF!&lt;&gt;"",#REF!,"")</f>
        <v>#REF!</v>
      </c>
      <c r="K69" s="187" t="e">
        <f>IF(#REF!&lt;&gt;"",#REF!,"")</f>
        <v>#REF!</v>
      </c>
      <c r="L69" s="297"/>
      <c r="M69" s="298"/>
      <c r="N69" s="298"/>
      <c r="O69" s="298"/>
      <c r="P69" s="298"/>
      <c r="Q69" s="298"/>
      <c r="R69" s="298"/>
      <c r="S69" s="298"/>
      <c r="T69" s="298"/>
      <c r="U69" s="298"/>
      <c r="V69" s="298"/>
      <c r="W69" s="298"/>
      <c r="X69" s="298"/>
      <c r="Y69" s="298"/>
      <c r="Z69" s="298"/>
      <c r="AA69" s="298"/>
      <c r="AB69" s="298"/>
      <c r="AC69" s="298"/>
      <c r="AD69" s="298"/>
      <c r="AE69" s="298"/>
      <c r="AF69" s="298"/>
      <c r="AG69" s="298"/>
      <c r="AH69" s="298"/>
      <c r="AI69" s="298"/>
      <c r="AJ69" s="298"/>
      <c r="AK69" s="298"/>
      <c r="AL69" s="298"/>
      <c r="AM69" s="298"/>
      <c r="AN69" s="298"/>
      <c r="AO69" s="298"/>
      <c r="AP69" s="298"/>
      <c r="AQ69" s="298"/>
      <c r="AR69" s="298"/>
      <c r="AS69" s="298"/>
      <c r="AT69" s="298"/>
      <c r="AU69" s="298"/>
      <c r="AV69" s="298"/>
      <c r="AW69" s="298"/>
      <c r="AX69" s="298"/>
      <c r="AY69" s="298"/>
      <c r="AZ69" s="298"/>
      <c r="BA69" s="298"/>
      <c r="BB69" s="298"/>
      <c r="BC69" s="298"/>
      <c r="BD69" s="298"/>
      <c r="BE69" s="299"/>
      <c r="BF69" s="251"/>
      <c r="BG69" s="251"/>
      <c r="BH69" s="251"/>
      <c r="BI69" s="251"/>
      <c r="BJ69" s="251"/>
      <c r="BK69" s="251"/>
      <c r="BL69" s="251"/>
      <c r="BM69" s="251"/>
      <c r="BN69" s="251"/>
      <c r="BO69" s="251"/>
      <c r="BP69" s="251"/>
      <c r="BQ69" s="251"/>
      <c r="BR69" s="251"/>
      <c r="BS69" s="251"/>
      <c r="BT69" s="251"/>
      <c r="BU69" s="252"/>
      <c r="BV69" s="263"/>
      <c r="BW69" s="251"/>
      <c r="BX69" s="264"/>
      <c r="BY69" s="268"/>
      <c r="BZ69" s="269"/>
      <c r="CA69" s="269"/>
      <c r="CB69" s="269"/>
      <c r="CC69" s="269"/>
      <c r="CD69" s="269"/>
      <c r="CE69" s="269"/>
      <c r="CF69" s="269"/>
      <c r="CG69" s="269"/>
      <c r="CH69" s="269"/>
      <c r="CI69" s="269"/>
      <c r="CJ69" s="269"/>
      <c r="CK69" s="270"/>
      <c r="CL69" s="271"/>
      <c r="CM69" s="252"/>
    </row>
    <row r="70" spans="1:91" ht="12" customHeight="1">
      <c r="A70" s="55"/>
      <c r="B70" s="56"/>
      <c r="C70" s="56"/>
      <c r="D70" s="56"/>
      <c r="E70" s="57"/>
      <c r="F70" s="58"/>
      <c r="G70" s="58"/>
      <c r="H70" s="58"/>
      <c r="I70" s="59"/>
      <c r="BL70" s="17"/>
      <c r="BM70" s="17"/>
      <c r="BN70" s="17"/>
      <c r="BO70" s="17"/>
      <c r="BP70" s="17"/>
      <c r="BQ70" s="17"/>
      <c r="BR70" s="17"/>
      <c r="BS70" s="17"/>
      <c r="BT70" s="61"/>
      <c r="CD70" s="57"/>
      <c r="CE70" s="57"/>
      <c r="CF70" s="57"/>
      <c r="CG70" s="57"/>
      <c r="CH70" s="57"/>
      <c r="CI70" s="57"/>
      <c r="CJ70" s="57"/>
      <c r="CK70" s="57"/>
      <c r="CL70" s="57"/>
      <c r="CM70" s="57"/>
    </row>
  </sheetData>
  <mergeCells count="45"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BV64:CM66"/>
    <mergeCell ref="A65:C65"/>
    <mergeCell ref="E65:G65"/>
    <mergeCell ref="A66:C66"/>
    <mergeCell ref="E66:G66"/>
    <mergeCell ref="A67:C67"/>
    <mergeCell ref="E67:G67"/>
    <mergeCell ref="BF67:BU67"/>
    <mergeCell ref="BV67:BX67"/>
    <mergeCell ref="BY67:CK67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BF64:BU66"/>
    <mergeCell ref="G7:G9"/>
    <mergeCell ref="H7:H9"/>
    <mergeCell ref="I7:K7"/>
    <mergeCell ref="J8:K8"/>
    <mergeCell ref="A61:C61"/>
    <mergeCell ref="E61:G61"/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29" orientation="landscape" r:id="rId1"/>
  <headerFooter alignWithMargins="0">
    <oddFooter xml:space="preserve">&amp;L&amp;Z&amp;F&amp;C&amp;D&amp;RConcise DesignShutdown Key 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DQ70"/>
  <sheetViews>
    <sheetView showGridLines="0" view="pageBreakPreview" topLeftCell="C1" zoomScale="50" zoomScaleNormal="50" zoomScaleSheetLayoutView="50" zoomScalePageLayoutView="50" workbookViewId="0">
      <selection activeCell="I1" sqref="I1:K9"/>
    </sheetView>
  </sheetViews>
  <sheetFormatPr defaultColWidth="12.7109375" defaultRowHeight="12" customHeight="1"/>
  <cols>
    <col min="1" max="1" width="8.7109375" style="21" hidden="1" customWidth="1"/>
    <col min="2" max="2" width="7.42578125" style="21" hidden="1" customWidth="1"/>
    <col min="3" max="3" width="19" style="21" customWidth="1"/>
    <col min="4" max="4" width="25.42578125" style="21" hidden="1" customWidth="1"/>
    <col min="5" max="5" width="95.85546875" style="27" bestFit="1" customWidth="1"/>
    <col min="6" max="6" width="18.42578125" style="196" hidden="1" customWidth="1"/>
    <col min="7" max="7" width="31.5703125" style="196" bestFit="1" customWidth="1"/>
    <col min="8" max="8" width="33" style="196" bestFit="1" customWidth="1"/>
    <col min="9" max="10" width="8.42578125" style="41" customWidth="1"/>
    <col min="11" max="11" width="10.85546875" style="41" bestFit="1" customWidth="1"/>
    <col min="12" max="12" width="6.140625" style="60" hidden="1" customWidth="1"/>
    <col min="13" max="14" width="6.140625" style="27" customWidth="1"/>
    <col min="15" max="16" width="6.140625" style="27" hidden="1" customWidth="1"/>
    <col min="17" max="21" width="6.140625" style="27" customWidth="1"/>
    <col min="22" max="22" width="6.140625" style="60" customWidth="1"/>
    <col min="23" max="31" width="6.140625" style="27" customWidth="1"/>
    <col min="32" max="32" width="6.140625" style="60" customWidth="1"/>
    <col min="33" max="41" width="6.140625" style="27" customWidth="1"/>
    <col min="42" max="42" width="6.140625" style="60" customWidth="1"/>
    <col min="43" max="51" width="6.140625" style="27" customWidth="1"/>
    <col min="52" max="52" width="6.140625" style="60" customWidth="1"/>
    <col min="53" max="61" width="6.140625" style="27" customWidth="1"/>
    <col min="62" max="62" width="6.140625" style="60" customWidth="1"/>
    <col min="63" max="71" width="6.140625" style="27" customWidth="1"/>
    <col min="72" max="72" width="6.140625" style="60" customWidth="1"/>
    <col min="73" max="80" width="6.140625" style="27" customWidth="1"/>
    <col min="81" max="81" width="6.140625" style="62" customWidth="1"/>
    <col min="82" max="91" width="6.140625" style="27" customWidth="1"/>
    <col min="92" max="16384" width="12.7109375" style="27"/>
  </cols>
  <sheetData>
    <row r="1" spans="1:121" s="194" customFormat="1" ht="20.25" customHeight="1">
      <c r="A1" s="15"/>
      <c r="B1" s="16"/>
      <c r="C1" s="16"/>
      <c r="D1" s="16"/>
      <c r="E1" s="17"/>
      <c r="F1" s="195"/>
      <c r="G1" s="195"/>
      <c r="H1" s="195"/>
      <c r="I1" s="18"/>
      <c r="J1" s="19" t="s">
        <v>13</v>
      </c>
      <c r="K1" s="20"/>
      <c r="L1" s="407">
        <v>1</v>
      </c>
      <c r="M1" s="402">
        <v>2</v>
      </c>
      <c r="N1" s="402">
        <v>3</v>
      </c>
      <c r="O1" s="402">
        <v>4</v>
      </c>
      <c r="P1" s="408">
        <v>6</v>
      </c>
      <c r="Q1" s="407">
        <v>7</v>
      </c>
      <c r="R1" s="402">
        <v>238</v>
      </c>
      <c r="S1" s="402">
        <v>889</v>
      </c>
      <c r="T1" s="402">
        <v>887</v>
      </c>
      <c r="U1" s="409">
        <v>888</v>
      </c>
      <c r="V1" s="401">
        <v>231</v>
      </c>
      <c r="W1" s="403">
        <v>7777</v>
      </c>
      <c r="X1" s="403"/>
      <c r="Y1" s="403"/>
      <c r="Z1" s="406"/>
      <c r="AA1" s="410"/>
      <c r="AB1" s="403"/>
      <c r="AC1" s="403"/>
      <c r="AD1" s="403"/>
      <c r="AE1" s="404"/>
      <c r="AF1" s="405"/>
      <c r="AG1" s="403"/>
      <c r="AH1" s="403"/>
      <c r="AI1" s="403"/>
      <c r="AJ1" s="406"/>
      <c r="AK1" s="410"/>
      <c r="AL1" s="403"/>
      <c r="AM1" s="403"/>
      <c r="AN1" s="403"/>
      <c r="AO1" s="404"/>
      <c r="AP1" s="405"/>
      <c r="AQ1" s="403"/>
      <c r="AR1" s="403"/>
      <c r="AS1" s="403"/>
      <c r="AT1" s="406"/>
      <c r="AU1" s="410"/>
      <c r="AV1" s="403"/>
      <c r="AW1" s="403"/>
      <c r="AX1" s="403"/>
      <c r="AY1" s="404"/>
      <c r="AZ1" s="405"/>
      <c r="BA1" s="403"/>
      <c r="BB1" s="403"/>
      <c r="BC1" s="403"/>
      <c r="BD1" s="406"/>
      <c r="BE1" s="410"/>
      <c r="BF1" s="403"/>
      <c r="BG1" s="403"/>
      <c r="BH1" s="403"/>
      <c r="BI1" s="404"/>
      <c r="BJ1" s="405"/>
      <c r="BK1" s="403"/>
      <c r="BL1" s="403"/>
      <c r="BM1" s="403"/>
      <c r="BN1" s="406"/>
      <c r="BO1" s="410"/>
      <c r="BP1" s="403"/>
      <c r="BQ1" s="403"/>
      <c r="BR1" s="403"/>
      <c r="BS1" s="404"/>
      <c r="BT1" s="405"/>
      <c r="BU1" s="403"/>
      <c r="BV1" s="403"/>
      <c r="BW1" s="403"/>
      <c r="BX1" s="406"/>
      <c r="BY1" s="410"/>
      <c r="BZ1" s="403"/>
      <c r="CA1" s="403"/>
      <c r="CB1" s="403"/>
      <c r="CC1" s="404"/>
      <c r="CD1" s="405"/>
      <c r="CE1" s="403"/>
      <c r="CF1" s="403"/>
      <c r="CG1" s="403"/>
      <c r="CH1" s="404"/>
      <c r="CI1" s="405"/>
      <c r="CJ1" s="403"/>
      <c r="CK1" s="403"/>
      <c r="CL1" s="403"/>
      <c r="CM1" s="406"/>
      <c r="CN1" s="21"/>
      <c r="CO1" s="21"/>
      <c r="CP1" s="21"/>
      <c r="CQ1" s="21"/>
      <c r="CR1" s="21"/>
      <c r="CS1" s="21"/>
      <c r="CT1" s="21"/>
      <c r="CU1" s="21"/>
      <c r="CV1" s="21"/>
      <c r="CW1" s="21"/>
      <c r="CX1" s="21"/>
      <c r="CY1" s="21"/>
      <c r="CZ1" s="21"/>
      <c r="DA1" s="21"/>
      <c r="DB1" s="21"/>
      <c r="DC1" s="21"/>
      <c r="DD1" s="21"/>
      <c r="DE1" s="21"/>
      <c r="DF1" s="21"/>
      <c r="DG1" s="21"/>
      <c r="DH1" s="21"/>
      <c r="DI1" s="21"/>
      <c r="DJ1" s="21"/>
      <c r="DK1" s="21"/>
      <c r="DL1" s="21"/>
      <c r="DM1" s="21"/>
      <c r="DN1" s="21"/>
      <c r="DO1" s="21"/>
      <c r="DP1" s="21"/>
      <c r="DQ1" s="21"/>
    </row>
    <row r="2" spans="1:121" s="194" customFormat="1" ht="24" customHeight="1" thickBot="1">
      <c r="A2" s="22"/>
      <c r="B2" s="21"/>
      <c r="C2" s="21"/>
      <c r="D2" s="21"/>
      <c r="F2" s="196"/>
      <c r="G2" s="196"/>
      <c r="H2" s="196"/>
      <c r="I2" s="23"/>
      <c r="J2" s="24" t="s">
        <v>14</v>
      </c>
      <c r="K2" s="25"/>
      <c r="L2" s="388" t="s">
        <v>11</v>
      </c>
      <c r="M2" s="387" t="s">
        <v>11</v>
      </c>
      <c r="N2" s="387" t="s">
        <v>11</v>
      </c>
      <c r="O2" s="387" t="s">
        <v>11</v>
      </c>
      <c r="P2" s="389" t="s">
        <v>11</v>
      </c>
      <c r="Q2" s="388" t="s">
        <v>77</v>
      </c>
      <c r="R2" s="387" t="s">
        <v>11</v>
      </c>
      <c r="S2" s="387" t="s">
        <v>11</v>
      </c>
      <c r="T2" s="387" t="s">
        <v>11</v>
      </c>
      <c r="U2" s="390" t="s">
        <v>11</v>
      </c>
      <c r="V2" s="386" t="s">
        <v>11</v>
      </c>
      <c r="W2" s="372" t="s">
        <v>11</v>
      </c>
      <c r="X2" s="372"/>
      <c r="Y2" s="372"/>
      <c r="Z2" s="373"/>
      <c r="AA2" s="374"/>
      <c r="AB2" s="372"/>
      <c r="AC2" s="372"/>
      <c r="AD2" s="372"/>
      <c r="AE2" s="371"/>
      <c r="AF2" s="375"/>
      <c r="AG2" s="372"/>
      <c r="AH2" s="372"/>
      <c r="AI2" s="372"/>
      <c r="AJ2" s="373"/>
      <c r="AK2" s="374"/>
      <c r="AL2" s="372"/>
      <c r="AM2" s="372"/>
      <c r="AN2" s="372"/>
      <c r="AO2" s="371"/>
      <c r="AP2" s="375"/>
      <c r="AQ2" s="372"/>
      <c r="AR2" s="372"/>
      <c r="AS2" s="372"/>
      <c r="AT2" s="373"/>
      <c r="AU2" s="374"/>
      <c r="AV2" s="372"/>
      <c r="AW2" s="372"/>
      <c r="AX2" s="372"/>
      <c r="AY2" s="371"/>
      <c r="AZ2" s="375"/>
      <c r="BA2" s="372"/>
      <c r="BB2" s="372"/>
      <c r="BC2" s="372"/>
      <c r="BD2" s="373"/>
      <c r="BE2" s="374"/>
      <c r="BF2" s="372"/>
      <c r="BG2" s="372"/>
      <c r="BH2" s="372"/>
      <c r="BI2" s="371"/>
      <c r="BJ2" s="375"/>
      <c r="BK2" s="372"/>
      <c r="BL2" s="372"/>
      <c r="BM2" s="372"/>
      <c r="BN2" s="373"/>
      <c r="BO2" s="374"/>
      <c r="BP2" s="372"/>
      <c r="BQ2" s="372"/>
      <c r="BR2" s="372"/>
      <c r="BS2" s="371"/>
      <c r="BT2" s="375"/>
      <c r="BU2" s="372"/>
      <c r="BV2" s="372"/>
      <c r="BW2" s="372"/>
      <c r="BX2" s="373"/>
      <c r="BY2" s="374"/>
      <c r="BZ2" s="372"/>
      <c r="CA2" s="372"/>
      <c r="CB2" s="372"/>
      <c r="CC2" s="371"/>
      <c r="CD2" s="375"/>
      <c r="CE2" s="372"/>
      <c r="CF2" s="372"/>
      <c r="CG2" s="372"/>
      <c r="CH2" s="371"/>
      <c r="CI2" s="375"/>
      <c r="CJ2" s="372"/>
      <c r="CK2" s="372"/>
      <c r="CL2" s="372"/>
      <c r="CM2" s="373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  <c r="DO2" s="26"/>
      <c r="DP2" s="26"/>
      <c r="DQ2" s="21"/>
    </row>
    <row r="3" spans="1:121" ht="111" customHeight="1">
      <c r="A3" s="22"/>
      <c r="I3" s="307" t="s">
        <v>15</v>
      </c>
      <c r="J3" s="308"/>
      <c r="K3" s="309"/>
      <c r="L3" s="421" t="s">
        <v>76</v>
      </c>
      <c r="M3" s="422" t="s">
        <v>76</v>
      </c>
      <c r="N3" s="422" t="s">
        <v>76</v>
      </c>
      <c r="O3" s="422" t="s">
        <v>76</v>
      </c>
      <c r="P3" s="423" t="s">
        <v>76</v>
      </c>
      <c r="Q3" s="421"/>
      <c r="R3" s="422" t="s">
        <v>16</v>
      </c>
      <c r="S3" s="422" t="s">
        <v>44</v>
      </c>
      <c r="T3" s="422" t="s">
        <v>44</v>
      </c>
      <c r="U3" s="424" t="s">
        <v>44</v>
      </c>
      <c r="V3" s="425" t="s">
        <v>44</v>
      </c>
      <c r="W3" s="372" t="s">
        <v>93</v>
      </c>
      <c r="X3" s="372"/>
      <c r="Y3" s="372"/>
      <c r="Z3" s="373"/>
      <c r="AA3" s="374"/>
      <c r="AB3" s="372"/>
      <c r="AC3" s="372"/>
      <c r="AD3" s="372"/>
      <c r="AE3" s="371"/>
      <c r="AF3" s="375"/>
      <c r="AG3" s="372"/>
      <c r="AH3" s="372"/>
      <c r="AI3" s="372"/>
      <c r="AJ3" s="373"/>
      <c r="AK3" s="374"/>
      <c r="AL3" s="372"/>
      <c r="AM3" s="372"/>
      <c r="AN3" s="372"/>
      <c r="AO3" s="371"/>
      <c r="AP3" s="375"/>
      <c r="AQ3" s="372"/>
      <c r="AR3" s="372"/>
      <c r="AS3" s="372"/>
      <c r="AT3" s="373"/>
      <c r="AU3" s="374"/>
      <c r="AV3" s="372"/>
      <c r="AW3" s="372"/>
      <c r="AX3" s="372"/>
      <c r="AY3" s="371"/>
      <c r="AZ3" s="375"/>
      <c r="BA3" s="372"/>
      <c r="BB3" s="372"/>
      <c r="BC3" s="372"/>
      <c r="BD3" s="373"/>
      <c r="BE3" s="374"/>
      <c r="BF3" s="372"/>
      <c r="BG3" s="372"/>
      <c r="BH3" s="372"/>
      <c r="BI3" s="371"/>
      <c r="BJ3" s="375"/>
      <c r="BK3" s="372"/>
      <c r="BL3" s="372"/>
      <c r="BM3" s="372"/>
      <c r="BN3" s="373"/>
      <c r="BO3" s="374"/>
      <c r="BP3" s="372"/>
      <c r="BQ3" s="372"/>
      <c r="BR3" s="372"/>
      <c r="BS3" s="371"/>
      <c r="BT3" s="375"/>
      <c r="BU3" s="372"/>
      <c r="BV3" s="372"/>
      <c r="BW3" s="372"/>
      <c r="BX3" s="373"/>
      <c r="BY3" s="374"/>
      <c r="BZ3" s="372"/>
      <c r="CA3" s="372"/>
      <c r="CB3" s="372"/>
      <c r="CC3" s="371"/>
      <c r="CD3" s="375"/>
      <c r="CE3" s="372"/>
      <c r="CF3" s="372"/>
      <c r="CG3" s="372"/>
      <c r="CH3" s="371"/>
      <c r="CI3" s="375"/>
      <c r="CJ3" s="372"/>
      <c r="CK3" s="372"/>
      <c r="CL3" s="372"/>
      <c r="CM3" s="373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</row>
    <row r="4" spans="1:121" s="29" customFormat="1" ht="156.75" customHeight="1">
      <c r="A4" s="22"/>
      <c r="B4" s="21"/>
      <c r="C4" s="21"/>
      <c r="D4" s="21"/>
      <c r="F4" s="21"/>
      <c r="G4" s="21"/>
      <c r="H4" s="30"/>
      <c r="I4" s="310" t="s">
        <v>17</v>
      </c>
      <c r="J4" s="311"/>
      <c r="K4" s="312"/>
      <c r="L4" s="421" t="s">
        <v>76</v>
      </c>
      <c r="M4" s="422" t="s">
        <v>76</v>
      </c>
      <c r="N4" s="422" t="s">
        <v>76</v>
      </c>
      <c r="O4" s="422" t="s">
        <v>76</v>
      </c>
      <c r="P4" s="423" t="s">
        <v>76</v>
      </c>
      <c r="Q4" s="421" t="s">
        <v>77</v>
      </c>
      <c r="R4" s="422" t="s">
        <v>76</v>
      </c>
      <c r="S4" s="422" t="s">
        <v>76</v>
      </c>
      <c r="T4" s="422" t="s">
        <v>76</v>
      </c>
      <c r="U4" s="424" t="s">
        <v>76</v>
      </c>
      <c r="V4" s="425" t="s">
        <v>76</v>
      </c>
      <c r="W4" s="372" t="s">
        <v>93</v>
      </c>
      <c r="X4" s="372"/>
      <c r="Y4" s="372"/>
      <c r="Z4" s="373"/>
      <c r="AA4" s="374"/>
      <c r="AB4" s="372"/>
      <c r="AC4" s="372"/>
      <c r="AD4" s="372"/>
      <c r="AE4" s="371"/>
      <c r="AF4" s="375"/>
      <c r="AG4" s="372"/>
      <c r="AH4" s="372"/>
      <c r="AI4" s="372"/>
      <c r="AJ4" s="373"/>
      <c r="AK4" s="374"/>
      <c r="AL4" s="372"/>
      <c r="AM4" s="372"/>
      <c r="AN4" s="372"/>
      <c r="AO4" s="371"/>
      <c r="AP4" s="375"/>
      <c r="AQ4" s="372"/>
      <c r="AR4" s="372"/>
      <c r="AS4" s="372"/>
      <c r="AT4" s="373"/>
      <c r="AU4" s="374"/>
      <c r="AV4" s="372"/>
      <c r="AW4" s="372"/>
      <c r="AX4" s="372"/>
      <c r="AY4" s="371"/>
      <c r="AZ4" s="375"/>
      <c r="BA4" s="372"/>
      <c r="BB4" s="372"/>
      <c r="BC4" s="372"/>
      <c r="BD4" s="373"/>
      <c r="BE4" s="374"/>
      <c r="BF4" s="372"/>
      <c r="BG4" s="372"/>
      <c r="BH4" s="372"/>
      <c r="BI4" s="371"/>
      <c r="BJ4" s="375"/>
      <c r="BK4" s="372"/>
      <c r="BL4" s="372"/>
      <c r="BM4" s="372"/>
      <c r="BN4" s="373"/>
      <c r="BO4" s="374"/>
      <c r="BP4" s="372"/>
      <c r="BQ4" s="372"/>
      <c r="BR4" s="372"/>
      <c r="BS4" s="371"/>
      <c r="BT4" s="375"/>
      <c r="BU4" s="372"/>
      <c r="BV4" s="372"/>
      <c r="BW4" s="372"/>
      <c r="BX4" s="373"/>
      <c r="BY4" s="374"/>
      <c r="BZ4" s="372"/>
      <c r="CA4" s="372"/>
      <c r="CB4" s="372"/>
      <c r="CC4" s="371"/>
      <c r="CD4" s="375"/>
      <c r="CE4" s="372"/>
      <c r="CF4" s="372"/>
      <c r="CG4" s="372"/>
      <c r="CH4" s="371"/>
      <c r="CI4" s="375"/>
      <c r="CJ4" s="372"/>
      <c r="CK4" s="372"/>
      <c r="CL4" s="372"/>
      <c r="CM4" s="373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6"/>
      <c r="DF4" s="28"/>
      <c r="DG4" s="26"/>
      <c r="DH4" s="28"/>
      <c r="DI4" s="26"/>
      <c r="DJ4" s="28"/>
      <c r="DK4" s="26"/>
      <c r="DL4" s="28"/>
      <c r="DM4" s="26"/>
      <c r="DN4" s="28"/>
      <c r="DO4" s="26"/>
      <c r="DP4" s="28"/>
      <c r="DQ4" s="28"/>
    </row>
    <row r="5" spans="1:121" s="21" customFormat="1" ht="408" customHeight="1">
      <c r="A5" s="22"/>
      <c r="H5" s="30" t="s">
        <v>18</v>
      </c>
      <c r="I5" s="203" t="s">
        <v>7</v>
      </c>
      <c r="J5" s="204"/>
      <c r="K5" s="313"/>
      <c r="L5" s="426" t="s">
        <v>69</v>
      </c>
      <c r="M5" s="427" t="s">
        <v>72</v>
      </c>
      <c r="N5" s="427" t="s">
        <v>71</v>
      </c>
      <c r="O5" s="427" t="s">
        <v>83</v>
      </c>
      <c r="P5" s="428" t="s">
        <v>82</v>
      </c>
      <c r="Q5" s="426"/>
      <c r="R5" s="427" t="s">
        <v>56</v>
      </c>
      <c r="S5" s="427" t="s">
        <v>59</v>
      </c>
      <c r="T5" s="427" t="s">
        <v>57</v>
      </c>
      <c r="U5" s="429" t="s">
        <v>58</v>
      </c>
      <c r="V5" s="430" t="s">
        <v>55</v>
      </c>
      <c r="W5" s="372" t="s">
        <v>93</v>
      </c>
      <c r="X5" s="372"/>
      <c r="Y5" s="372"/>
      <c r="Z5" s="373"/>
      <c r="AA5" s="374"/>
      <c r="AB5" s="372"/>
      <c r="AC5" s="372"/>
      <c r="AD5" s="372"/>
      <c r="AE5" s="371"/>
      <c r="AF5" s="375"/>
      <c r="AG5" s="372"/>
      <c r="AH5" s="372"/>
      <c r="AI5" s="372"/>
      <c r="AJ5" s="373"/>
      <c r="AK5" s="374"/>
      <c r="AL5" s="372"/>
      <c r="AM5" s="372"/>
      <c r="AN5" s="372"/>
      <c r="AO5" s="371"/>
      <c r="AP5" s="375"/>
      <c r="AQ5" s="372"/>
      <c r="AR5" s="372"/>
      <c r="AS5" s="372"/>
      <c r="AT5" s="373"/>
      <c r="AU5" s="374"/>
      <c r="AV5" s="372"/>
      <c r="AW5" s="372"/>
      <c r="AX5" s="372"/>
      <c r="AY5" s="371"/>
      <c r="AZ5" s="375"/>
      <c r="BA5" s="372"/>
      <c r="BB5" s="372"/>
      <c r="BC5" s="372"/>
      <c r="BD5" s="373"/>
      <c r="BE5" s="374"/>
      <c r="BF5" s="372"/>
      <c r="BG5" s="372"/>
      <c r="BH5" s="372"/>
      <c r="BI5" s="371"/>
      <c r="BJ5" s="375"/>
      <c r="BK5" s="372"/>
      <c r="BL5" s="372"/>
      <c r="BM5" s="372"/>
      <c r="BN5" s="373"/>
      <c r="BO5" s="374"/>
      <c r="BP5" s="372"/>
      <c r="BQ5" s="372"/>
      <c r="BR5" s="372"/>
      <c r="BS5" s="371"/>
      <c r="BT5" s="375"/>
      <c r="BU5" s="372"/>
      <c r="BV5" s="372"/>
      <c r="BW5" s="372"/>
      <c r="BX5" s="373"/>
      <c r="BY5" s="374"/>
      <c r="BZ5" s="372"/>
      <c r="CA5" s="372"/>
      <c r="CB5" s="372"/>
      <c r="CC5" s="371"/>
      <c r="CD5" s="375"/>
      <c r="CE5" s="372"/>
      <c r="CF5" s="372"/>
      <c r="CG5" s="372"/>
      <c r="CH5" s="371"/>
      <c r="CI5" s="375"/>
      <c r="CJ5" s="372"/>
      <c r="CK5" s="372"/>
      <c r="CL5" s="372"/>
      <c r="CM5" s="373"/>
      <c r="CN5" s="31"/>
      <c r="CO5" s="32"/>
      <c r="CP5" s="31"/>
      <c r="CQ5" s="32"/>
      <c r="CR5" s="31"/>
      <c r="CS5" s="32"/>
      <c r="CT5" s="31"/>
      <c r="CU5" s="32"/>
      <c r="CV5" s="31"/>
      <c r="CW5" s="33"/>
      <c r="CX5" s="31"/>
      <c r="CY5" s="33"/>
      <c r="CZ5" s="31"/>
      <c r="DA5" s="31"/>
      <c r="DB5" s="31"/>
      <c r="DC5" s="32"/>
      <c r="DD5" s="31"/>
      <c r="DE5" s="31"/>
      <c r="DF5" s="31"/>
      <c r="DG5" s="31"/>
      <c r="DH5" s="31"/>
      <c r="DI5" s="31"/>
      <c r="DJ5" s="31"/>
      <c r="DK5" s="32"/>
      <c r="DL5" s="31"/>
      <c r="DM5" s="33"/>
      <c r="DN5" s="31"/>
      <c r="DO5" s="31"/>
      <c r="DP5" s="31"/>
      <c r="DQ5" s="33"/>
    </row>
    <row r="6" spans="1:121" s="21" customFormat="1" ht="140.25" customHeight="1" thickBot="1">
      <c r="A6" s="22"/>
      <c r="D6" s="197"/>
      <c r="E6" s="197" t="s">
        <v>19</v>
      </c>
      <c r="I6" s="232" t="s">
        <v>20</v>
      </c>
      <c r="J6" s="233"/>
      <c r="K6" s="314"/>
      <c r="L6" s="431" t="s">
        <v>66</v>
      </c>
      <c r="M6" s="432" t="s">
        <v>64</v>
      </c>
      <c r="N6" s="432" t="s">
        <v>65</v>
      </c>
      <c r="O6" s="432" t="s">
        <v>67</v>
      </c>
      <c r="P6" s="433" t="s">
        <v>68</v>
      </c>
      <c r="Q6" s="431"/>
      <c r="R6" s="432" t="s">
        <v>21</v>
      </c>
      <c r="S6" s="432" t="s">
        <v>63</v>
      </c>
      <c r="T6" s="432" t="s">
        <v>61</v>
      </c>
      <c r="U6" s="434" t="s">
        <v>62</v>
      </c>
      <c r="V6" s="435" t="s">
        <v>60</v>
      </c>
      <c r="W6" s="393" t="s">
        <v>92</v>
      </c>
      <c r="X6" s="393"/>
      <c r="Y6" s="393"/>
      <c r="Z6" s="396"/>
      <c r="AA6" s="400"/>
      <c r="AB6" s="393"/>
      <c r="AC6" s="393"/>
      <c r="AD6" s="393"/>
      <c r="AE6" s="394"/>
      <c r="AF6" s="395"/>
      <c r="AG6" s="393"/>
      <c r="AH6" s="393"/>
      <c r="AI6" s="393"/>
      <c r="AJ6" s="396"/>
      <c r="AK6" s="400"/>
      <c r="AL6" s="393"/>
      <c r="AM6" s="393"/>
      <c r="AN6" s="393"/>
      <c r="AO6" s="394"/>
      <c r="AP6" s="395"/>
      <c r="AQ6" s="393"/>
      <c r="AR6" s="393"/>
      <c r="AS6" s="393"/>
      <c r="AT6" s="396"/>
      <c r="AU6" s="400"/>
      <c r="AV6" s="393"/>
      <c r="AW6" s="393"/>
      <c r="AX6" s="393"/>
      <c r="AY6" s="394"/>
      <c r="AZ6" s="395"/>
      <c r="BA6" s="393"/>
      <c r="BB6" s="393"/>
      <c r="BC6" s="393"/>
      <c r="BD6" s="396"/>
      <c r="BE6" s="400"/>
      <c r="BF6" s="393"/>
      <c r="BG6" s="393"/>
      <c r="BH6" s="393"/>
      <c r="BI6" s="394"/>
      <c r="BJ6" s="395"/>
      <c r="BK6" s="393"/>
      <c r="BL6" s="393"/>
      <c r="BM6" s="393"/>
      <c r="BN6" s="396"/>
      <c r="BO6" s="400"/>
      <c r="BP6" s="393"/>
      <c r="BQ6" s="393"/>
      <c r="BR6" s="393"/>
      <c r="BS6" s="394"/>
      <c r="BT6" s="395"/>
      <c r="BU6" s="393"/>
      <c r="BV6" s="393"/>
      <c r="BW6" s="393"/>
      <c r="BX6" s="396"/>
      <c r="BY6" s="400"/>
      <c r="BZ6" s="393"/>
      <c r="CA6" s="393"/>
      <c r="CB6" s="393"/>
      <c r="CC6" s="394"/>
      <c r="CD6" s="395"/>
      <c r="CE6" s="393"/>
      <c r="CF6" s="393"/>
      <c r="CG6" s="393"/>
      <c r="CH6" s="394"/>
      <c r="CI6" s="395"/>
      <c r="CJ6" s="393"/>
      <c r="CK6" s="393"/>
      <c r="CL6" s="393"/>
      <c r="CM6" s="396"/>
      <c r="CN6" s="28"/>
      <c r="CO6" s="28"/>
      <c r="CP6" s="28"/>
      <c r="CQ6" s="34"/>
      <c r="CR6" s="33"/>
      <c r="CS6" s="33"/>
      <c r="CT6" s="34"/>
      <c r="CU6" s="35"/>
      <c r="CV6" s="36"/>
      <c r="CW6" s="37"/>
      <c r="CX6" s="37"/>
      <c r="CY6" s="37"/>
      <c r="CZ6" s="38"/>
      <c r="DA6" s="39"/>
      <c r="DB6" s="39"/>
      <c r="DC6" s="39"/>
      <c r="DD6" s="28"/>
      <c r="DE6" s="39"/>
      <c r="DF6" s="40"/>
      <c r="DG6" s="39"/>
      <c r="DH6" s="40"/>
      <c r="DI6" s="39"/>
      <c r="DJ6" s="40"/>
      <c r="DK6" s="39"/>
      <c r="DL6" s="40"/>
      <c r="DM6" s="39"/>
      <c r="DN6" s="40"/>
      <c r="DO6" s="39"/>
      <c r="DP6" s="40"/>
      <c r="DQ6" s="40"/>
    </row>
    <row r="7" spans="1:121" s="41" customFormat="1" ht="25.5" customHeight="1">
      <c r="A7" s="221" t="s">
        <v>22</v>
      </c>
      <c r="B7" s="212" t="s">
        <v>23</v>
      </c>
      <c r="C7" s="212" t="s">
        <v>24</v>
      </c>
      <c r="D7" s="212" t="s">
        <v>25</v>
      </c>
      <c r="E7" s="212" t="s">
        <v>7</v>
      </c>
      <c r="F7" s="212" t="s">
        <v>26</v>
      </c>
      <c r="G7" s="212" t="s">
        <v>20</v>
      </c>
      <c r="H7" s="225" t="s">
        <v>27</v>
      </c>
      <c r="I7" s="318" t="s">
        <v>28</v>
      </c>
      <c r="J7" s="212"/>
      <c r="K7" s="319"/>
      <c r="L7" s="407"/>
      <c r="M7" s="402"/>
      <c r="N7" s="402"/>
      <c r="O7" s="402"/>
      <c r="P7" s="408"/>
      <c r="Q7" s="407"/>
      <c r="R7" s="402"/>
      <c r="S7" s="402"/>
      <c r="T7" s="402"/>
      <c r="U7" s="409"/>
      <c r="V7" s="401"/>
      <c r="W7" s="403" t="s">
        <v>93</v>
      </c>
      <c r="X7" s="403"/>
      <c r="Y7" s="403"/>
      <c r="Z7" s="406"/>
      <c r="AA7" s="410"/>
      <c r="AB7" s="403"/>
      <c r="AC7" s="403"/>
      <c r="AD7" s="403"/>
      <c r="AE7" s="404"/>
      <c r="AF7" s="405"/>
      <c r="AG7" s="403"/>
      <c r="AH7" s="403"/>
      <c r="AI7" s="403"/>
      <c r="AJ7" s="406"/>
      <c r="AK7" s="410"/>
      <c r="AL7" s="403"/>
      <c r="AM7" s="403"/>
      <c r="AN7" s="403"/>
      <c r="AO7" s="404"/>
      <c r="AP7" s="405"/>
      <c r="AQ7" s="403"/>
      <c r="AR7" s="403"/>
      <c r="AS7" s="403"/>
      <c r="AT7" s="406"/>
      <c r="AU7" s="410"/>
      <c r="AV7" s="403"/>
      <c r="AW7" s="403"/>
      <c r="AX7" s="403"/>
      <c r="AY7" s="404"/>
      <c r="AZ7" s="405"/>
      <c r="BA7" s="403"/>
      <c r="BB7" s="403"/>
      <c r="BC7" s="403"/>
      <c r="BD7" s="406"/>
      <c r="BE7" s="410"/>
      <c r="BF7" s="403"/>
      <c r="BG7" s="403"/>
      <c r="BH7" s="403"/>
      <c r="BI7" s="404"/>
      <c r="BJ7" s="405"/>
      <c r="BK7" s="403"/>
      <c r="BL7" s="403"/>
      <c r="BM7" s="403"/>
      <c r="BN7" s="406"/>
      <c r="BO7" s="410"/>
      <c r="BP7" s="403"/>
      <c r="BQ7" s="403"/>
      <c r="BR7" s="403"/>
      <c r="BS7" s="404"/>
      <c r="BT7" s="405"/>
      <c r="BU7" s="403"/>
      <c r="BV7" s="403"/>
      <c r="BW7" s="403"/>
      <c r="BX7" s="406"/>
      <c r="BY7" s="410"/>
      <c r="BZ7" s="403"/>
      <c r="CA7" s="403"/>
      <c r="CB7" s="403"/>
      <c r="CC7" s="404"/>
      <c r="CD7" s="405"/>
      <c r="CE7" s="403"/>
      <c r="CF7" s="403"/>
      <c r="CG7" s="403"/>
      <c r="CH7" s="404"/>
      <c r="CI7" s="405"/>
      <c r="CJ7" s="403"/>
      <c r="CK7" s="403"/>
      <c r="CL7" s="403"/>
      <c r="CM7" s="406"/>
    </row>
    <row r="8" spans="1:121" s="41" customFormat="1" ht="25.5" customHeight="1">
      <c r="A8" s="222"/>
      <c r="B8" s="213"/>
      <c r="C8" s="213"/>
      <c r="D8" s="213"/>
      <c r="E8" s="213"/>
      <c r="F8" s="213"/>
      <c r="G8" s="213"/>
      <c r="H8" s="226"/>
      <c r="I8" s="42"/>
      <c r="J8" s="214" t="s">
        <v>29</v>
      </c>
      <c r="K8" s="320"/>
      <c r="L8" s="388"/>
      <c r="M8" s="387"/>
      <c r="N8" s="387"/>
      <c r="O8" s="387"/>
      <c r="P8" s="389"/>
      <c r="Q8" s="388"/>
      <c r="R8" s="387"/>
      <c r="S8" s="387"/>
      <c r="T8" s="387"/>
      <c r="U8" s="390"/>
      <c r="V8" s="386"/>
      <c r="W8" s="372" t="s">
        <v>93</v>
      </c>
      <c r="X8" s="372"/>
      <c r="Y8" s="372"/>
      <c r="Z8" s="373"/>
      <c r="AA8" s="374"/>
      <c r="AB8" s="372"/>
      <c r="AC8" s="372"/>
      <c r="AD8" s="372"/>
      <c r="AE8" s="371"/>
      <c r="AF8" s="375"/>
      <c r="AG8" s="372"/>
      <c r="AH8" s="372"/>
      <c r="AI8" s="372"/>
      <c r="AJ8" s="373"/>
      <c r="AK8" s="374"/>
      <c r="AL8" s="372"/>
      <c r="AM8" s="372"/>
      <c r="AN8" s="372"/>
      <c r="AO8" s="371"/>
      <c r="AP8" s="375"/>
      <c r="AQ8" s="372"/>
      <c r="AR8" s="372"/>
      <c r="AS8" s="372"/>
      <c r="AT8" s="373"/>
      <c r="AU8" s="374"/>
      <c r="AV8" s="372"/>
      <c r="AW8" s="372"/>
      <c r="AX8" s="372"/>
      <c r="AY8" s="371"/>
      <c r="AZ8" s="375"/>
      <c r="BA8" s="372"/>
      <c r="BB8" s="372"/>
      <c r="BC8" s="372"/>
      <c r="BD8" s="373"/>
      <c r="BE8" s="374"/>
      <c r="BF8" s="372"/>
      <c r="BG8" s="372"/>
      <c r="BH8" s="372"/>
      <c r="BI8" s="371"/>
      <c r="BJ8" s="375"/>
      <c r="BK8" s="372"/>
      <c r="BL8" s="372"/>
      <c r="BM8" s="372"/>
      <c r="BN8" s="373"/>
      <c r="BO8" s="374"/>
      <c r="BP8" s="372"/>
      <c r="BQ8" s="372"/>
      <c r="BR8" s="372"/>
      <c r="BS8" s="371"/>
      <c r="BT8" s="375"/>
      <c r="BU8" s="372"/>
      <c r="BV8" s="372"/>
      <c r="BW8" s="372"/>
      <c r="BX8" s="373"/>
      <c r="BY8" s="374"/>
      <c r="BZ8" s="372"/>
      <c r="CA8" s="372"/>
      <c r="CB8" s="372"/>
      <c r="CC8" s="371"/>
      <c r="CD8" s="375"/>
      <c r="CE8" s="372"/>
      <c r="CF8" s="372"/>
      <c r="CG8" s="372"/>
      <c r="CH8" s="371"/>
      <c r="CI8" s="375"/>
      <c r="CJ8" s="372"/>
      <c r="CK8" s="372"/>
      <c r="CL8" s="372"/>
      <c r="CM8" s="373"/>
    </row>
    <row r="9" spans="1:121" s="41" customFormat="1" ht="25.5" customHeight="1" thickBot="1">
      <c r="A9" s="315"/>
      <c r="B9" s="316"/>
      <c r="C9" s="316"/>
      <c r="D9" s="316"/>
      <c r="E9" s="316"/>
      <c r="F9" s="316"/>
      <c r="G9" s="316"/>
      <c r="H9" s="317"/>
      <c r="I9" s="43"/>
      <c r="J9" s="191"/>
      <c r="K9" s="44" t="s">
        <v>30</v>
      </c>
      <c r="L9" s="413"/>
      <c r="M9" s="412"/>
      <c r="N9" s="412"/>
      <c r="O9" s="412"/>
      <c r="P9" s="414"/>
      <c r="Q9" s="413"/>
      <c r="R9" s="412"/>
      <c r="S9" s="412"/>
      <c r="T9" s="412"/>
      <c r="U9" s="415"/>
      <c r="V9" s="411"/>
      <c r="W9" s="377" t="s">
        <v>93</v>
      </c>
      <c r="X9" s="377"/>
      <c r="Y9" s="377"/>
      <c r="Z9" s="378"/>
      <c r="AA9" s="379"/>
      <c r="AB9" s="377"/>
      <c r="AC9" s="377"/>
      <c r="AD9" s="377"/>
      <c r="AE9" s="376"/>
      <c r="AF9" s="380"/>
      <c r="AG9" s="377"/>
      <c r="AH9" s="377"/>
      <c r="AI9" s="377"/>
      <c r="AJ9" s="378"/>
      <c r="AK9" s="379"/>
      <c r="AL9" s="377"/>
      <c r="AM9" s="377"/>
      <c r="AN9" s="377"/>
      <c r="AO9" s="376"/>
      <c r="AP9" s="380"/>
      <c r="AQ9" s="377"/>
      <c r="AR9" s="377"/>
      <c r="AS9" s="377"/>
      <c r="AT9" s="378"/>
      <c r="AU9" s="379"/>
      <c r="AV9" s="377"/>
      <c r="AW9" s="377"/>
      <c r="AX9" s="377"/>
      <c r="AY9" s="376"/>
      <c r="AZ9" s="380"/>
      <c r="BA9" s="377"/>
      <c r="BB9" s="377"/>
      <c r="BC9" s="377"/>
      <c r="BD9" s="378"/>
      <c r="BE9" s="379"/>
      <c r="BF9" s="377"/>
      <c r="BG9" s="377"/>
      <c r="BH9" s="377"/>
      <c r="BI9" s="376"/>
      <c r="BJ9" s="380"/>
      <c r="BK9" s="377"/>
      <c r="BL9" s="377"/>
      <c r="BM9" s="377"/>
      <c r="BN9" s="378"/>
      <c r="BO9" s="379"/>
      <c r="BP9" s="377"/>
      <c r="BQ9" s="377"/>
      <c r="BR9" s="377"/>
      <c r="BS9" s="376"/>
      <c r="BT9" s="380"/>
      <c r="BU9" s="377"/>
      <c r="BV9" s="377"/>
      <c r="BW9" s="377"/>
      <c r="BX9" s="378"/>
      <c r="BY9" s="379"/>
      <c r="BZ9" s="377"/>
      <c r="CA9" s="377"/>
      <c r="CB9" s="377"/>
      <c r="CC9" s="376"/>
      <c r="CD9" s="380"/>
      <c r="CE9" s="377"/>
      <c r="CF9" s="377"/>
      <c r="CG9" s="377"/>
      <c r="CH9" s="376"/>
      <c r="CI9" s="380"/>
      <c r="CJ9" s="377"/>
      <c r="CK9" s="377"/>
      <c r="CL9" s="377"/>
      <c r="CM9" s="378"/>
    </row>
    <row r="10" spans="1:121" ht="25.5" hidden="1" customHeight="1">
      <c r="A10" s="100">
        <v>4503</v>
      </c>
      <c r="B10" s="101" t="s">
        <v>11</v>
      </c>
      <c r="C10" s="101" t="s">
        <v>44</v>
      </c>
      <c r="D10" s="101" t="s">
        <v>76</v>
      </c>
      <c r="E10" s="102" t="s">
        <v>53</v>
      </c>
      <c r="F10" s="101"/>
      <c r="G10" s="102" t="s">
        <v>1574</v>
      </c>
      <c r="H10" s="177" t="s">
        <v>54</v>
      </c>
      <c r="I10" s="104"/>
      <c r="J10" s="102"/>
      <c r="K10" s="103"/>
      <c r="L10" s="347" t="s">
        <v>78</v>
      </c>
      <c r="M10" s="342" t="s">
        <v>77</v>
      </c>
      <c r="N10" s="342"/>
      <c r="O10" s="342" t="s">
        <v>77</v>
      </c>
      <c r="P10" s="348" t="s">
        <v>77</v>
      </c>
      <c r="Q10" s="347"/>
      <c r="R10" s="342"/>
      <c r="S10" s="342"/>
      <c r="T10" s="342"/>
      <c r="U10" s="349" t="s">
        <v>80</v>
      </c>
      <c r="V10" s="341"/>
      <c r="W10" s="343"/>
      <c r="X10" s="343"/>
      <c r="Y10" s="343"/>
      <c r="Z10" s="346"/>
      <c r="AA10" s="350"/>
      <c r="AB10" s="343"/>
      <c r="AC10" s="343"/>
      <c r="AD10" s="343"/>
      <c r="AE10" s="344"/>
      <c r="AF10" s="345"/>
      <c r="AG10" s="343"/>
      <c r="AH10" s="343"/>
      <c r="AI10" s="343"/>
      <c r="AJ10" s="346"/>
      <c r="AK10" s="350"/>
      <c r="AL10" s="343"/>
      <c r="AM10" s="343"/>
      <c r="AN10" s="343"/>
      <c r="AO10" s="344"/>
      <c r="AP10" s="345"/>
      <c r="AQ10" s="343"/>
      <c r="AR10" s="343"/>
      <c r="AS10" s="343"/>
      <c r="AT10" s="346"/>
      <c r="AU10" s="350"/>
      <c r="AV10" s="343"/>
      <c r="AW10" s="343"/>
      <c r="AX10" s="343"/>
      <c r="AY10" s="344"/>
      <c r="AZ10" s="345"/>
      <c r="BA10" s="343"/>
      <c r="BB10" s="343"/>
      <c r="BC10" s="343"/>
      <c r="BD10" s="346"/>
      <c r="BE10" s="350"/>
      <c r="BF10" s="343"/>
      <c r="BG10" s="343"/>
      <c r="BH10" s="343"/>
      <c r="BI10" s="344"/>
      <c r="BJ10" s="345"/>
      <c r="BK10" s="343"/>
      <c r="BL10" s="343"/>
      <c r="BM10" s="343"/>
      <c r="BN10" s="346"/>
      <c r="BO10" s="350"/>
      <c r="BP10" s="343"/>
      <c r="BQ10" s="343"/>
      <c r="BR10" s="343"/>
      <c r="BS10" s="344"/>
      <c r="BT10" s="345"/>
      <c r="BU10" s="343"/>
      <c r="BV10" s="343"/>
      <c r="BW10" s="343"/>
      <c r="BX10" s="346"/>
      <c r="BY10" s="350"/>
      <c r="BZ10" s="343"/>
      <c r="CA10" s="343"/>
      <c r="CB10" s="343"/>
      <c r="CC10" s="344"/>
      <c r="CD10" s="345"/>
      <c r="CE10" s="343"/>
      <c r="CF10" s="343"/>
      <c r="CG10" s="343"/>
      <c r="CH10" s="344"/>
      <c r="CI10" s="345"/>
      <c r="CJ10" s="343"/>
      <c r="CK10" s="343"/>
      <c r="CL10" s="343"/>
      <c r="CM10" s="346"/>
      <c r="CN10" s="45"/>
      <c r="CO10" s="45"/>
      <c r="CP10" s="45"/>
      <c r="CQ10" s="45"/>
      <c r="CR10" s="45"/>
      <c r="CS10" s="45"/>
      <c r="CT10" s="45"/>
      <c r="CU10" s="45"/>
      <c r="CV10" s="45"/>
      <c r="CW10" s="45"/>
      <c r="CX10" s="45"/>
      <c r="CY10" s="45"/>
      <c r="CZ10" s="45"/>
      <c r="DA10" s="45"/>
      <c r="DB10" s="45"/>
      <c r="DC10" s="45"/>
      <c r="DD10" s="45"/>
      <c r="DE10" s="45"/>
      <c r="DF10" s="45"/>
      <c r="DG10" s="45"/>
      <c r="DH10" s="45"/>
      <c r="DI10" s="45"/>
      <c r="DJ10" s="45"/>
      <c r="DK10" s="45"/>
      <c r="DL10" s="45"/>
      <c r="DM10" s="45"/>
      <c r="DN10" s="45"/>
    </row>
    <row r="11" spans="1:121" ht="25.5" customHeight="1">
      <c r="A11" s="321">
        <v>4504</v>
      </c>
      <c r="B11" s="322" t="s">
        <v>11</v>
      </c>
      <c r="C11" s="322" t="s">
        <v>44</v>
      </c>
      <c r="D11" s="322" t="s">
        <v>76</v>
      </c>
      <c r="E11" s="323" t="s">
        <v>53</v>
      </c>
      <c r="F11" s="322"/>
      <c r="G11" s="323" t="s">
        <v>1576</v>
      </c>
      <c r="H11" s="324" t="s">
        <v>54</v>
      </c>
      <c r="I11" s="325"/>
      <c r="J11" s="323"/>
      <c r="K11" s="326"/>
      <c r="L11" s="327" t="s">
        <v>78</v>
      </c>
      <c r="M11" s="322" t="s">
        <v>77</v>
      </c>
      <c r="N11" s="322"/>
      <c r="O11" s="322" t="s">
        <v>77</v>
      </c>
      <c r="P11" s="328" t="s">
        <v>77</v>
      </c>
      <c r="Q11" s="327"/>
      <c r="R11" s="322"/>
      <c r="S11" s="322"/>
      <c r="T11" s="322"/>
      <c r="U11" s="329" t="s">
        <v>80</v>
      </c>
      <c r="V11" s="321"/>
      <c r="W11" s="323"/>
      <c r="X11" s="323"/>
      <c r="Y11" s="323"/>
      <c r="Z11" s="326"/>
      <c r="AA11" s="330"/>
      <c r="AB11" s="323"/>
      <c r="AC11" s="323"/>
      <c r="AD11" s="323"/>
      <c r="AE11" s="324"/>
      <c r="AF11" s="325"/>
      <c r="AG11" s="323"/>
      <c r="AH11" s="323"/>
      <c r="AI11" s="323"/>
      <c r="AJ11" s="326"/>
      <c r="AK11" s="330"/>
      <c r="AL11" s="323"/>
      <c r="AM11" s="323"/>
      <c r="AN11" s="323"/>
      <c r="AO11" s="324"/>
      <c r="AP11" s="325"/>
      <c r="AQ11" s="323"/>
      <c r="AR11" s="323"/>
      <c r="AS11" s="323"/>
      <c r="AT11" s="326"/>
      <c r="AU11" s="330"/>
      <c r="AV11" s="323"/>
      <c r="AW11" s="323"/>
      <c r="AX11" s="323"/>
      <c r="AY11" s="324"/>
      <c r="AZ11" s="325"/>
      <c r="BA11" s="323"/>
      <c r="BB11" s="323"/>
      <c r="BC11" s="323"/>
      <c r="BD11" s="326"/>
      <c r="BE11" s="330"/>
      <c r="BF11" s="323"/>
      <c r="BG11" s="323"/>
      <c r="BH11" s="323"/>
      <c r="BI11" s="324"/>
      <c r="BJ11" s="325"/>
      <c r="BK11" s="323"/>
      <c r="BL11" s="323"/>
      <c r="BM11" s="323"/>
      <c r="BN11" s="326"/>
      <c r="BO11" s="330"/>
      <c r="BP11" s="323"/>
      <c r="BQ11" s="323"/>
      <c r="BR11" s="323"/>
      <c r="BS11" s="324"/>
      <c r="BT11" s="325"/>
      <c r="BU11" s="323"/>
      <c r="BV11" s="323"/>
      <c r="BW11" s="323"/>
      <c r="BX11" s="326"/>
      <c r="BY11" s="330"/>
      <c r="BZ11" s="323"/>
      <c r="CA11" s="323"/>
      <c r="CB11" s="323"/>
      <c r="CC11" s="324"/>
      <c r="CD11" s="325"/>
      <c r="CE11" s="323"/>
      <c r="CF11" s="323"/>
      <c r="CG11" s="323"/>
      <c r="CH11" s="324"/>
      <c r="CI11" s="325"/>
      <c r="CJ11" s="323"/>
      <c r="CK11" s="323"/>
      <c r="CL11" s="323"/>
      <c r="CM11" s="326"/>
      <c r="CN11" s="46"/>
      <c r="CO11" s="45"/>
      <c r="CP11" s="45"/>
      <c r="CQ11" s="45"/>
      <c r="CR11" s="46"/>
      <c r="CS11" s="45"/>
      <c r="CT11" s="45"/>
      <c r="CU11" s="45"/>
      <c r="CV11" s="45"/>
      <c r="CW11" s="45"/>
      <c r="CX11" s="46"/>
      <c r="CY11" s="45"/>
      <c r="CZ11" s="45"/>
      <c r="DA11" s="46"/>
      <c r="DB11" s="47"/>
      <c r="DC11" s="46"/>
      <c r="DD11" s="46"/>
      <c r="DE11" s="45"/>
      <c r="DF11" s="46"/>
      <c r="DG11" s="46"/>
      <c r="DH11" s="45"/>
      <c r="DI11" s="45"/>
      <c r="DJ11" s="45"/>
      <c r="DK11" s="45"/>
      <c r="DL11" s="45"/>
      <c r="DM11" s="45"/>
      <c r="DN11" s="45"/>
    </row>
    <row r="12" spans="1:121" ht="25.5" customHeight="1">
      <c r="A12" s="321">
        <v>4505</v>
      </c>
      <c r="B12" s="322" t="s">
        <v>11</v>
      </c>
      <c r="C12" s="322" t="s">
        <v>44</v>
      </c>
      <c r="D12" s="322" t="s">
        <v>76</v>
      </c>
      <c r="E12" s="323" t="s">
        <v>53</v>
      </c>
      <c r="F12" s="322"/>
      <c r="G12" s="323" t="s">
        <v>1578</v>
      </c>
      <c r="H12" s="324" t="s">
        <v>54</v>
      </c>
      <c r="I12" s="325"/>
      <c r="J12" s="323"/>
      <c r="K12" s="326"/>
      <c r="L12" s="327" t="s">
        <v>78</v>
      </c>
      <c r="M12" s="322" t="s">
        <v>77</v>
      </c>
      <c r="N12" s="322"/>
      <c r="O12" s="322" t="s">
        <v>77</v>
      </c>
      <c r="P12" s="328" t="s">
        <v>77</v>
      </c>
      <c r="Q12" s="327"/>
      <c r="R12" s="322"/>
      <c r="S12" s="322"/>
      <c r="T12" s="322"/>
      <c r="U12" s="329" t="s">
        <v>80</v>
      </c>
      <c r="V12" s="321"/>
      <c r="W12" s="323"/>
      <c r="X12" s="323"/>
      <c r="Y12" s="323"/>
      <c r="Z12" s="326"/>
      <c r="AA12" s="330"/>
      <c r="AB12" s="323"/>
      <c r="AC12" s="323"/>
      <c r="AD12" s="323"/>
      <c r="AE12" s="324"/>
      <c r="AF12" s="325"/>
      <c r="AG12" s="323"/>
      <c r="AH12" s="323"/>
      <c r="AI12" s="323"/>
      <c r="AJ12" s="326"/>
      <c r="AK12" s="330"/>
      <c r="AL12" s="323"/>
      <c r="AM12" s="323"/>
      <c r="AN12" s="323"/>
      <c r="AO12" s="324"/>
      <c r="AP12" s="325"/>
      <c r="AQ12" s="323"/>
      <c r="AR12" s="323"/>
      <c r="AS12" s="323"/>
      <c r="AT12" s="326"/>
      <c r="AU12" s="330"/>
      <c r="AV12" s="323"/>
      <c r="AW12" s="323"/>
      <c r="AX12" s="323"/>
      <c r="AY12" s="324"/>
      <c r="AZ12" s="325"/>
      <c r="BA12" s="323"/>
      <c r="BB12" s="323"/>
      <c r="BC12" s="323"/>
      <c r="BD12" s="326"/>
      <c r="BE12" s="330"/>
      <c r="BF12" s="323"/>
      <c r="BG12" s="323"/>
      <c r="BH12" s="323"/>
      <c r="BI12" s="324"/>
      <c r="BJ12" s="325"/>
      <c r="BK12" s="323"/>
      <c r="BL12" s="323"/>
      <c r="BM12" s="323"/>
      <c r="BN12" s="326"/>
      <c r="BO12" s="330"/>
      <c r="BP12" s="323"/>
      <c r="BQ12" s="323"/>
      <c r="BR12" s="323"/>
      <c r="BS12" s="324"/>
      <c r="BT12" s="325"/>
      <c r="BU12" s="323"/>
      <c r="BV12" s="323"/>
      <c r="BW12" s="323"/>
      <c r="BX12" s="326"/>
      <c r="BY12" s="330"/>
      <c r="BZ12" s="323"/>
      <c r="CA12" s="323"/>
      <c r="CB12" s="323"/>
      <c r="CC12" s="324"/>
      <c r="CD12" s="325"/>
      <c r="CE12" s="323"/>
      <c r="CF12" s="323"/>
      <c r="CG12" s="323"/>
      <c r="CH12" s="324"/>
      <c r="CI12" s="325"/>
      <c r="CJ12" s="323"/>
      <c r="CK12" s="323"/>
      <c r="CL12" s="323"/>
      <c r="CM12" s="326"/>
      <c r="CN12" s="45"/>
      <c r="CO12" s="45"/>
      <c r="CP12" s="45"/>
      <c r="CQ12" s="45"/>
      <c r="CR12" s="45"/>
      <c r="CS12" s="45"/>
      <c r="CT12" s="45"/>
      <c r="CU12" s="45"/>
      <c r="CV12" s="45"/>
      <c r="CW12" s="45"/>
      <c r="CX12" s="46"/>
      <c r="CY12" s="45"/>
      <c r="CZ12" s="45"/>
      <c r="DA12" s="46"/>
      <c r="DB12" s="45"/>
      <c r="DC12" s="46"/>
      <c r="DD12" s="46"/>
      <c r="DE12" s="45"/>
      <c r="DF12" s="46"/>
      <c r="DG12" s="46"/>
      <c r="DH12" s="45"/>
      <c r="DI12" s="45"/>
      <c r="DJ12" s="45"/>
      <c r="DK12" s="45"/>
      <c r="DL12" s="45"/>
      <c r="DM12" s="45"/>
      <c r="DN12" s="45"/>
    </row>
    <row r="13" spans="1:121" ht="25.5" hidden="1" customHeight="1">
      <c r="A13" s="321">
        <v>4506</v>
      </c>
      <c r="B13" s="322" t="s">
        <v>11</v>
      </c>
      <c r="C13" s="322" t="s">
        <v>44</v>
      </c>
      <c r="D13" s="322" t="s">
        <v>76</v>
      </c>
      <c r="E13" s="323" t="s">
        <v>53</v>
      </c>
      <c r="F13" s="322"/>
      <c r="G13" s="323" t="s">
        <v>1580</v>
      </c>
      <c r="H13" s="324" t="s">
        <v>54</v>
      </c>
      <c r="I13" s="325"/>
      <c r="J13" s="323"/>
      <c r="K13" s="326"/>
      <c r="L13" s="327" t="s">
        <v>78</v>
      </c>
      <c r="M13" s="322" t="s">
        <v>77</v>
      </c>
      <c r="N13" s="322"/>
      <c r="O13" s="322" t="s">
        <v>77</v>
      </c>
      <c r="P13" s="328" t="s">
        <v>77</v>
      </c>
      <c r="Q13" s="327"/>
      <c r="R13" s="322"/>
      <c r="S13" s="322"/>
      <c r="T13" s="322"/>
      <c r="U13" s="329" t="s">
        <v>80</v>
      </c>
      <c r="V13" s="321"/>
      <c r="W13" s="323"/>
      <c r="X13" s="323"/>
      <c r="Y13" s="323"/>
      <c r="Z13" s="326"/>
      <c r="AA13" s="330"/>
      <c r="AB13" s="323"/>
      <c r="AC13" s="323"/>
      <c r="AD13" s="323"/>
      <c r="AE13" s="324"/>
      <c r="AF13" s="325"/>
      <c r="AG13" s="323"/>
      <c r="AH13" s="323"/>
      <c r="AI13" s="323"/>
      <c r="AJ13" s="326"/>
      <c r="AK13" s="330"/>
      <c r="AL13" s="323"/>
      <c r="AM13" s="323"/>
      <c r="AN13" s="323"/>
      <c r="AO13" s="324"/>
      <c r="AP13" s="325"/>
      <c r="AQ13" s="323"/>
      <c r="AR13" s="323"/>
      <c r="AS13" s="323"/>
      <c r="AT13" s="326"/>
      <c r="AU13" s="330"/>
      <c r="AV13" s="323"/>
      <c r="AW13" s="323"/>
      <c r="AX13" s="323"/>
      <c r="AY13" s="324"/>
      <c r="AZ13" s="325"/>
      <c r="BA13" s="323"/>
      <c r="BB13" s="323"/>
      <c r="BC13" s="323"/>
      <c r="BD13" s="326"/>
      <c r="BE13" s="330"/>
      <c r="BF13" s="323"/>
      <c r="BG13" s="323"/>
      <c r="BH13" s="323"/>
      <c r="BI13" s="324"/>
      <c r="BJ13" s="325"/>
      <c r="BK13" s="323"/>
      <c r="BL13" s="323"/>
      <c r="BM13" s="323"/>
      <c r="BN13" s="326"/>
      <c r="BO13" s="330"/>
      <c r="BP13" s="323"/>
      <c r="BQ13" s="323"/>
      <c r="BR13" s="323"/>
      <c r="BS13" s="324"/>
      <c r="BT13" s="325"/>
      <c r="BU13" s="323"/>
      <c r="BV13" s="323"/>
      <c r="BW13" s="323"/>
      <c r="BX13" s="326"/>
      <c r="BY13" s="330"/>
      <c r="BZ13" s="323"/>
      <c r="CA13" s="323"/>
      <c r="CB13" s="323"/>
      <c r="CC13" s="324"/>
      <c r="CD13" s="325"/>
      <c r="CE13" s="323"/>
      <c r="CF13" s="323"/>
      <c r="CG13" s="323"/>
      <c r="CH13" s="324"/>
      <c r="CI13" s="325"/>
      <c r="CJ13" s="323"/>
      <c r="CK13" s="323"/>
      <c r="CL13" s="323"/>
      <c r="CM13" s="326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  <c r="DA13" s="45"/>
      <c r="DB13" s="45"/>
      <c r="DC13" s="45"/>
      <c r="DD13" s="45"/>
      <c r="DE13" s="45"/>
      <c r="DF13" s="45"/>
      <c r="DG13" s="46"/>
      <c r="DH13" s="45"/>
      <c r="DI13" s="45"/>
      <c r="DJ13" s="45"/>
      <c r="DK13" s="45"/>
      <c r="DL13" s="45"/>
      <c r="DM13" s="45"/>
      <c r="DN13" s="45"/>
    </row>
    <row r="14" spans="1:121" ht="25.5" hidden="1" customHeight="1" thickBot="1">
      <c r="A14" s="331">
        <v>4507</v>
      </c>
      <c r="B14" s="332" t="s">
        <v>11</v>
      </c>
      <c r="C14" s="332" t="s">
        <v>44</v>
      </c>
      <c r="D14" s="332" t="s">
        <v>76</v>
      </c>
      <c r="E14" s="333" t="s">
        <v>53</v>
      </c>
      <c r="F14" s="332"/>
      <c r="G14" s="333" t="s">
        <v>1582</v>
      </c>
      <c r="H14" s="334" t="s">
        <v>54</v>
      </c>
      <c r="I14" s="335"/>
      <c r="J14" s="333"/>
      <c r="K14" s="336"/>
      <c r="L14" s="337" t="s">
        <v>78</v>
      </c>
      <c r="M14" s="332" t="s">
        <v>77</v>
      </c>
      <c r="N14" s="332"/>
      <c r="O14" s="332" t="s">
        <v>77</v>
      </c>
      <c r="P14" s="338" t="s">
        <v>77</v>
      </c>
      <c r="Q14" s="337"/>
      <c r="R14" s="332"/>
      <c r="S14" s="332"/>
      <c r="T14" s="332"/>
      <c r="U14" s="339" t="s">
        <v>80</v>
      </c>
      <c r="V14" s="331"/>
      <c r="W14" s="333"/>
      <c r="X14" s="333"/>
      <c r="Y14" s="333"/>
      <c r="Z14" s="336"/>
      <c r="AA14" s="340"/>
      <c r="AB14" s="333"/>
      <c r="AC14" s="333"/>
      <c r="AD14" s="333"/>
      <c r="AE14" s="334"/>
      <c r="AF14" s="335"/>
      <c r="AG14" s="333"/>
      <c r="AH14" s="333"/>
      <c r="AI14" s="333"/>
      <c r="AJ14" s="336"/>
      <c r="AK14" s="340"/>
      <c r="AL14" s="333"/>
      <c r="AM14" s="333"/>
      <c r="AN14" s="333"/>
      <c r="AO14" s="334"/>
      <c r="AP14" s="335"/>
      <c r="AQ14" s="333"/>
      <c r="AR14" s="333"/>
      <c r="AS14" s="333"/>
      <c r="AT14" s="336"/>
      <c r="AU14" s="340"/>
      <c r="AV14" s="333"/>
      <c r="AW14" s="333"/>
      <c r="AX14" s="333"/>
      <c r="AY14" s="334"/>
      <c r="AZ14" s="335"/>
      <c r="BA14" s="333"/>
      <c r="BB14" s="333"/>
      <c r="BC14" s="333"/>
      <c r="BD14" s="336"/>
      <c r="BE14" s="340"/>
      <c r="BF14" s="333"/>
      <c r="BG14" s="333"/>
      <c r="BH14" s="333"/>
      <c r="BI14" s="334"/>
      <c r="BJ14" s="335"/>
      <c r="BK14" s="333"/>
      <c r="BL14" s="333"/>
      <c r="BM14" s="333"/>
      <c r="BN14" s="336"/>
      <c r="BO14" s="340"/>
      <c r="BP14" s="333"/>
      <c r="BQ14" s="333"/>
      <c r="BR14" s="333"/>
      <c r="BS14" s="334"/>
      <c r="BT14" s="335"/>
      <c r="BU14" s="333"/>
      <c r="BV14" s="333"/>
      <c r="BW14" s="333"/>
      <c r="BX14" s="336"/>
      <c r="BY14" s="340"/>
      <c r="BZ14" s="333"/>
      <c r="CA14" s="333"/>
      <c r="CB14" s="333"/>
      <c r="CC14" s="334"/>
      <c r="CD14" s="335"/>
      <c r="CE14" s="333"/>
      <c r="CF14" s="333"/>
      <c r="CG14" s="333"/>
      <c r="CH14" s="334"/>
      <c r="CI14" s="335"/>
      <c r="CJ14" s="333"/>
      <c r="CK14" s="333"/>
      <c r="CL14" s="333"/>
      <c r="CM14" s="336"/>
      <c r="CN14" s="45"/>
      <c r="CO14" s="45"/>
      <c r="CP14" s="45"/>
      <c r="CQ14" s="45"/>
      <c r="CR14" s="45"/>
      <c r="CS14" s="45"/>
      <c r="CT14" s="45"/>
      <c r="CU14" s="45"/>
      <c r="CV14" s="45"/>
      <c r="CW14" s="45"/>
      <c r="CX14" s="45"/>
      <c r="CY14" s="45"/>
      <c r="CZ14" s="45"/>
      <c r="DA14" s="45"/>
      <c r="DB14" s="45"/>
      <c r="DC14" s="45"/>
      <c r="DD14" s="45"/>
      <c r="DE14" s="45"/>
      <c r="DF14" s="45"/>
      <c r="DG14" s="46"/>
      <c r="DH14" s="45"/>
      <c r="DI14" s="45"/>
      <c r="DJ14" s="45"/>
      <c r="DK14" s="45"/>
      <c r="DL14" s="45"/>
      <c r="DM14" s="45"/>
      <c r="DN14" s="45"/>
    </row>
    <row r="15" spans="1:121" ht="25.5" customHeight="1">
      <c r="A15" s="341">
        <v>4508</v>
      </c>
      <c r="B15" s="342" t="s">
        <v>11</v>
      </c>
      <c r="C15" s="342" t="s">
        <v>44</v>
      </c>
      <c r="D15" s="342" t="s">
        <v>76</v>
      </c>
      <c r="E15" s="343" t="s">
        <v>53</v>
      </c>
      <c r="F15" s="342"/>
      <c r="G15" s="343" t="s">
        <v>1584</v>
      </c>
      <c r="H15" s="344" t="s">
        <v>54</v>
      </c>
      <c r="I15" s="345"/>
      <c r="J15" s="343"/>
      <c r="K15" s="346"/>
      <c r="L15" s="347" t="s">
        <v>78</v>
      </c>
      <c r="M15" s="342" t="s">
        <v>77</v>
      </c>
      <c r="N15" s="342"/>
      <c r="O15" s="342" t="s">
        <v>77</v>
      </c>
      <c r="P15" s="348" t="s">
        <v>77</v>
      </c>
      <c r="Q15" s="347"/>
      <c r="R15" s="342"/>
      <c r="S15" s="342"/>
      <c r="T15" s="342"/>
      <c r="U15" s="349" t="s">
        <v>80</v>
      </c>
      <c r="V15" s="341"/>
      <c r="W15" s="343"/>
      <c r="X15" s="343"/>
      <c r="Y15" s="343"/>
      <c r="Z15" s="346"/>
      <c r="AA15" s="350"/>
      <c r="AB15" s="343"/>
      <c r="AC15" s="343"/>
      <c r="AD15" s="343"/>
      <c r="AE15" s="344"/>
      <c r="AF15" s="345"/>
      <c r="AG15" s="343"/>
      <c r="AH15" s="343"/>
      <c r="AI15" s="343"/>
      <c r="AJ15" s="346"/>
      <c r="AK15" s="350"/>
      <c r="AL15" s="343"/>
      <c r="AM15" s="343"/>
      <c r="AN15" s="343"/>
      <c r="AO15" s="344"/>
      <c r="AP15" s="345"/>
      <c r="AQ15" s="343"/>
      <c r="AR15" s="343"/>
      <c r="AS15" s="343"/>
      <c r="AT15" s="346"/>
      <c r="AU15" s="350"/>
      <c r="AV15" s="343"/>
      <c r="AW15" s="343"/>
      <c r="AX15" s="343"/>
      <c r="AY15" s="344"/>
      <c r="AZ15" s="345"/>
      <c r="BA15" s="343"/>
      <c r="BB15" s="343"/>
      <c r="BC15" s="343"/>
      <c r="BD15" s="346"/>
      <c r="BE15" s="350"/>
      <c r="BF15" s="343"/>
      <c r="BG15" s="343"/>
      <c r="BH15" s="343"/>
      <c r="BI15" s="344"/>
      <c r="BJ15" s="345"/>
      <c r="BK15" s="343"/>
      <c r="BL15" s="343"/>
      <c r="BM15" s="343"/>
      <c r="BN15" s="346"/>
      <c r="BO15" s="350"/>
      <c r="BP15" s="343"/>
      <c r="BQ15" s="343"/>
      <c r="BR15" s="343"/>
      <c r="BS15" s="344"/>
      <c r="BT15" s="345"/>
      <c r="BU15" s="343"/>
      <c r="BV15" s="343"/>
      <c r="BW15" s="343"/>
      <c r="BX15" s="346"/>
      <c r="BY15" s="350"/>
      <c r="BZ15" s="343"/>
      <c r="CA15" s="343"/>
      <c r="CB15" s="343"/>
      <c r="CC15" s="344"/>
      <c r="CD15" s="345"/>
      <c r="CE15" s="343"/>
      <c r="CF15" s="343"/>
      <c r="CG15" s="343"/>
      <c r="CH15" s="344"/>
      <c r="CI15" s="345"/>
      <c r="CJ15" s="343"/>
      <c r="CK15" s="343"/>
      <c r="CL15" s="343"/>
      <c r="CM15" s="346"/>
      <c r="CN15" s="45"/>
      <c r="CO15" s="45"/>
      <c r="CP15" s="46"/>
      <c r="CQ15" s="45"/>
      <c r="CR15" s="45"/>
      <c r="CS15" s="45"/>
      <c r="CT15" s="45"/>
      <c r="CU15" s="45"/>
      <c r="CV15" s="45"/>
      <c r="CW15" s="45"/>
      <c r="CX15" s="46"/>
      <c r="CY15" s="45"/>
      <c r="CZ15" s="45"/>
      <c r="DA15" s="46"/>
      <c r="DB15" s="45"/>
      <c r="DC15" s="46"/>
      <c r="DD15" s="46"/>
      <c r="DE15" s="45"/>
      <c r="DF15" s="46"/>
      <c r="DG15" s="46"/>
      <c r="DH15" s="45"/>
      <c r="DI15" s="46"/>
      <c r="DJ15" s="46"/>
      <c r="DK15" s="45"/>
      <c r="DL15" s="46"/>
      <c r="DM15" s="45"/>
      <c r="DN15" s="45"/>
    </row>
    <row r="16" spans="1:121" ht="25.5" customHeight="1">
      <c r="A16" s="321">
        <v>4509</v>
      </c>
      <c r="B16" s="322" t="s">
        <v>11</v>
      </c>
      <c r="C16" s="322" t="s">
        <v>44</v>
      </c>
      <c r="D16" s="322" t="s">
        <v>76</v>
      </c>
      <c r="E16" s="323" t="s">
        <v>53</v>
      </c>
      <c r="F16" s="322"/>
      <c r="G16" s="323" t="s">
        <v>1586</v>
      </c>
      <c r="H16" s="324" t="s">
        <v>54</v>
      </c>
      <c r="I16" s="325"/>
      <c r="J16" s="323"/>
      <c r="K16" s="326"/>
      <c r="L16" s="327" t="s">
        <v>78</v>
      </c>
      <c r="M16" s="322" t="s">
        <v>77</v>
      </c>
      <c r="N16" s="322"/>
      <c r="O16" s="322" t="s">
        <v>77</v>
      </c>
      <c r="P16" s="328" t="s">
        <v>77</v>
      </c>
      <c r="Q16" s="327"/>
      <c r="R16" s="322"/>
      <c r="S16" s="322"/>
      <c r="T16" s="322"/>
      <c r="U16" s="329" t="s">
        <v>80</v>
      </c>
      <c r="V16" s="321"/>
      <c r="W16" s="323"/>
      <c r="X16" s="323"/>
      <c r="Y16" s="323"/>
      <c r="Z16" s="326"/>
      <c r="AA16" s="330"/>
      <c r="AB16" s="323"/>
      <c r="AC16" s="323"/>
      <c r="AD16" s="323"/>
      <c r="AE16" s="324"/>
      <c r="AF16" s="325"/>
      <c r="AG16" s="323"/>
      <c r="AH16" s="323"/>
      <c r="AI16" s="323"/>
      <c r="AJ16" s="326"/>
      <c r="AK16" s="330"/>
      <c r="AL16" s="323"/>
      <c r="AM16" s="323"/>
      <c r="AN16" s="323"/>
      <c r="AO16" s="324"/>
      <c r="AP16" s="325"/>
      <c r="AQ16" s="323"/>
      <c r="AR16" s="323"/>
      <c r="AS16" s="323"/>
      <c r="AT16" s="326"/>
      <c r="AU16" s="330"/>
      <c r="AV16" s="323"/>
      <c r="AW16" s="323"/>
      <c r="AX16" s="323"/>
      <c r="AY16" s="324"/>
      <c r="AZ16" s="325"/>
      <c r="BA16" s="323"/>
      <c r="BB16" s="323"/>
      <c r="BC16" s="323"/>
      <c r="BD16" s="326"/>
      <c r="BE16" s="330"/>
      <c r="BF16" s="323"/>
      <c r="BG16" s="323"/>
      <c r="BH16" s="323"/>
      <c r="BI16" s="324"/>
      <c r="BJ16" s="325"/>
      <c r="BK16" s="323"/>
      <c r="BL16" s="323"/>
      <c r="BM16" s="323"/>
      <c r="BN16" s="326"/>
      <c r="BO16" s="330"/>
      <c r="BP16" s="323"/>
      <c r="BQ16" s="323"/>
      <c r="BR16" s="323"/>
      <c r="BS16" s="324"/>
      <c r="BT16" s="325"/>
      <c r="BU16" s="323"/>
      <c r="BV16" s="323"/>
      <c r="BW16" s="323"/>
      <c r="BX16" s="326"/>
      <c r="BY16" s="330"/>
      <c r="BZ16" s="323"/>
      <c r="CA16" s="323"/>
      <c r="CB16" s="323"/>
      <c r="CC16" s="324"/>
      <c r="CD16" s="325"/>
      <c r="CE16" s="323"/>
      <c r="CF16" s="323"/>
      <c r="CG16" s="323"/>
      <c r="CH16" s="324"/>
      <c r="CI16" s="325"/>
      <c r="CJ16" s="323"/>
      <c r="CK16" s="323"/>
      <c r="CL16" s="323"/>
      <c r="CM16" s="326"/>
      <c r="CN16" s="45"/>
      <c r="CO16" s="45"/>
      <c r="CP16" s="45"/>
      <c r="CQ16" s="45"/>
      <c r="CR16" s="45"/>
      <c r="CS16" s="45"/>
      <c r="CT16" s="45"/>
      <c r="CU16" s="45"/>
      <c r="CV16" s="45"/>
      <c r="CW16" s="45"/>
      <c r="CX16" s="45"/>
      <c r="CY16" s="45"/>
      <c r="CZ16" s="45"/>
      <c r="DA16" s="45"/>
      <c r="DB16" s="45"/>
      <c r="DC16" s="45"/>
      <c r="DD16" s="45"/>
      <c r="DE16" s="45"/>
      <c r="DF16" s="45"/>
      <c r="DG16" s="45"/>
      <c r="DH16" s="45"/>
      <c r="DI16" s="45"/>
      <c r="DJ16" s="45"/>
      <c r="DK16" s="45"/>
      <c r="DL16" s="45"/>
      <c r="DM16" s="45"/>
      <c r="DN16" s="45"/>
    </row>
    <row r="17" spans="1:118" ht="25.5" customHeight="1">
      <c r="A17" s="321">
        <v>4510</v>
      </c>
      <c r="B17" s="322" t="s">
        <v>11</v>
      </c>
      <c r="C17" s="322" t="s">
        <v>44</v>
      </c>
      <c r="D17" s="322" t="s">
        <v>76</v>
      </c>
      <c r="E17" s="323" t="s">
        <v>53</v>
      </c>
      <c r="F17" s="322"/>
      <c r="G17" s="323" t="s">
        <v>1588</v>
      </c>
      <c r="H17" s="324" t="s">
        <v>54</v>
      </c>
      <c r="I17" s="325"/>
      <c r="J17" s="323"/>
      <c r="K17" s="326"/>
      <c r="L17" s="327" t="s">
        <v>78</v>
      </c>
      <c r="M17" s="322" t="s">
        <v>77</v>
      </c>
      <c r="N17" s="322"/>
      <c r="O17" s="322" t="s">
        <v>77</v>
      </c>
      <c r="P17" s="328" t="s">
        <v>77</v>
      </c>
      <c r="Q17" s="327"/>
      <c r="R17" s="322"/>
      <c r="S17" s="322"/>
      <c r="T17" s="322"/>
      <c r="U17" s="329" t="s">
        <v>80</v>
      </c>
      <c r="V17" s="321"/>
      <c r="W17" s="323"/>
      <c r="X17" s="323"/>
      <c r="Y17" s="323"/>
      <c r="Z17" s="326"/>
      <c r="AA17" s="330"/>
      <c r="AB17" s="323"/>
      <c r="AC17" s="323"/>
      <c r="AD17" s="323"/>
      <c r="AE17" s="324"/>
      <c r="AF17" s="325"/>
      <c r="AG17" s="323"/>
      <c r="AH17" s="323"/>
      <c r="AI17" s="323"/>
      <c r="AJ17" s="326"/>
      <c r="AK17" s="330"/>
      <c r="AL17" s="323"/>
      <c r="AM17" s="323"/>
      <c r="AN17" s="323"/>
      <c r="AO17" s="324"/>
      <c r="AP17" s="325"/>
      <c r="AQ17" s="323"/>
      <c r="AR17" s="323"/>
      <c r="AS17" s="323"/>
      <c r="AT17" s="326"/>
      <c r="AU17" s="330"/>
      <c r="AV17" s="323"/>
      <c r="AW17" s="323"/>
      <c r="AX17" s="323"/>
      <c r="AY17" s="324"/>
      <c r="AZ17" s="325"/>
      <c r="BA17" s="323"/>
      <c r="BB17" s="323"/>
      <c r="BC17" s="323"/>
      <c r="BD17" s="326"/>
      <c r="BE17" s="330"/>
      <c r="BF17" s="323"/>
      <c r="BG17" s="323"/>
      <c r="BH17" s="323"/>
      <c r="BI17" s="324"/>
      <c r="BJ17" s="325"/>
      <c r="BK17" s="323"/>
      <c r="BL17" s="323"/>
      <c r="BM17" s="323"/>
      <c r="BN17" s="326"/>
      <c r="BO17" s="330"/>
      <c r="BP17" s="323"/>
      <c r="BQ17" s="323"/>
      <c r="BR17" s="323"/>
      <c r="BS17" s="324"/>
      <c r="BT17" s="325"/>
      <c r="BU17" s="323"/>
      <c r="BV17" s="323"/>
      <c r="BW17" s="323"/>
      <c r="BX17" s="326"/>
      <c r="BY17" s="330"/>
      <c r="BZ17" s="323"/>
      <c r="CA17" s="323"/>
      <c r="CB17" s="323"/>
      <c r="CC17" s="324"/>
      <c r="CD17" s="325"/>
      <c r="CE17" s="323"/>
      <c r="CF17" s="323"/>
      <c r="CG17" s="323"/>
      <c r="CH17" s="324"/>
      <c r="CI17" s="325"/>
      <c r="CJ17" s="323"/>
      <c r="CK17" s="323"/>
      <c r="CL17" s="323"/>
      <c r="CM17" s="326"/>
      <c r="CN17" s="45"/>
      <c r="CO17" s="45"/>
      <c r="CP17" s="45"/>
      <c r="CQ17" s="45"/>
      <c r="CR17" s="45"/>
      <c r="CS17" s="45"/>
      <c r="CT17" s="45"/>
      <c r="CU17" s="45"/>
      <c r="CV17" s="45"/>
      <c r="CW17" s="45"/>
      <c r="CX17" s="45"/>
      <c r="CY17" s="45"/>
      <c r="CZ17" s="45"/>
      <c r="DA17" s="45"/>
      <c r="DB17" s="45"/>
      <c r="DC17" s="45"/>
      <c r="DD17" s="45"/>
      <c r="DE17" s="45"/>
      <c r="DF17" s="45"/>
      <c r="DG17" s="45"/>
      <c r="DH17" s="45"/>
      <c r="DI17" s="45"/>
      <c r="DJ17" s="45"/>
      <c r="DK17" s="45"/>
      <c r="DL17" s="45"/>
      <c r="DM17" s="45"/>
      <c r="DN17" s="45"/>
    </row>
    <row r="18" spans="1:118" ht="25.5" customHeight="1">
      <c r="A18" s="321">
        <v>4511</v>
      </c>
      <c r="B18" s="322" t="s">
        <v>11</v>
      </c>
      <c r="C18" s="322" t="s">
        <v>44</v>
      </c>
      <c r="D18" s="322" t="s">
        <v>76</v>
      </c>
      <c r="E18" s="323" t="s">
        <v>53</v>
      </c>
      <c r="F18" s="322"/>
      <c r="G18" s="323" t="s">
        <v>1590</v>
      </c>
      <c r="H18" s="324" t="s">
        <v>54</v>
      </c>
      <c r="I18" s="325"/>
      <c r="J18" s="323"/>
      <c r="K18" s="326"/>
      <c r="L18" s="327" t="s">
        <v>78</v>
      </c>
      <c r="M18" s="322" t="s">
        <v>77</v>
      </c>
      <c r="N18" s="322"/>
      <c r="O18" s="322" t="s">
        <v>77</v>
      </c>
      <c r="P18" s="328" t="s">
        <v>77</v>
      </c>
      <c r="Q18" s="327"/>
      <c r="R18" s="322"/>
      <c r="S18" s="322"/>
      <c r="T18" s="322"/>
      <c r="U18" s="329" t="s">
        <v>80</v>
      </c>
      <c r="V18" s="321"/>
      <c r="W18" s="323"/>
      <c r="X18" s="323"/>
      <c r="Y18" s="323"/>
      <c r="Z18" s="326"/>
      <c r="AA18" s="330"/>
      <c r="AB18" s="323"/>
      <c r="AC18" s="323"/>
      <c r="AD18" s="323"/>
      <c r="AE18" s="324"/>
      <c r="AF18" s="325"/>
      <c r="AG18" s="323"/>
      <c r="AH18" s="323"/>
      <c r="AI18" s="323"/>
      <c r="AJ18" s="326"/>
      <c r="AK18" s="330"/>
      <c r="AL18" s="323"/>
      <c r="AM18" s="323"/>
      <c r="AN18" s="323"/>
      <c r="AO18" s="324"/>
      <c r="AP18" s="325"/>
      <c r="AQ18" s="323"/>
      <c r="AR18" s="323"/>
      <c r="AS18" s="323"/>
      <c r="AT18" s="326"/>
      <c r="AU18" s="330"/>
      <c r="AV18" s="323"/>
      <c r="AW18" s="323"/>
      <c r="AX18" s="323"/>
      <c r="AY18" s="324"/>
      <c r="AZ18" s="325"/>
      <c r="BA18" s="323"/>
      <c r="BB18" s="323"/>
      <c r="BC18" s="323"/>
      <c r="BD18" s="326"/>
      <c r="BE18" s="330"/>
      <c r="BF18" s="323"/>
      <c r="BG18" s="323"/>
      <c r="BH18" s="323"/>
      <c r="BI18" s="324"/>
      <c r="BJ18" s="325"/>
      <c r="BK18" s="323"/>
      <c r="BL18" s="323"/>
      <c r="BM18" s="323"/>
      <c r="BN18" s="326"/>
      <c r="BO18" s="330"/>
      <c r="BP18" s="323"/>
      <c r="BQ18" s="323"/>
      <c r="BR18" s="323"/>
      <c r="BS18" s="324"/>
      <c r="BT18" s="325"/>
      <c r="BU18" s="323"/>
      <c r="BV18" s="323"/>
      <c r="BW18" s="323"/>
      <c r="BX18" s="326"/>
      <c r="BY18" s="330"/>
      <c r="BZ18" s="323"/>
      <c r="CA18" s="323"/>
      <c r="CB18" s="323"/>
      <c r="CC18" s="324"/>
      <c r="CD18" s="325"/>
      <c r="CE18" s="323"/>
      <c r="CF18" s="323"/>
      <c r="CG18" s="323"/>
      <c r="CH18" s="324"/>
      <c r="CI18" s="325"/>
      <c r="CJ18" s="323"/>
      <c r="CK18" s="323"/>
      <c r="CL18" s="323"/>
      <c r="CM18" s="326"/>
      <c r="CN18" s="45"/>
      <c r="CO18" s="45"/>
      <c r="CP18" s="45"/>
      <c r="CQ18" s="45"/>
      <c r="CR18" s="45"/>
      <c r="CS18" s="45"/>
      <c r="CT18" s="45"/>
      <c r="CU18" s="45"/>
      <c r="CV18" s="45"/>
      <c r="CW18" s="45"/>
      <c r="CX18" s="45"/>
      <c r="CY18" s="45"/>
      <c r="CZ18" s="45"/>
      <c r="DA18" s="45"/>
      <c r="DB18" s="45"/>
      <c r="DC18" s="45"/>
      <c r="DD18" s="45"/>
      <c r="DE18" s="45"/>
      <c r="DF18" s="45"/>
      <c r="DG18" s="45"/>
      <c r="DH18" s="45"/>
      <c r="DI18" s="45"/>
      <c r="DJ18" s="45"/>
      <c r="DK18" s="45"/>
      <c r="DL18" s="45"/>
      <c r="DM18" s="45"/>
      <c r="DN18" s="45"/>
    </row>
    <row r="19" spans="1:118" ht="25.5" customHeight="1" thickBot="1">
      <c r="A19" s="351">
        <v>4512</v>
      </c>
      <c r="B19" s="352" t="s">
        <v>11</v>
      </c>
      <c r="C19" s="352" t="s">
        <v>44</v>
      </c>
      <c r="D19" s="352" t="s">
        <v>76</v>
      </c>
      <c r="E19" s="353" t="s">
        <v>53</v>
      </c>
      <c r="F19" s="352"/>
      <c r="G19" s="353" t="s">
        <v>1592</v>
      </c>
      <c r="H19" s="354" t="s">
        <v>54</v>
      </c>
      <c r="I19" s="355"/>
      <c r="J19" s="353"/>
      <c r="K19" s="356"/>
      <c r="L19" s="357" t="s">
        <v>78</v>
      </c>
      <c r="M19" s="352" t="s">
        <v>77</v>
      </c>
      <c r="N19" s="352"/>
      <c r="O19" s="352" t="s">
        <v>77</v>
      </c>
      <c r="P19" s="358" t="s">
        <v>77</v>
      </c>
      <c r="Q19" s="357"/>
      <c r="R19" s="352"/>
      <c r="S19" s="352"/>
      <c r="T19" s="352"/>
      <c r="U19" s="359" t="s">
        <v>80</v>
      </c>
      <c r="V19" s="351"/>
      <c r="W19" s="353"/>
      <c r="X19" s="353"/>
      <c r="Y19" s="353"/>
      <c r="Z19" s="356"/>
      <c r="AA19" s="360"/>
      <c r="AB19" s="353"/>
      <c r="AC19" s="353"/>
      <c r="AD19" s="353"/>
      <c r="AE19" s="354"/>
      <c r="AF19" s="355"/>
      <c r="AG19" s="353"/>
      <c r="AH19" s="353"/>
      <c r="AI19" s="353"/>
      <c r="AJ19" s="356"/>
      <c r="AK19" s="360"/>
      <c r="AL19" s="353"/>
      <c r="AM19" s="353"/>
      <c r="AN19" s="353"/>
      <c r="AO19" s="354"/>
      <c r="AP19" s="355"/>
      <c r="AQ19" s="353"/>
      <c r="AR19" s="353"/>
      <c r="AS19" s="353"/>
      <c r="AT19" s="356"/>
      <c r="AU19" s="360"/>
      <c r="AV19" s="353"/>
      <c r="AW19" s="353"/>
      <c r="AX19" s="353"/>
      <c r="AY19" s="354"/>
      <c r="AZ19" s="355"/>
      <c r="BA19" s="353"/>
      <c r="BB19" s="353"/>
      <c r="BC19" s="353"/>
      <c r="BD19" s="356"/>
      <c r="BE19" s="360"/>
      <c r="BF19" s="353"/>
      <c r="BG19" s="353"/>
      <c r="BH19" s="353"/>
      <c r="BI19" s="354"/>
      <c r="BJ19" s="355"/>
      <c r="BK19" s="353"/>
      <c r="BL19" s="353"/>
      <c r="BM19" s="353"/>
      <c r="BN19" s="356"/>
      <c r="BO19" s="360"/>
      <c r="BP19" s="353"/>
      <c r="BQ19" s="353"/>
      <c r="BR19" s="353"/>
      <c r="BS19" s="354"/>
      <c r="BT19" s="355"/>
      <c r="BU19" s="353"/>
      <c r="BV19" s="353"/>
      <c r="BW19" s="353"/>
      <c r="BX19" s="356"/>
      <c r="BY19" s="360"/>
      <c r="BZ19" s="353"/>
      <c r="CA19" s="353"/>
      <c r="CB19" s="353"/>
      <c r="CC19" s="354"/>
      <c r="CD19" s="355"/>
      <c r="CE19" s="353"/>
      <c r="CF19" s="353"/>
      <c r="CG19" s="353"/>
      <c r="CH19" s="354"/>
      <c r="CI19" s="355"/>
      <c r="CJ19" s="353"/>
      <c r="CK19" s="353"/>
      <c r="CL19" s="353"/>
      <c r="CM19" s="356"/>
      <c r="CN19" s="45"/>
      <c r="CO19" s="45"/>
      <c r="CP19" s="45"/>
      <c r="CQ19" s="45"/>
      <c r="CR19" s="45"/>
      <c r="CS19" s="45"/>
      <c r="CT19" s="45"/>
      <c r="CU19" s="45"/>
      <c r="CV19" s="45"/>
      <c r="CW19" s="45"/>
      <c r="CX19" s="45"/>
      <c r="CY19" s="45"/>
      <c r="CZ19" s="45"/>
      <c r="DA19" s="45"/>
      <c r="DB19" s="45"/>
      <c r="DC19" s="45"/>
      <c r="DD19" s="45"/>
      <c r="DE19" s="45"/>
      <c r="DF19" s="45"/>
      <c r="DG19" s="45"/>
      <c r="DH19" s="45"/>
      <c r="DI19" s="45"/>
      <c r="DJ19" s="45"/>
      <c r="DK19" s="45"/>
      <c r="DL19" s="45"/>
      <c r="DM19" s="45"/>
      <c r="DN19" s="45"/>
    </row>
    <row r="20" spans="1:118" ht="25.5" customHeight="1">
      <c r="A20" s="361">
        <v>4513</v>
      </c>
      <c r="B20" s="362" t="s">
        <v>11</v>
      </c>
      <c r="C20" s="362" t="s">
        <v>44</v>
      </c>
      <c r="D20" s="362" t="s">
        <v>76</v>
      </c>
      <c r="E20" s="363" t="s">
        <v>53</v>
      </c>
      <c r="F20" s="362"/>
      <c r="G20" s="363" t="s">
        <v>1594</v>
      </c>
      <c r="H20" s="364" t="s">
        <v>54</v>
      </c>
      <c r="I20" s="365"/>
      <c r="J20" s="363"/>
      <c r="K20" s="366"/>
      <c r="L20" s="367" t="s">
        <v>78</v>
      </c>
      <c r="M20" s="362" t="s">
        <v>77</v>
      </c>
      <c r="N20" s="362"/>
      <c r="O20" s="362" t="s">
        <v>77</v>
      </c>
      <c r="P20" s="368" t="s">
        <v>77</v>
      </c>
      <c r="Q20" s="367"/>
      <c r="R20" s="362"/>
      <c r="S20" s="362"/>
      <c r="T20" s="362"/>
      <c r="U20" s="369" t="s">
        <v>80</v>
      </c>
      <c r="V20" s="361"/>
      <c r="W20" s="363"/>
      <c r="X20" s="363"/>
      <c r="Y20" s="363"/>
      <c r="Z20" s="366"/>
      <c r="AA20" s="370"/>
      <c r="AB20" s="363"/>
      <c r="AC20" s="363"/>
      <c r="AD20" s="363"/>
      <c r="AE20" s="364"/>
      <c r="AF20" s="365"/>
      <c r="AG20" s="363"/>
      <c r="AH20" s="363"/>
      <c r="AI20" s="363"/>
      <c r="AJ20" s="366"/>
      <c r="AK20" s="370"/>
      <c r="AL20" s="363"/>
      <c r="AM20" s="363"/>
      <c r="AN20" s="363"/>
      <c r="AO20" s="364"/>
      <c r="AP20" s="365"/>
      <c r="AQ20" s="363"/>
      <c r="AR20" s="363"/>
      <c r="AS20" s="363"/>
      <c r="AT20" s="366"/>
      <c r="AU20" s="370"/>
      <c r="AV20" s="363"/>
      <c r="AW20" s="363"/>
      <c r="AX20" s="363"/>
      <c r="AY20" s="364"/>
      <c r="AZ20" s="365"/>
      <c r="BA20" s="363"/>
      <c r="BB20" s="363"/>
      <c r="BC20" s="363"/>
      <c r="BD20" s="366"/>
      <c r="BE20" s="370"/>
      <c r="BF20" s="363"/>
      <c r="BG20" s="363"/>
      <c r="BH20" s="363"/>
      <c r="BI20" s="364"/>
      <c r="BJ20" s="365"/>
      <c r="BK20" s="363"/>
      <c r="BL20" s="363"/>
      <c r="BM20" s="363"/>
      <c r="BN20" s="366"/>
      <c r="BO20" s="370"/>
      <c r="BP20" s="363"/>
      <c r="BQ20" s="363"/>
      <c r="BR20" s="363"/>
      <c r="BS20" s="364"/>
      <c r="BT20" s="365"/>
      <c r="BU20" s="363"/>
      <c r="BV20" s="363"/>
      <c r="BW20" s="363"/>
      <c r="BX20" s="366"/>
      <c r="BY20" s="370"/>
      <c r="BZ20" s="363"/>
      <c r="CA20" s="363"/>
      <c r="CB20" s="363"/>
      <c r="CC20" s="364"/>
      <c r="CD20" s="365"/>
      <c r="CE20" s="363"/>
      <c r="CF20" s="363"/>
      <c r="CG20" s="363"/>
      <c r="CH20" s="364"/>
      <c r="CI20" s="365"/>
      <c r="CJ20" s="363"/>
      <c r="CK20" s="363"/>
      <c r="CL20" s="363"/>
      <c r="CM20" s="366"/>
      <c r="CN20" s="45"/>
      <c r="CO20" s="45"/>
      <c r="CP20" s="45"/>
      <c r="CQ20" s="45"/>
      <c r="CR20" s="45"/>
      <c r="CS20" s="45"/>
      <c r="CT20" s="45"/>
      <c r="CU20" s="45"/>
      <c r="CV20" s="45"/>
      <c r="CW20" s="45"/>
      <c r="CX20" s="46"/>
      <c r="CY20" s="45"/>
      <c r="CZ20" s="45"/>
      <c r="DA20" s="46"/>
      <c r="DB20" s="45"/>
      <c r="DC20" s="45"/>
      <c r="DD20" s="45"/>
      <c r="DE20" s="45"/>
      <c r="DF20" s="46"/>
      <c r="DG20" s="45"/>
      <c r="DH20" s="45"/>
      <c r="DI20" s="45"/>
      <c r="DJ20" s="45"/>
      <c r="DK20" s="45"/>
      <c r="DL20" s="45"/>
      <c r="DM20" s="45"/>
      <c r="DN20" s="45"/>
    </row>
    <row r="21" spans="1:118" ht="25.5" customHeight="1">
      <c r="A21" s="321">
        <v>4514</v>
      </c>
      <c r="B21" s="322" t="s">
        <v>11</v>
      </c>
      <c r="C21" s="322" t="s">
        <v>44</v>
      </c>
      <c r="D21" s="322" t="s">
        <v>76</v>
      </c>
      <c r="E21" s="323" t="s">
        <v>53</v>
      </c>
      <c r="F21" s="322"/>
      <c r="G21" s="323" t="s">
        <v>1596</v>
      </c>
      <c r="H21" s="324" t="s">
        <v>54</v>
      </c>
      <c r="I21" s="325"/>
      <c r="J21" s="323"/>
      <c r="K21" s="326"/>
      <c r="L21" s="327" t="s">
        <v>78</v>
      </c>
      <c r="M21" s="322" t="s">
        <v>77</v>
      </c>
      <c r="N21" s="322"/>
      <c r="O21" s="322" t="s">
        <v>77</v>
      </c>
      <c r="P21" s="328" t="s">
        <v>77</v>
      </c>
      <c r="Q21" s="327"/>
      <c r="R21" s="322"/>
      <c r="S21" s="322"/>
      <c r="T21" s="322"/>
      <c r="U21" s="329" t="s">
        <v>80</v>
      </c>
      <c r="V21" s="321"/>
      <c r="W21" s="323"/>
      <c r="X21" s="323"/>
      <c r="Y21" s="323"/>
      <c r="Z21" s="326"/>
      <c r="AA21" s="330"/>
      <c r="AB21" s="323"/>
      <c r="AC21" s="323"/>
      <c r="AD21" s="323"/>
      <c r="AE21" s="324"/>
      <c r="AF21" s="325"/>
      <c r="AG21" s="323"/>
      <c r="AH21" s="323"/>
      <c r="AI21" s="323"/>
      <c r="AJ21" s="326"/>
      <c r="AK21" s="330"/>
      <c r="AL21" s="323"/>
      <c r="AM21" s="323"/>
      <c r="AN21" s="323"/>
      <c r="AO21" s="324"/>
      <c r="AP21" s="325"/>
      <c r="AQ21" s="323"/>
      <c r="AR21" s="323"/>
      <c r="AS21" s="323"/>
      <c r="AT21" s="326"/>
      <c r="AU21" s="330"/>
      <c r="AV21" s="323"/>
      <c r="AW21" s="323"/>
      <c r="AX21" s="323"/>
      <c r="AY21" s="324"/>
      <c r="AZ21" s="325"/>
      <c r="BA21" s="323"/>
      <c r="BB21" s="323"/>
      <c r="BC21" s="323"/>
      <c r="BD21" s="326"/>
      <c r="BE21" s="330"/>
      <c r="BF21" s="323"/>
      <c r="BG21" s="323"/>
      <c r="BH21" s="323"/>
      <c r="BI21" s="324"/>
      <c r="BJ21" s="325"/>
      <c r="BK21" s="323"/>
      <c r="BL21" s="323"/>
      <c r="BM21" s="323"/>
      <c r="BN21" s="326"/>
      <c r="BO21" s="330"/>
      <c r="BP21" s="323"/>
      <c r="BQ21" s="323"/>
      <c r="BR21" s="323"/>
      <c r="BS21" s="324"/>
      <c r="BT21" s="325"/>
      <c r="BU21" s="323"/>
      <c r="BV21" s="323"/>
      <c r="BW21" s="323"/>
      <c r="BX21" s="326"/>
      <c r="BY21" s="330"/>
      <c r="BZ21" s="323"/>
      <c r="CA21" s="323"/>
      <c r="CB21" s="323"/>
      <c r="CC21" s="324"/>
      <c r="CD21" s="325"/>
      <c r="CE21" s="323"/>
      <c r="CF21" s="323"/>
      <c r="CG21" s="323"/>
      <c r="CH21" s="324"/>
      <c r="CI21" s="325"/>
      <c r="CJ21" s="323"/>
      <c r="CK21" s="323"/>
      <c r="CL21" s="323"/>
      <c r="CM21" s="326"/>
    </row>
    <row r="22" spans="1:118" ht="25.5" customHeight="1">
      <c r="A22" s="321">
        <v>4515</v>
      </c>
      <c r="B22" s="322" t="s">
        <v>11</v>
      </c>
      <c r="C22" s="322" t="s">
        <v>44</v>
      </c>
      <c r="D22" s="322" t="s">
        <v>76</v>
      </c>
      <c r="E22" s="323" t="s">
        <v>53</v>
      </c>
      <c r="F22" s="322"/>
      <c r="G22" s="323" t="s">
        <v>1598</v>
      </c>
      <c r="H22" s="371" t="s">
        <v>54</v>
      </c>
      <c r="I22" s="325"/>
      <c r="J22" s="323"/>
      <c r="K22" s="326"/>
      <c r="L22" s="327" t="s">
        <v>78</v>
      </c>
      <c r="M22" s="322" t="s">
        <v>77</v>
      </c>
      <c r="N22" s="322"/>
      <c r="O22" s="322" t="s">
        <v>77</v>
      </c>
      <c r="P22" s="328" t="s">
        <v>77</v>
      </c>
      <c r="Q22" s="327"/>
      <c r="R22" s="322"/>
      <c r="S22" s="322"/>
      <c r="T22" s="322"/>
      <c r="U22" s="329" t="s">
        <v>80</v>
      </c>
      <c r="V22" s="321"/>
      <c r="W22" s="372"/>
      <c r="X22" s="372"/>
      <c r="Y22" s="372"/>
      <c r="Z22" s="373"/>
      <c r="AA22" s="374"/>
      <c r="AB22" s="372"/>
      <c r="AC22" s="372"/>
      <c r="AD22" s="372"/>
      <c r="AE22" s="371"/>
      <c r="AF22" s="375"/>
      <c r="AG22" s="372"/>
      <c r="AH22" s="372"/>
      <c r="AI22" s="372"/>
      <c r="AJ22" s="373"/>
      <c r="AK22" s="374"/>
      <c r="AL22" s="372"/>
      <c r="AM22" s="372"/>
      <c r="AN22" s="372"/>
      <c r="AO22" s="371"/>
      <c r="AP22" s="375"/>
      <c r="AQ22" s="372"/>
      <c r="AR22" s="372"/>
      <c r="AS22" s="372"/>
      <c r="AT22" s="373"/>
      <c r="AU22" s="374"/>
      <c r="AV22" s="372"/>
      <c r="AW22" s="372"/>
      <c r="AX22" s="372"/>
      <c r="AY22" s="371"/>
      <c r="AZ22" s="375"/>
      <c r="BA22" s="372"/>
      <c r="BB22" s="372"/>
      <c r="BC22" s="372"/>
      <c r="BD22" s="373"/>
      <c r="BE22" s="374"/>
      <c r="BF22" s="372"/>
      <c r="BG22" s="372"/>
      <c r="BH22" s="372"/>
      <c r="BI22" s="371"/>
      <c r="BJ22" s="375"/>
      <c r="BK22" s="372"/>
      <c r="BL22" s="372"/>
      <c r="BM22" s="372"/>
      <c r="BN22" s="373"/>
      <c r="BO22" s="374"/>
      <c r="BP22" s="372"/>
      <c r="BQ22" s="372"/>
      <c r="BR22" s="372"/>
      <c r="BS22" s="371"/>
      <c r="BT22" s="375"/>
      <c r="BU22" s="372"/>
      <c r="BV22" s="372"/>
      <c r="BW22" s="372"/>
      <c r="BX22" s="373"/>
      <c r="BY22" s="374"/>
      <c r="BZ22" s="372"/>
      <c r="CA22" s="372"/>
      <c r="CB22" s="372"/>
      <c r="CC22" s="371"/>
      <c r="CD22" s="375"/>
      <c r="CE22" s="372"/>
      <c r="CF22" s="372"/>
      <c r="CG22" s="372"/>
      <c r="CH22" s="371"/>
      <c r="CI22" s="375"/>
      <c r="CJ22" s="372"/>
      <c r="CK22" s="372"/>
      <c r="CL22" s="372"/>
      <c r="CM22" s="373"/>
    </row>
    <row r="23" spans="1:118" ht="25.5" customHeight="1">
      <c r="A23" s="321">
        <v>4516</v>
      </c>
      <c r="B23" s="322" t="s">
        <v>11</v>
      </c>
      <c r="C23" s="322" t="s">
        <v>44</v>
      </c>
      <c r="D23" s="322" t="s">
        <v>76</v>
      </c>
      <c r="E23" s="323" t="s">
        <v>53</v>
      </c>
      <c r="F23" s="322"/>
      <c r="G23" s="323" t="s">
        <v>1600</v>
      </c>
      <c r="H23" s="371" t="s">
        <v>54</v>
      </c>
      <c r="I23" s="325"/>
      <c r="J23" s="323"/>
      <c r="K23" s="326"/>
      <c r="L23" s="327" t="s">
        <v>78</v>
      </c>
      <c r="M23" s="322" t="s">
        <v>77</v>
      </c>
      <c r="N23" s="322"/>
      <c r="O23" s="322" t="s">
        <v>77</v>
      </c>
      <c r="P23" s="328" t="s">
        <v>77</v>
      </c>
      <c r="Q23" s="327"/>
      <c r="R23" s="322"/>
      <c r="S23" s="322"/>
      <c r="T23" s="322"/>
      <c r="U23" s="329" t="s">
        <v>80</v>
      </c>
      <c r="V23" s="321"/>
      <c r="W23" s="372"/>
      <c r="X23" s="372"/>
      <c r="Y23" s="372"/>
      <c r="Z23" s="373"/>
      <c r="AA23" s="374"/>
      <c r="AB23" s="372"/>
      <c r="AC23" s="372"/>
      <c r="AD23" s="372"/>
      <c r="AE23" s="371"/>
      <c r="AF23" s="375"/>
      <c r="AG23" s="372"/>
      <c r="AH23" s="372"/>
      <c r="AI23" s="372"/>
      <c r="AJ23" s="373"/>
      <c r="AK23" s="374"/>
      <c r="AL23" s="372"/>
      <c r="AM23" s="372"/>
      <c r="AN23" s="372"/>
      <c r="AO23" s="371"/>
      <c r="AP23" s="375"/>
      <c r="AQ23" s="372"/>
      <c r="AR23" s="372"/>
      <c r="AS23" s="372"/>
      <c r="AT23" s="373"/>
      <c r="AU23" s="374"/>
      <c r="AV23" s="372"/>
      <c r="AW23" s="372"/>
      <c r="AX23" s="372"/>
      <c r="AY23" s="371"/>
      <c r="AZ23" s="375"/>
      <c r="BA23" s="372"/>
      <c r="BB23" s="372"/>
      <c r="BC23" s="372"/>
      <c r="BD23" s="373"/>
      <c r="BE23" s="374"/>
      <c r="BF23" s="372"/>
      <c r="BG23" s="372"/>
      <c r="BH23" s="372"/>
      <c r="BI23" s="371"/>
      <c r="BJ23" s="375"/>
      <c r="BK23" s="372"/>
      <c r="BL23" s="372"/>
      <c r="BM23" s="372"/>
      <c r="BN23" s="373"/>
      <c r="BO23" s="374"/>
      <c r="BP23" s="372"/>
      <c r="BQ23" s="372"/>
      <c r="BR23" s="372"/>
      <c r="BS23" s="371"/>
      <c r="BT23" s="375"/>
      <c r="BU23" s="372"/>
      <c r="BV23" s="372"/>
      <c r="BW23" s="372"/>
      <c r="BX23" s="373"/>
      <c r="BY23" s="374"/>
      <c r="BZ23" s="372"/>
      <c r="CA23" s="372"/>
      <c r="CB23" s="372"/>
      <c r="CC23" s="371"/>
      <c r="CD23" s="375"/>
      <c r="CE23" s="372"/>
      <c r="CF23" s="372"/>
      <c r="CG23" s="372"/>
      <c r="CH23" s="371"/>
      <c r="CI23" s="375"/>
      <c r="CJ23" s="372"/>
      <c r="CK23" s="372"/>
      <c r="CL23" s="372"/>
      <c r="CM23" s="373"/>
    </row>
    <row r="24" spans="1:118" ht="25.5" customHeight="1" thickBot="1">
      <c r="A24" s="331">
        <v>4517</v>
      </c>
      <c r="B24" s="332" t="s">
        <v>11</v>
      </c>
      <c r="C24" s="332" t="s">
        <v>44</v>
      </c>
      <c r="D24" s="332" t="s">
        <v>76</v>
      </c>
      <c r="E24" s="333" t="s">
        <v>53</v>
      </c>
      <c r="F24" s="332"/>
      <c r="G24" s="333" t="s">
        <v>1602</v>
      </c>
      <c r="H24" s="376" t="s">
        <v>54</v>
      </c>
      <c r="I24" s="335"/>
      <c r="J24" s="333"/>
      <c r="K24" s="336"/>
      <c r="L24" s="337" t="s">
        <v>78</v>
      </c>
      <c r="M24" s="332" t="s">
        <v>77</v>
      </c>
      <c r="N24" s="332"/>
      <c r="O24" s="332" t="s">
        <v>77</v>
      </c>
      <c r="P24" s="338" t="s">
        <v>77</v>
      </c>
      <c r="Q24" s="337"/>
      <c r="R24" s="332"/>
      <c r="S24" s="332"/>
      <c r="T24" s="332"/>
      <c r="U24" s="339" t="s">
        <v>80</v>
      </c>
      <c r="V24" s="331"/>
      <c r="W24" s="377"/>
      <c r="X24" s="377"/>
      <c r="Y24" s="377"/>
      <c r="Z24" s="378"/>
      <c r="AA24" s="379"/>
      <c r="AB24" s="377"/>
      <c r="AC24" s="377"/>
      <c r="AD24" s="377"/>
      <c r="AE24" s="376"/>
      <c r="AF24" s="380"/>
      <c r="AG24" s="377"/>
      <c r="AH24" s="377"/>
      <c r="AI24" s="377"/>
      <c r="AJ24" s="378"/>
      <c r="AK24" s="379"/>
      <c r="AL24" s="377"/>
      <c r="AM24" s="377"/>
      <c r="AN24" s="377"/>
      <c r="AO24" s="376"/>
      <c r="AP24" s="380"/>
      <c r="AQ24" s="377"/>
      <c r="AR24" s="377"/>
      <c r="AS24" s="377"/>
      <c r="AT24" s="378"/>
      <c r="AU24" s="379"/>
      <c r="AV24" s="377"/>
      <c r="AW24" s="377"/>
      <c r="AX24" s="377"/>
      <c r="AY24" s="376"/>
      <c r="AZ24" s="380"/>
      <c r="BA24" s="377"/>
      <c r="BB24" s="377"/>
      <c r="BC24" s="377"/>
      <c r="BD24" s="378"/>
      <c r="BE24" s="379"/>
      <c r="BF24" s="377"/>
      <c r="BG24" s="377"/>
      <c r="BH24" s="377"/>
      <c r="BI24" s="376"/>
      <c r="BJ24" s="380"/>
      <c r="BK24" s="377"/>
      <c r="BL24" s="377"/>
      <c r="BM24" s="377"/>
      <c r="BN24" s="378"/>
      <c r="BO24" s="379"/>
      <c r="BP24" s="377"/>
      <c r="BQ24" s="377"/>
      <c r="BR24" s="377"/>
      <c r="BS24" s="376"/>
      <c r="BT24" s="380"/>
      <c r="BU24" s="377"/>
      <c r="BV24" s="377"/>
      <c r="BW24" s="377"/>
      <c r="BX24" s="378"/>
      <c r="BY24" s="379"/>
      <c r="BZ24" s="377"/>
      <c r="CA24" s="377"/>
      <c r="CB24" s="377"/>
      <c r="CC24" s="376"/>
      <c r="CD24" s="380"/>
      <c r="CE24" s="377"/>
      <c r="CF24" s="377"/>
      <c r="CG24" s="377"/>
      <c r="CH24" s="376"/>
      <c r="CI24" s="380"/>
      <c r="CJ24" s="377"/>
      <c r="CK24" s="377"/>
      <c r="CL24" s="377"/>
      <c r="CM24" s="378"/>
    </row>
    <row r="25" spans="1:118" ht="25.5" customHeight="1">
      <c r="A25" s="341">
        <v>4518</v>
      </c>
      <c r="B25" s="342" t="s">
        <v>11</v>
      </c>
      <c r="C25" s="342" t="s">
        <v>44</v>
      </c>
      <c r="D25" s="342" t="s">
        <v>76</v>
      </c>
      <c r="E25" s="343" t="s">
        <v>53</v>
      </c>
      <c r="F25" s="342"/>
      <c r="G25" s="343" t="s">
        <v>1604</v>
      </c>
      <c r="H25" s="344" t="s">
        <v>54</v>
      </c>
      <c r="I25" s="345"/>
      <c r="J25" s="343"/>
      <c r="K25" s="346"/>
      <c r="L25" s="347" t="s">
        <v>78</v>
      </c>
      <c r="M25" s="342" t="s">
        <v>77</v>
      </c>
      <c r="N25" s="342"/>
      <c r="O25" s="342" t="s">
        <v>77</v>
      </c>
      <c r="P25" s="348" t="s">
        <v>77</v>
      </c>
      <c r="Q25" s="347"/>
      <c r="R25" s="342"/>
      <c r="S25" s="342"/>
      <c r="T25" s="342"/>
      <c r="U25" s="349" t="s">
        <v>80</v>
      </c>
      <c r="V25" s="341"/>
      <c r="W25" s="381"/>
      <c r="X25" s="381"/>
      <c r="Y25" s="381"/>
      <c r="Z25" s="382"/>
      <c r="AA25" s="383"/>
      <c r="AB25" s="381"/>
      <c r="AC25" s="381"/>
      <c r="AD25" s="381"/>
      <c r="AE25" s="384"/>
      <c r="AF25" s="385"/>
      <c r="AG25" s="381"/>
      <c r="AH25" s="381"/>
      <c r="AI25" s="381"/>
      <c r="AJ25" s="382"/>
      <c r="AK25" s="383"/>
      <c r="AL25" s="381"/>
      <c r="AM25" s="381"/>
      <c r="AN25" s="381"/>
      <c r="AO25" s="384"/>
      <c r="AP25" s="385"/>
      <c r="AQ25" s="381"/>
      <c r="AR25" s="381"/>
      <c r="AS25" s="381"/>
      <c r="AT25" s="382"/>
      <c r="AU25" s="383"/>
      <c r="AV25" s="381"/>
      <c r="AW25" s="381"/>
      <c r="AX25" s="381"/>
      <c r="AY25" s="384"/>
      <c r="AZ25" s="385"/>
      <c r="BA25" s="381"/>
      <c r="BB25" s="381"/>
      <c r="BC25" s="381"/>
      <c r="BD25" s="382"/>
      <c r="BE25" s="383"/>
      <c r="BF25" s="381"/>
      <c r="BG25" s="381"/>
      <c r="BH25" s="381"/>
      <c r="BI25" s="384"/>
      <c r="BJ25" s="385"/>
      <c r="BK25" s="381"/>
      <c r="BL25" s="381"/>
      <c r="BM25" s="381"/>
      <c r="BN25" s="382"/>
      <c r="BO25" s="383"/>
      <c r="BP25" s="381"/>
      <c r="BQ25" s="381"/>
      <c r="BR25" s="381"/>
      <c r="BS25" s="384"/>
      <c r="BT25" s="385"/>
      <c r="BU25" s="381"/>
      <c r="BV25" s="381"/>
      <c r="BW25" s="381"/>
      <c r="BX25" s="382"/>
      <c r="BY25" s="383"/>
      <c r="BZ25" s="381"/>
      <c r="CA25" s="381"/>
      <c r="CB25" s="381"/>
      <c r="CC25" s="384"/>
      <c r="CD25" s="385"/>
      <c r="CE25" s="381"/>
      <c r="CF25" s="381"/>
      <c r="CG25" s="381"/>
      <c r="CH25" s="384"/>
      <c r="CI25" s="385"/>
      <c r="CJ25" s="381"/>
      <c r="CK25" s="381"/>
      <c r="CL25" s="381"/>
      <c r="CM25" s="382"/>
    </row>
    <row r="26" spans="1:118" ht="25.5" customHeight="1">
      <c r="A26" s="386">
        <v>4519</v>
      </c>
      <c r="B26" s="387" t="s">
        <v>11</v>
      </c>
      <c r="C26" s="387" t="s">
        <v>44</v>
      </c>
      <c r="D26" s="387" t="s">
        <v>76</v>
      </c>
      <c r="E26" s="372" t="s">
        <v>53</v>
      </c>
      <c r="F26" s="387"/>
      <c r="G26" s="372" t="s">
        <v>1606</v>
      </c>
      <c r="H26" s="371" t="s">
        <v>54</v>
      </c>
      <c r="I26" s="375"/>
      <c r="J26" s="372"/>
      <c r="K26" s="373"/>
      <c r="L26" s="388" t="s">
        <v>78</v>
      </c>
      <c r="M26" s="387" t="s">
        <v>77</v>
      </c>
      <c r="N26" s="387"/>
      <c r="O26" s="387" t="s">
        <v>77</v>
      </c>
      <c r="P26" s="389" t="s">
        <v>77</v>
      </c>
      <c r="Q26" s="388"/>
      <c r="R26" s="387"/>
      <c r="S26" s="387"/>
      <c r="T26" s="387"/>
      <c r="U26" s="390" t="s">
        <v>80</v>
      </c>
      <c r="V26" s="386"/>
      <c r="W26" s="372"/>
      <c r="X26" s="372"/>
      <c r="Y26" s="372"/>
      <c r="Z26" s="373"/>
      <c r="AA26" s="374"/>
      <c r="AB26" s="372"/>
      <c r="AC26" s="372"/>
      <c r="AD26" s="372"/>
      <c r="AE26" s="371"/>
      <c r="AF26" s="375"/>
      <c r="AG26" s="372"/>
      <c r="AH26" s="372"/>
      <c r="AI26" s="372"/>
      <c r="AJ26" s="373"/>
      <c r="AK26" s="374"/>
      <c r="AL26" s="372"/>
      <c r="AM26" s="372"/>
      <c r="AN26" s="372"/>
      <c r="AO26" s="371"/>
      <c r="AP26" s="375"/>
      <c r="AQ26" s="372"/>
      <c r="AR26" s="372"/>
      <c r="AS26" s="372"/>
      <c r="AT26" s="373"/>
      <c r="AU26" s="374"/>
      <c r="AV26" s="372"/>
      <c r="AW26" s="372"/>
      <c r="AX26" s="372"/>
      <c r="AY26" s="371"/>
      <c r="AZ26" s="375"/>
      <c r="BA26" s="372"/>
      <c r="BB26" s="372"/>
      <c r="BC26" s="372"/>
      <c r="BD26" s="373"/>
      <c r="BE26" s="374"/>
      <c r="BF26" s="372"/>
      <c r="BG26" s="372"/>
      <c r="BH26" s="372"/>
      <c r="BI26" s="371"/>
      <c r="BJ26" s="375"/>
      <c r="BK26" s="372"/>
      <c r="BL26" s="372"/>
      <c r="BM26" s="372"/>
      <c r="BN26" s="373"/>
      <c r="BO26" s="374"/>
      <c r="BP26" s="372"/>
      <c r="BQ26" s="372"/>
      <c r="BR26" s="372"/>
      <c r="BS26" s="371"/>
      <c r="BT26" s="375"/>
      <c r="BU26" s="372"/>
      <c r="BV26" s="372"/>
      <c r="BW26" s="372"/>
      <c r="BX26" s="373"/>
      <c r="BY26" s="374"/>
      <c r="BZ26" s="372"/>
      <c r="CA26" s="372"/>
      <c r="CB26" s="372"/>
      <c r="CC26" s="371"/>
      <c r="CD26" s="375"/>
      <c r="CE26" s="372"/>
      <c r="CF26" s="372"/>
      <c r="CG26" s="372"/>
      <c r="CH26" s="371"/>
      <c r="CI26" s="375"/>
      <c r="CJ26" s="372"/>
      <c r="CK26" s="372"/>
      <c r="CL26" s="372"/>
      <c r="CM26" s="373"/>
    </row>
    <row r="27" spans="1:118" ht="25.5" customHeight="1">
      <c r="A27" s="386">
        <v>4520</v>
      </c>
      <c r="B27" s="387" t="s">
        <v>11</v>
      </c>
      <c r="C27" s="387" t="s">
        <v>44</v>
      </c>
      <c r="D27" s="387" t="s">
        <v>76</v>
      </c>
      <c r="E27" s="372" t="s">
        <v>53</v>
      </c>
      <c r="F27" s="387"/>
      <c r="G27" s="372" t="s">
        <v>1608</v>
      </c>
      <c r="H27" s="371" t="s">
        <v>54</v>
      </c>
      <c r="I27" s="375"/>
      <c r="J27" s="372"/>
      <c r="K27" s="373"/>
      <c r="L27" s="388" t="s">
        <v>78</v>
      </c>
      <c r="M27" s="387" t="s">
        <v>77</v>
      </c>
      <c r="N27" s="387"/>
      <c r="O27" s="387" t="s">
        <v>77</v>
      </c>
      <c r="P27" s="389" t="s">
        <v>77</v>
      </c>
      <c r="Q27" s="388"/>
      <c r="R27" s="387"/>
      <c r="S27" s="387"/>
      <c r="T27" s="387"/>
      <c r="U27" s="390" t="s">
        <v>80</v>
      </c>
      <c r="V27" s="386"/>
      <c r="W27" s="372"/>
      <c r="X27" s="372"/>
      <c r="Y27" s="372"/>
      <c r="Z27" s="373"/>
      <c r="AA27" s="374"/>
      <c r="AB27" s="372"/>
      <c r="AC27" s="372"/>
      <c r="AD27" s="372"/>
      <c r="AE27" s="371"/>
      <c r="AF27" s="375"/>
      <c r="AG27" s="372"/>
      <c r="AH27" s="372"/>
      <c r="AI27" s="372"/>
      <c r="AJ27" s="373"/>
      <c r="AK27" s="374"/>
      <c r="AL27" s="372"/>
      <c r="AM27" s="372"/>
      <c r="AN27" s="372"/>
      <c r="AO27" s="371"/>
      <c r="AP27" s="375"/>
      <c r="AQ27" s="372"/>
      <c r="AR27" s="372"/>
      <c r="AS27" s="372"/>
      <c r="AT27" s="373"/>
      <c r="AU27" s="374"/>
      <c r="AV27" s="372"/>
      <c r="AW27" s="372"/>
      <c r="AX27" s="372"/>
      <c r="AY27" s="371"/>
      <c r="AZ27" s="375"/>
      <c r="BA27" s="372"/>
      <c r="BB27" s="372"/>
      <c r="BC27" s="372"/>
      <c r="BD27" s="373"/>
      <c r="BE27" s="374"/>
      <c r="BF27" s="372"/>
      <c r="BG27" s="372"/>
      <c r="BH27" s="372"/>
      <c r="BI27" s="371"/>
      <c r="BJ27" s="375"/>
      <c r="BK27" s="372"/>
      <c r="BL27" s="372"/>
      <c r="BM27" s="372"/>
      <c r="BN27" s="373"/>
      <c r="BO27" s="374"/>
      <c r="BP27" s="372"/>
      <c r="BQ27" s="372"/>
      <c r="BR27" s="372"/>
      <c r="BS27" s="371"/>
      <c r="BT27" s="375"/>
      <c r="BU27" s="372"/>
      <c r="BV27" s="372"/>
      <c r="BW27" s="372"/>
      <c r="BX27" s="373"/>
      <c r="BY27" s="374"/>
      <c r="BZ27" s="372"/>
      <c r="CA27" s="372"/>
      <c r="CB27" s="372"/>
      <c r="CC27" s="371"/>
      <c r="CD27" s="375"/>
      <c r="CE27" s="372"/>
      <c r="CF27" s="372"/>
      <c r="CG27" s="372"/>
      <c r="CH27" s="371"/>
      <c r="CI27" s="375"/>
      <c r="CJ27" s="372"/>
      <c r="CK27" s="372"/>
      <c r="CL27" s="372"/>
      <c r="CM27" s="373"/>
    </row>
    <row r="28" spans="1:118" ht="25.5" customHeight="1">
      <c r="A28" s="386">
        <v>4521</v>
      </c>
      <c r="B28" s="387" t="s">
        <v>11</v>
      </c>
      <c r="C28" s="387" t="s">
        <v>44</v>
      </c>
      <c r="D28" s="387" t="s">
        <v>76</v>
      </c>
      <c r="E28" s="372" t="s">
        <v>53</v>
      </c>
      <c r="F28" s="387"/>
      <c r="G28" s="372" t="s">
        <v>1610</v>
      </c>
      <c r="H28" s="371" t="s">
        <v>54</v>
      </c>
      <c r="I28" s="375"/>
      <c r="J28" s="372"/>
      <c r="K28" s="373"/>
      <c r="L28" s="388" t="s">
        <v>78</v>
      </c>
      <c r="M28" s="387" t="s">
        <v>77</v>
      </c>
      <c r="N28" s="387"/>
      <c r="O28" s="387" t="s">
        <v>77</v>
      </c>
      <c r="P28" s="389" t="s">
        <v>77</v>
      </c>
      <c r="Q28" s="388"/>
      <c r="R28" s="387"/>
      <c r="S28" s="387"/>
      <c r="T28" s="387"/>
      <c r="U28" s="390" t="s">
        <v>80</v>
      </c>
      <c r="V28" s="386"/>
      <c r="W28" s="372"/>
      <c r="X28" s="372"/>
      <c r="Y28" s="372"/>
      <c r="Z28" s="373"/>
      <c r="AA28" s="374"/>
      <c r="AB28" s="372"/>
      <c r="AC28" s="372"/>
      <c r="AD28" s="372"/>
      <c r="AE28" s="371"/>
      <c r="AF28" s="375"/>
      <c r="AG28" s="372"/>
      <c r="AH28" s="372"/>
      <c r="AI28" s="372"/>
      <c r="AJ28" s="373"/>
      <c r="AK28" s="374"/>
      <c r="AL28" s="372"/>
      <c r="AM28" s="372"/>
      <c r="AN28" s="372"/>
      <c r="AO28" s="371"/>
      <c r="AP28" s="375"/>
      <c r="AQ28" s="372"/>
      <c r="AR28" s="372"/>
      <c r="AS28" s="372"/>
      <c r="AT28" s="373"/>
      <c r="AU28" s="374"/>
      <c r="AV28" s="372"/>
      <c r="AW28" s="372"/>
      <c r="AX28" s="372"/>
      <c r="AY28" s="371"/>
      <c r="AZ28" s="375"/>
      <c r="BA28" s="372"/>
      <c r="BB28" s="372"/>
      <c r="BC28" s="372"/>
      <c r="BD28" s="373"/>
      <c r="BE28" s="374"/>
      <c r="BF28" s="372"/>
      <c r="BG28" s="372"/>
      <c r="BH28" s="372"/>
      <c r="BI28" s="371"/>
      <c r="BJ28" s="375"/>
      <c r="BK28" s="372"/>
      <c r="BL28" s="372"/>
      <c r="BM28" s="372"/>
      <c r="BN28" s="373"/>
      <c r="BO28" s="374"/>
      <c r="BP28" s="372"/>
      <c r="BQ28" s="372"/>
      <c r="BR28" s="372"/>
      <c r="BS28" s="371"/>
      <c r="BT28" s="375"/>
      <c r="BU28" s="372"/>
      <c r="BV28" s="372"/>
      <c r="BW28" s="372"/>
      <c r="BX28" s="373"/>
      <c r="BY28" s="374"/>
      <c r="BZ28" s="372"/>
      <c r="CA28" s="372"/>
      <c r="CB28" s="372"/>
      <c r="CC28" s="371"/>
      <c r="CD28" s="375"/>
      <c r="CE28" s="372"/>
      <c r="CF28" s="372"/>
      <c r="CG28" s="372"/>
      <c r="CH28" s="371"/>
      <c r="CI28" s="375"/>
      <c r="CJ28" s="372"/>
      <c r="CK28" s="372"/>
      <c r="CL28" s="372"/>
      <c r="CM28" s="373"/>
    </row>
    <row r="29" spans="1:118" ht="25.5" customHeight="1" thickBot="1">
      <c r="A29" s="391">
        <v>4522</v>
      </c>
      <c r="B29" s="392" t="s">
        <v>11</v>
      </c>
      <c r="C29" s="392" t="s">
        <v>44</v>
      </c>
      <c r="D29" s="392" t="s">
        <v>76</v>
      </c>
      <c r="E29" s="393" t="s">
        <v>53</v>
      </c>
      <c r="F29" s="392"/>
      <c r="G29" s="393" t="s">
        <v>1612</v>
      </c>
      <c r="H29" s="394" t="s">
        <v>54</v>
      </c>
      <c r="I29" s="395"/>
      <c r="J29" s="393"/>
      <c r="K29" s="396"/>
      <c r="L29" s="397" t="s">
        <v>78</v>
      </c>
      <c r="M29" s="392" t="s">
        <v>77</v>
      </c>
      <c r="N29" s="392"/>
      <c r="O29" s="392" t="s">
        <v>77</v>
      </c>
      <c r="P29" s="398" t="s">
        <v>77</v>
      </c>
      <c r="Q29" s="397"/>
      <c r="R29" s="392"/>
      <c r="S29" s="392"/>
      <c r="T29" s="392"/>
      <c r="U29" s="399" t="s">
        <v>80</v>
      </c>
      <c r="V29" s="391"/>
      <c r="W29" s="393"/>
      <c r="X29" s="393"/>
      <c r="Y29" s="393"/>
      <c r="Z29" s="396"/>
      <c r="AA29" s="400"/>
      <c r="AB29" s="393"/>
      <c r="AC29" s="393"/>
      <c r="AD29" s="393"/>
      <c r="AE29" s="394"/>
      <c r="AF29" s="395"/>
      <c r="AG29" s="393"/>
      <c r="AH29" s="393"/>
      <c r="AI29" s="393"/>
      <c r="AJ29" s="396"/>
      <c r="AK29" s="400"/>
      <c r="AL29" s="393"/>
      <c r="AM29" s="393"/>
      <c r="AN29" s="393"/>
      <c r="AO29" s="394"/>
      <c r="AP29" s="395"/>
      <c r="AQ29" s="393"/>
      <c r="AR29" s="393"/>
      <c r="AS29" s="393"/>
      <c r="AT29" s="396"/>
      <c r="AU29" s="400"/>
      <c r="AV29" s="393"/>
      <c r="AW29" s="393"/>
      <c r="AX29" s="393"/>
      <c r="AY29" s="394"/>
      <c r="AZ29" s="395"/>
      <c r="BA29" s="393"/>
      <c r="BB29" s="393"/>
      <c r="BC29" s="393"/>
      <c r="BD29" s="396"/>
      <c r="BE29" s="400"/>
      <c r="BF29" s="393"/>
      <c r="BG29" s="393"/>
      <c r="BH29" s="393"/>
      <c r="BI29" s="394"/>
      <c r="BJ29" s="395"/>
      <c r="BK29" s="393"/>
      <c r="BL29" s="393"/>
      <c r="BM29" s="393"/>
      <c r="BN29" s="396"/>
      <c r="BO29" s="400"/>
      <c r="BP29" s="393"/>
      <c r="BQ29" s="393"/>
      <c r="BR29" s="393"/>
      <c r="BS29" s="394"/>
      <c r="BT29" s="395"/>
      <c r="BU29" s="393"/>
      <c r="BV29" s="393"/>
      <c r="BW29" s="393"/>
      <c r="BX29" s="396"/>
      <c r="BY29" s="400"/>
      <c r="BZ29" s="393"/>
      <c r="CA29" s="393"/>
      <c r="CB29" s="393"/>
      <c r="CC29" s="394"/>
      <c r="CD29" s="395"/>
      <c r="CE29" s="393"/>
      <c r="CF29" s="393"/>
      <c r="CG29" s="393"/>
      <c r="CH29" s="394"/>
      <c r="CI29" s="395"/>
      <c r="CJ29" s="393"/>
      <c r="CK29" s="393"/>
      <c r="CL29" s="393"/>
      <c r="CM29" s="396"/>
    </row>
    <row r="30" spans="1:118" ht="25.5" customHeight="1">
      <c r="A30" s="401">
        <v>4523</v>
      </c>
      <c r="B30" s="402" t="s">
        <v>11</v>
      </c>
      <c r="C30" s="402" t="s">
        <v>44</v>
      </c>
      <c r="D30" s="402" t="s">
        <v>76</v>
      </c>
      <c r="E30" s="403" t="s">
        <v>53</v>
      </c>
      <c r="F30" s="402"/>
      <c r="G30" s="403" t="s">
        <v>1614</v>
      </c>
      <c r="H30" s="404" t="s">
        <v>54</v>
      </c>
      <c r="I30" s="405"/>
      <c r="J30" s="403"/>
      <c r="K30" s="406"/>
      <c r="L30" s="407" t="s">
        <v>78</v>
      </c>
      <c r="M30" s="402" t="s">
        <v>77</v>
      </c>
      <c r="N30" s="402"/>
      <c r="O30" s="402" t="s">
        <v>77</v>
      </c>
      <c r="P30" s="408" t="s">
        <v>77</v>
      </c>
      <c r="Q30" s="407"/>
      <c r="R30" s="402"/>
      <c r="S30" s="402"/>
      <c r="T30" s="402"/>
      <c r="U30" s="409" t="s">
        <v>80</v>
      </c>
      <c r="V30" s="401"/>
      <c r="W30" s="403"/>
      <c r="X30" s="403"/>
      <c r="Y30" s="403"/>
      <c r="Z30" s="406"/>
      <c r="AA30" s="410"/>
      <c r="AB30" s="403"/>
      <c r="AC30" s="403"/>
      <c r="AD30" s="403"/>
      <c r="AE30" s="404"/>
      <c r="AF30" s="405"/>
      <c r="AG30" s="403"/>
      <c r="AH30" s="403"/>
      <c r="AI30" s="403"/>
      <c r="AJ30" s="406"/>
      <c r="AK30" s="410"/>
      <c r="AL30" s="403"/>
      <c r="AM30" s="403"/>
      <c r="AN30" s="403"/>
      <c r="AO30" s="404"/>
      <c r="AP30" s="405"/>
      <c r="AQ30" s="403"/>
      <c r="AR30" s="403"/>
      <c r="AS30" s="403"/>
      <c r="AT30" s="406"/>
      <c r="AU30" s="410"/>
      <c r="AV30" s="403"/>
      <c r="AW30" s="403"/>
      <c r="AX30" s="403"/>
      <c r="AY30" s="404"/>
      <c r="AZ30" s="405"/>
      <c r="BA30" s="403"/>
      <c r="BB30" s="403"/>
      <c r="BC30" s="403"/>
      <c r="BD30" s="406"/>
      <c r="BE30" s="410"/>
      <c r="BF30" s="403"/>
      <c r="BG30" s="403"/>
      <c r="BH30" s="403"/>
      <c r="BI30" s="404"/>
      <c r="BJ30" s="405"/>
      <c r="BK30" s="403"/>
      <c r="BL30" s="403"/>
      <c r="BM30" s="403"/>
      <c r="BN30" s="406"/>
      <c r="BO30" s="410"/>
      <c r="BP30" s="403"/>
      <c r="BQ30" s="403"/>
      <c r="BR30" s="403"/>
      <c r="BS30" s="404"/>
      <c r="BT30" s="405"/>
      <c r="BU30" s="403"/>
      <c r="BV30" s="403"/>
      <c r="BW30" s="403"/>
      <c r="BX30" s="406"/>
      <c r="BY30" s="410"/>
      <c r="BZ30" s="403"/>
      <c r="CA30" s="403"/>
      <c r="CB30" s="403"/>
      <c r="CC30" s="404"/>
      <c r="CD30" s="405"/>
      <c r="CE30" s="403"/>
      <c r="CF30" s="403"/>
      <c r="CG30" s="403"/>
      <c r="CH30" s="404"/>
      <c r="CI30" s="405"/>
      <c r="CJ30" s="403"/>
      <c r="CK30" s="403"/>
      <c r="CL30" s="403"/>
      <c r="CM30" s="406"/>
    </row>
    <row r="31" spans="1:118" ht="25.5" customHeight="1">
      <c r="A31" s="386">
        <v>4524</v>
      </c>
      <c r="B31" s="387" t="s">
        <v>11</v>
      </c>
      <c r="C31" s="387" t="s">
        <v>44</v>
      </c>
      <c r="D31" s="387" t="s">
        <v>76</v>
      </c>
      <c r="E31" s="372" t="s">
        <v>53</v>
      </c>
      <c r="F31" s="387"/>
      <c r="G31" s="372" t="s">
        <v>1616</v>
      </c>
      <c r="H31" s="371" t="s">
        <v>54</v>
      </c>
      <c r="I31" s="375"/>
      <c r="J31" s="372"/>
      <c r="K31" s="373"/>
      <c r="L31" s="388" t="s">
        <v>78</v>
      </c>
      <c r="M31" s="387" t="s">
        <v>77</v>
      </c>
      <c r="N31" s="387"/>
      <c r="O31" s="387" t="s">
        <v>77</v>
      </c>
      <c r="P31" s="389" t="s">
        <v>77</v>
      </c>
      <c r="Q31" s="388"/>
      <c r="R31" s="387"/>
      <c r="S31" s="387"/>
      <c r="T31" s="387"/>
      <c r="U31" s="390" t="s">
        <v>80</v>
      </c>
      <c r="V31" s="386"/>
      <c r="W31" s="372"/>
      <c r="X31" s="372"/>
      <c r="Y31" s="372"/>
      <c r="Z31" s="373"/>
      <c r="AA31" s="374"/>
      <c r="AB31" s="372"/>
      <c r="AC31" s="372"/>
      <c r="AD31" s="372"/>
      <c r="AE31" s="371"/>
      <c r="AF31" s="375"/>
      <c r="AG31" s="372"/>
      <c r="AH31" s="372"/>
      <c r="AI31" s="372"/>
      <c r="AJ31" s="373"/>
      <c r="AK31" s="374"/>
      <c r="AL31" s="372"/>
      <c r="AM31" s="372"/>
      <c r="AN31" s="372"/>
      <c r="AO31" s="371"/>
      <c r="AP31" s="375"/>
      <c r="AQ31" s="372"/>
      <c r="AR31" s="372"/>
      <c r="AS31" s="372"/>
      <c r="AT31" s="373"/>
      <c r="AU31" s="374"/>
      <c r="AV31" s="372"/>
      <c r="AW31" s="372"/>
      <c r="AX31" s="372"/>
      <c r="AY31" s="371"/>
      <c r="AZ31" s="375"/>
      <c r="BA31" s="372"/>
      <c r="BB31" s="372"/>
      <c r="BC31" s="372"/>
      <c r="BD31" s="373"/>
      <c r="BE31" s="374"/>
      <c r="BF31" s="372"/>
      <c r="BG31" s="372"/>
      <c r="BH31" s="372"/>
      <c r="BI31" s="371"/>
      <c r="BJ31" s="375"/>
      <c r="BK31" s="372"/>
      <c r="BL31" s="372"/>
      <c r="BM31" s="372"/>
      <c r="BN31" s="373"/>
      <c r="BO31" s="374"/>
      <c r="BP31" s="372"/>
      <c r="BQ31" s="372"/>
      <c r="BR31" s="372"/>
      <c r="BS31" s="371"/>
      <c r="BT31" s="375"/>
      <c r="BU31" s="372"/>
      <c r="BV31" s="372"/>
      <c r="BW31" s="372"/>
      <c r="BX31" s="373"/>
      <c r="BY31" s="374"/>
      <c r="BZ31" s="372"/>
      <c r="CA31" s="372"/>
      <c r="CB31" s="372"/>
      <c r="CC31" s="371"/>
      <c r="CD31" s="375"/>
      <c r="CE31" s="372"/>
      <c r="CF31" s="372"/>
      <c r="CG31" s="372"/>
      <c r="CH31" s="371"/>
      <c r="CI31" s="375"/>
      <c r="CJ31" s="372"/>
      <c r="CK31" s="372"/>
      <c r="CL31" s="372"/>
      <c r="CM31" s="373"/>
    </row>
    <row r="32" spans="1:118" ht="25.5" customHeight="1">
      <c r="A32" s="386">
        <v>4525</v>
      </c>
      <c r="B32" s="387" t="s">
        <v>11</v>
      </c>
      <c r="C32" s="387" t="s">
        <v>44</v>
      </c>
      <c r="D32" s="387" t="s">
        <v>76</v>
      </c>
      <c r="E32" s="372" t="s">
        <v>53</v>
      </c>
      <c r="F32" s="387"/>
      <c r="G32" s="372" t="s">
        <v>1618</v>
      </c>
      <c r="H32" s="371" t="s">
        <v>54</v>
      </c>
      <c r="I32" s="375"/>
      <c r="J32" s="372"/>
      <c r="K32" s="373"/>
      <c r="L32" s="388" t="s">
        <v>78</v>
      </c>
      <c r="M32" s="387" t="s">
        <v>77</v>
      </c>
      <c r="N32" s="387"/>
      <c r="O32" s="387" t="s">
        <v>77</v>
      </c>
      <c r="P32" s="389" t="s">
        <v>77</v>
      </c>
      <c r="Q32" s="388"/>
      <c r="R32" s="387"/>
      <c r="S32" s="387"/>
      <c r="T32" s="387"/>
      <c r="U32" s="390" t="s">
        <v>80</v>
      </c>
      <c r="V32" s="386"/>
      <c r="W32" s="372"/>
      <c r="X32" s="372"/>
      <c r="Y32" s="372"/>
      <c r="Z32" s="373"/>
      <c r="AA32" s="374"/>
      <c r="AB32" s="372"/>
      <c r="AC32" s="372"/>
      <c r="AD32" s="372"/>
      <c r="AE32" s="371"/>
      <c r="AF32" s="375"/>
      <c r="AG32" s="372"/>
      <c r="AH32" s="372"/>
      <c r="AI32" s="372"/>
      <c r="AJ32" s="373"/>
      <c r="AK32" s="374"/>
      <c r="AL32" s="372"/>
      <c r="AM32" s="372"/>
      <c r="AN32" s="372"/>
      <c r="AO32" s="371"/>
      <c r="AP32" s="375"/>
      <c r="AQ32" s="372"/>
      <c r="AR32" s="372"/>
      <c r="AS32" s="372"/>
      <c r="AT32" s="373"/>
      <c r="AU32" s="374"/>
      <c r="AV32" s="372"/>
      <c r="AW32" s="372"/>
      <c r="AX32" s="372"/>
      <c r="AY32" s="371"/>
      <c r="AZ32" s="375"/>
      <c r="BA32" s="372"/>
      <c r="BB32" s="372"/>
      <c r="BC32" s="372"/>
      <c r="BD32" s="373"/>
      <c r="BE32" s="374"/>
      <c r="BF32" s="372"/>
      <c r="BG32" s="372"/>
      <c r="BH32" s="372"/>
      <c r="BI32" s="371"/>
      <c r="BJ32" s="375"/>
      <c r="BK32" s="372"/>
      <c r="BL32" s="372"/>
      <c r="BM32" s="372"/>
      <c r="BN32" s="373"/>
      <c r="BO32" s="374"/>
      <c r="BP32" s="372"/>
      <c r="BQ32" s="372"/>
      <c r="BR32" s="372"/>
      <c r="BS32" s="371"/>
      <c r="BT32" s="375"/>
      <c r="BU32" s="372"/>
      <c r="BV32" s="372"/>
      <c r="BW32" s="372"/>
      <c r="BX32" s="373"/>
      <c r="BY32" s="374"/>
      <c r="BZ32" s="372"/>
      <c r="CA32" s="372"/>
      <c r="CB32" s="372"/>
      <c r="CC32" s="371"/>
      <c r="CD32" s="375"/>
      <c r="CE32" s="372"/>
      <c r="CF32" s="372"/>
      <c r="CG32" s="372"/>
      <c r="CH32" s="371"/>
      <c r="CI32" s="375"/>
      <c r="CJ32" s="372"/>
      <c r="CK32" s="372"/>
      <c r="CL32" s="372"/>
      <c r="CM32" s="373"/>
    </row>
    <row r="33" spans="1:91" ht="25.5" customHeight="1">
      <c r="A33" s="386">
        <v>4526</v>
      </c>
      <c r="B33" s="387" t="s">
        <v>11</v>
      </c>
      <c r="C33" s="387" t="s">
        <v>44</v>
      </c>
      <c r="D33" s="387" t="s">
        <v>76</v>
      </c>
      <c r="E33" s="372" t="s">
        <v>53</v>
      </c>
      <c r="F33" s="387"/>
      <c r="G33" s="372" t="s">
        <v>1620</v>
      </c>
      <c r="H33" s="371" t="s">
        <v>54</v>
      </c>
      <c r="I33" s="375"/>
      <c r="J33" s="372"/>
      <c r="K33" s="373"/>
      <c r="L33" s="388" t="s">
        <v>78</v>
      </c>
      <c r="M33" s="387" t="s">
        <v>77</v>
      </c>
      <c r="N33" s="387"/>
      <c r="O33" s="387" t="s">
        <v>77</v>
      </c>
      <c r="P33" s="389" t="s">
        <v>77</v>
      </c>
      <c r="Q33" s="388"/>
      <c r="R33" s="387"/>
      <c r="S33" s="387"/>
      <c r="T33" s="387"/>
      <c r="U33" s="390" t="s">
        <v>80</v>
      </c>
      <c r="V33" s="386"/>
      <c r="W33" s="372"/>
      <c r="X33" s="372"/>
      <c r="Y33" s="372"/>
      <c r="Z33" s="373"/>
      <c r="AA33" s="374"/>
      <c r="AB33" s="372"/>
      <c r="AC33" s="372"/>
      <c r="AD33" s="372"/>
      <c r="AE33" s="371"/>
      <c r="AF33" s="375"/>
      <c r="AG33" s="372"/>
      <c r="AH33" s="372"/>
      <c r="AI33" s="372"/>
      <c r="AJ33" s="373"/>
      <c r="AK33" s="374"/>
      <c r="AL33" s="372"/>
      <c r="AM33" s="372"/>
      <c r="AN33" s="372"/>
      <c r="AO33" s="371"/>
      <c r="AP33" s="375"/>
      <c r="AQ33" s="372"/>
      <c r="AR33" s="372"/>
      <c r="AS33" s="372"/>
      <c r="AT33" s="373"/>
      <c r="AU33" s="374"/>
      <c r="AV33" s="372"/>
      <c r="AW33" s="372"/>
      <c r="AX33" s="372"/>
      <c r="AY33" s="371"/>
      <c r="AZ33" s="375"/>
      <c r="BA33" s="372"/>
      <c r="BB33" s="372"/>
      <c r="BC33" s="372"/>
      <c r="BD33" s="373"/>
      <c r="BE33" s="374"/>
      <c r="BF33" s="372"/>
      <c r="BG33" s="372"/>
      <c r="BH33" s="372"/>
      <c r="BI33" s="371"/>
      <c r="BJ33" s="375"/>
      <c r="BK33" s="372"/>
      <c r="BL33" s="372"/>
      <c r="BM33" s="372"/>
      <c r="BN33" s="373"/>
      <c r="BO33" s="374"/>
      <c r="BP33" s="372"/>
      <c r="BQ33" s="372"/>
      <c r="BR33" s="372"/>
      <c r="BS33" s="371"/>
      <c r="BT33" s="375"/>
      <c r="BU33" s="372"/>
      <c r="BV33" s="372"/>
      <c r="BW33" s="372"/>
      <c r="BX33" s="373"/>
      <c r="BY33" s="374"/>
      <c r="BZ33" s="372"/>
      <c r="CA33" s="372"/>
      <c r="CB33" s="372"/>
      <c r="CC33" s="371"/>
      <c r="CD33" s="375"/>
      <c r="CE33" s="372"/>
      <c r="CF33" s="372"/>
      <c r="CG33" s="372"/>
      <c r="CH33" s="371"/>
      <c r="CI33" s="375"/>
      <c r="CJ33" s="372"/>
      <c r="CK33" s="372"/>
      <c r="CL33" s="372"/>
      <c r="CM33" s="373"/>
    </row>
    <row r="34" spans="1:91" ht="25.5" customHeight="1" thickBot="1">
      <c r="A34" s="411">
        <v>4527</v>
      </c>
      <c r="B34" s="412" t="s">
        <v>11</v>
      </c>
      <c r="C34" s="412" t="s">
        <v>44</v>
      </c>
      <c r="D34" s="412" t="s">
        <v>76</v>
      </c>
      <c r="E34" s="377" t="s">
        <v>53</v>
      </c>
      <c r="F34" s="412"/>
      <c r="G34" s="377" t="s">
        <v>1622</v>
      </c>
      <c r="H34" s="376" t="s">
        <v>54</v>
      </c>
      <c r="I34" s="380"/>
      <c r="J34" s="377"/>
      <c r="K34" s="378"/>
      <c r="L34" s="413" t="s">
        <v>78</v>
      </c>
      <c r="M34" s="412" t="s">
        <v>77</v>
      </c>
      <c r="N34" s="412"/>
      <c r="O34" s="412" t="s">
        <v>77</v>
      </c>
      <c r="P34" s="414" t="s">
        <v>77</v>
      </c>
      <c r="Q34" s="413"/>
      <c r="R34" s="412"/>
      <c r="S34" s="412"/>
      <c r="T34" s="412"/>
      <c r="U34" s="415" t="s">
        <v>80</v>
      </c>
      <c r="V34" s="411"/>
      <c r="W34" s="377"/>
      <c r="X34" s="377"/>
      <c r="Y34" s="377"/>
      <c r="Z34" s="378"/>
      <c r="AA34" s="379"/>
      <c r="AB34" s="377"/>
      <c r="AC34" s="377"/>
      <c r="AD34" s="377"/>
      <c r="AE34" s="376"/>
      <c r="AF34" s="380"/>
      <c r="AG34" s="377"/>
      <c r="AH34" s="377"/>
      <c r="AI34" s="377"/>
      <c r="AJ34" s="378"/>
      <c r="AK34" s="379"/>
      <c r="AL34" s="377"/>
      <c r="AM34" s="377"/>
      <c r="AN34" s="377"/>
      <c r="AO34" s="376"/>
      <c r="AP34" s="380"/>
      <c r="AQ34" s="377"/>
      <c r="AR34" s="377"/>
      <c r="AS34" s="377"/>
      <c r="AT34" s="378"/>
      <c r="AU34" s="379"/>
      <c r="AV34" s="377"/>
      <c r="AW34" s="377"/>
      <c r="AX34" s="377"/>
      <c r="AY34" s="376"/>
      <c r="AZ34" s="380"/>
      <c r="BA34" s="377"/>
      <c r="BB34" s="377"/>
      <c r="BC34" s="377"/>
      <c r="BD34" s="378"/>
      <c r="BE34" s="379"/>
      <c r="BF34" s="377"/>
      <c r="BG34" s="377"/>
      <c r="BH34" s="377"/>
      <c r="BI34" s="376"/>
      <c r="BJ34" s="380"/>
      <c r="BK34" s="377"/>
      <c r="BL34" s="377"/>
      <c r="BM34" s="377"/>
      <c r="BN34" s="378"/>
      <c r="BO34" s="379"/>
      <c r="BP34" s="377"/>
      <c r="BQ34" s="377"/>
      <c r="BR34" s="377"/>
      <c r="BS34" s="376"/>
      <c r="BT34" s="380"/>
      <c r="BU34" s="377"/>
      <c r="BV34" s="377"/>
      <c r="BW34" s="377"/>
      <c r="BX34" s="378"/>
      <c r="BY34" s="379"/>
      <c r="BZ34" s="377"/>
      <c r="CA34" s="377"/>
      <c r="CB34" s="377"/>
      <c r="CC34" s="376"/>
      <c r="CD34" s="380"/>
      <c r="CE34" s="377"/>
      <c r="CF34" s="377"/>
      <c r="CG34" s="377"/>
      <c r="CH34" s="376"/>
      <c r="CI34" s="380"/>
      <c r="CJ34" s="377"/>
      <c r="CK34" s="377"/>
      <c r="CL34" s="377"/>
      <c r="CM34" s="378"/>
    </row>
    <row r="35" spans="1:91" ht="25.5" customHeight="1">
      <c r="A35" s="416">
        <v>4528</v>
      </c>
      <c r="B35" s="417" t="s">
        <v>11</v>
      </c>
      <c r="C35" s="417" t="s">
        <v>44</v>
      </c>
      <c r="D35" s="417" t="s">
        <v>76</v>
      </c>
      <c r="E35" s="381" t="s">
        <v>53</v>
      </c>
      <c r="F35" s="417"/>
      <c r="G35" s="381" t="s">
        <v>1624</v>
      </c>
      <c r="H35" s="384" t="s">
        <v>54</v>
      </c>
      <c r="I35" s="385"/>
      <c r="J35" s="381"/>
      <c r="K35" s="382"/>
      <c r="L35" s="418" t="s">
        <v>78</v>
      </c>
      <c r="M35" s="417" t="s">
        <v>77</v>
      </c>
      <c r="N35" s="417"/>
      <c r="O35" s="417" t="s">
        <v>77</v>
      </c>
      <c r="P35" s="419" t="s">
        <v>77</v>
      </c>
      <c r="Q35" s="418"/>
      <c r="R35" s="417"/>
      <c r="S35" s="417"/>
      <c r="T35" s="417"/>
      <c r="U35" s="420" t="s">
        <v>80</v>
      </c>
      <c r="V35" s="416"/>
      <c r="W35" s="381"/>
      <c r="X35" s="381"/>
      <c r="Y35" s="381"/>
      <c r="Z35" s="382"/>
      <c r="AA35" s="383"/>
      <c r="AB35" s="381"/>
      <c r="AC35" s="381"/>
      <c r="AD35" s="381"/>
      <c r="AE35" s="384"/>
      <c r="AF35" s="385"/>
      <c r="AG35" s="381"/>
      <c r="AH35" s="381"/>
      <c r="AI35" s="381"/>
      <c r="AJ35" s="382"/>
      <c r="AK35" s="383"/>
      <c r="AL35" s="381"/>
      <c r="AM35" s="381"/>
      <c r="AN35" s="381"/>
      <c r="AO35" s="384"/>
      <c r="AP35" s="385"/>
      <c r="AQ35" s="381"/>
      <c r="AR35" s="381"/>
      <c r="AS35" s="381"/>
      <c r="AT35" s="382"/>
      <c r="AU35" s="383"/>
      <c r="AV35" s="381"/>
      <c r="AW35" s="381"/>
      <c r="AX35" s="381"/>
      <c r="AY35" s="384"/>
      <c r="AZ35" s="385"/>
      <c r="BA35" s="381"/>
      <c r="BB35" s="381"/>
      <c r="BC35" s="381"/>
      <c r="BD35" s="382"/>
      <c r="BE35" s="383"/>
      <c r="BF35" s="381"/>
      <c r="BG35" s="381"/>
      <c r="BH35" s="381"/>
      <c r="BI35" s="384"/>
      <c r="BJ35" s="385"/>
      <c r="BK35" s="381"/>
      <c r="BL35" s="381"/>
      <c r="BM35" s="381"/>
      <c r="BN35" s="382"/>
      <c r="BO35" s="383"/>
      <c r="BP35" s="381"/>
      <c r="BQ35" s="381"/>
      <c r="BR35" s="381"/>
      <c r="BS35" s="384"/>
      <c r="BT35" s="385"/>
      <c r="BU35" s="381"/>
      <c r="BV35" s="381"/>
      <c r="BW35" s="381"/>
      <c r="BX35" s="382"/>
      <c r="BY35" s="383"/>
      <c r="BZ35" s="381"/>
      <c r="CA35" s="381"/>
      <c r="CB35" s="381"/>
      <c r="CC35" s="384"/>
      <c r="CD35" s="385"/>
      <c r="CE35" s="381"/>
      <c r="CF35" s="381"/>
      <c r="CG35" s="381"/>
      <c r="CH35" s="384"/>
      <c r="CI35" s="385"/>
      <c r="CJ35" s="381"/>
      <c r="CK35" s="381"/>
      <c r="CL35" s="381"/>
      <c r="CM35" s="382"/>
    </row>
    <row r="36" spans="1:91" ht="25.5" customHeight="1">
      <c r="A36" s="386">
        <v>4529</v>
      </c>
      <c r="B36" s="387" t="s">
        <v>11</v>
      </c>
      <c r="C36" s="387" t="s">
        <v>44</v>
      </c>
      <c r="D36" s="387" t="s">
        <v>76</v>
      </c>
      <c r="E36" s="372" t="s">
        <v>53</v>
      </c>
      <c r="F36" s="387"/>
      <c r="G36" s="372" t="s">
        <v>1626</v>
      </c>
      <c r="H36" s="371" t="s">
        <v>54</v>
      </c>
      <c r="I36" s="375"/>
      <c r="J36" s="372"/>
      <c r="K36" s="373"/>
      <c r="L36" s="388" t="s">
        <v>78</v>
      </c>
      <c r="M36" s="387" t="s">
        <v>77</v>
      </c>
      <c r="N36" s="387"/>
      <c r="O36" s="387" t="s">
        <v>77</v>
      </c>
      <c r="P36" s="389" t="s">
        <v>77</v>
      </c>
      <c r="Q36" s="388"/>
      <c r="R36" s="387"/>
      <c r="S36" s="387"/>
      <c r="T36" s="387"/>
      <c r="U36" s="390" t="s">
        <v>80</v>
      </c>
      <c r="V36" s="386"/>
      <c r="W36" s="372"/>
      <c r="X36" s="372"/>
      <c r="Y36" s="372"/>
      <c r="Z36" s="373"/>
      <c r="AA36" s="374"/>
      <c r="AB36" s="372"/>
      <c r="AC36" s="372"/>
      <c r="AD36" s="372"/>
      <c r="AE36" s="371"/>
      <c r="AF36" s="375"/>
      <c r="AG36" s="372"/>
      <c r="AH36" s="372"/>
      <c r="AI36" s="372"/>
      <c r="AJ36" s="373"/>
      <c r="AK36" s="374"/>
      <c r="AL36" s="372"/>
      <c r="AM36" s="372"/>
      <c r="AN36" s="372"/>
      <c r="AO36" s="371"/>
      <c r="AP36" s="375"/>
      <c r="AQ36" s="372"/>
      <c r="AR36" s="372"/>
      <c r="AS36" s="372"/>
      <c r="AT36" s="373"/>
      <c r="AU36" s="374"/>
      <c r="AV36" s="372"/>
      <c r="AW36" s="372"/>
      <c r="AX36" s="372"/>
      <c r="AY36" s="371"/>
      <c r="AZ36" s="375"/>
      <c r="BA36" s="372"/>
      <c r="BB36" s="372"/>
      <c r="BC36" s="372"/>
      <c r="BD36" s="373"/>
      <c r="BE36" s="374"/>
      <c r="BF36" s="372"/>
      <c r="BG36" s="372"/>
      <c r="BH36" s="372"/>
      <c r="BI36" s="371"/>
      <c r="BJ36" s="375"/>
      <c r="BK36" s="372"/>
      <c r="BL36" s="372"/>
      <c r="BM36" s="372"/>
      <c r="BN36" s="373"/>
      <c r="BO36" s="374"/>
      <c r="BP36" s="372"/>
      <c r="BQ36" s="372"/>
      <c r="BR36" s="372"/>
      <c r="BS36" s="371"/>
      <c r="BT36" s="375"/>
      <c r="BU36" s="372"/>
      <c r="BV36" s="372"/>
      <c r="BW36" s="372"/>
      <c r="BX36" s="373"/>
      <c r="BY36" s="374"/>
      <c r="BZ36" s="372"/>
      <c r="CA36" s="372"/>
      <c r="CB36" s="372"/>
      <c r="CC36" s="371"/>
      <c r="CD36" s="375"/>
      <c r="CE36" s="372"/>
      <c r="CF36" s="372"/>
      <c r="CG36" s="372"/>
      <c r="CH36" s="371"/>
      <c r="CI36" s="375"/>
      <c r="CJ36" s="372"/>
      <c r="CK36" s="372"/>
      <c r="CL36" s="372"/>
      <c r="CM36" s="373"/>
    </row>
    <row r="37" spans="1:91" ht="25.5" customHeight="1">
      <c r="A37" s="386">
        <v>4530</v>
      </c>
      <c r="B37" s="387" t="s">
        <v>11</v>
      </c>
      <c r="C37" s="387" t="s">
        <v>44</v>
      </c>
      <c r="D37" s="387" t="s">
        <v>76</v>
      </c>
      <c r="E37" s="372" t="s">
        <v>53</v>
      </c>
      <c r="F37" s="387"/>
      <c r="G37" s="372" t="s">
        <v>1628</v>
      </c>
      <c r="H37" s="371" t="s">
        <v>54</v>
      </c>
      <c r="I37" s="375"/>
      <c r="J37" s="372"/>
      <c r="K37" s="373"/>
      <c r="L37" s="388" t="s">
        <v>78</v>
      </c>
      <c r="M37" s="387" t="s">
        <v>77</v>
      </c>
      <c r="N37" s="387"/>
      <c r="O37" s="387" t="s">
        <v>77</v>
      </c>
      <c r="P37" s="389" t="s">
        <v>77</v>
      </c>
      <c r="Q37" s="388"/>
      <c r="R37" s="387"/>
      <c r="S37" s="387"/>
      <c r="T37" s="387"/>
      <c r="U37" s="390" t="s">
        <v>80</v>
      </c>
      <c r="V37" s="386"/>
      <c r="W37" s="372"/>
      <c r="X37" s="372"/>
      <c r="Y37" s="372"/>
      <c r="Z37" s="373"/>
      <c r="AA37" s="374"/>
      <c r="AB37" s="372"/>
      <c r="AC37" s="372"/>
      <c r="AD37" s="372"/>
      <c r="AE37" s="371"/>
      <c r="AF37" s="375"/>
      <c r="AG37" s="372"/>
      <c r="AH37" s="372"/>
      <c r="AI37" s="372"/>
      <c r="AJ37" s="373"/>
      <c r="AK37" s="374"/>
      <c r="AL37" s="372"/>
      <c r="AM37" s="372"/>
      <c r="AN37" s="372"/>
      <c r="AO37" s="371"/>
      <c r="AP37" s="375"/>
      <c r="AQ37" s="372"/>
      <c r="AR37" s="372"/>
      <c r="AS37" s="372"/>
      <c r="AT37" s="373"/>
      <c r="AU37" s="374"/>
      <c r="AV37" s="372"/>
      <c r="AW37" s="372"/>
      <c r="AX37" s="372"/>
      <c r="AY37" s="371"/>
      <c r="AZ37" s="375"/>
      <c r="BA37" s="372"/>
      <c r="BB37" s="372"/>
      <c r="BC37" s="372"/>
      <c r="BD37" s="373"/>
      <c r="BE37" s="374"/>
      <c r="BF37" s="372"/>
      <c r="BG37" s="372"/>
      <c r="BH37" s="372"/>
      <c r="BI37" s="371"/>
      <c r="BJ37" s="375"/>
      <c r="BK37" s="372"/>
      <c r="BL37" s="372"/>
      <c r="BM37" s="372"/>
      <c r="BN37" s="373"/>
      <c r="BO37" s="374"/>
      <c r="BP37" s="372"/>
      <c r="BQ37" s="372"/>
      <c r="BR37" s="372"/>
      <c r="BS37" s="371"/>
      <c r="BT37" s="375"/>
      <c r="BU37" s="372"/>
      <c r="BV37" s="372"/>
      <c r="BW37" s="372"/>
      <c r="BX37" s="373"/>
      <c r="BY37" s="374"/>
      <c r="BZ37" s="372"/>
      <c r="CA37" s="372"/>
      <c r="CB37" s="372"/>
      <c r="CC37" s="371"/>
      <c r="CD37" s="375"/>
      <c r="CE37" s="372"/>
      <c r="CF37" s="372"/>
      <c r="CG37" s="372"/>
      <c r="CH37" s="371"/>
      <c r="CI37" s="375"/>
      <c r="CJ37" s="372"/>
      <c r="CK37" s="372"/>
      <c r="CL37" s="372"/>
      <c r="CM37" s="373"/>
    </row>
    <row r="38" spans="1:91" ht="25.5" customHeight="1">
      <c r="A38" s="386">
        <v>4531</v>
      </c>
      <c r="B38" s="387" t="s">
        <v>11</v>
      </c>
      <c r="C38" s="387" t="s">
        <v>44</v>
      </c>
      <c r="D38" s="387" t="s">
        <v>76</v>
      </c>
      <c r="E38" s="372" t="s">
        <v>53</v>
      </c>
      <c r="F38" s="387"/>
      <c r="G38" s="372" t="s">
        <v>1630</v>
      </c>
      <c r="H38" s="371" t="s">
        <v>54</v>
      </c>
      <c r="I38" s="375"/>
      <c r="J38" s="372"/>
      <c r="K38" s="373"/>
      <c r="L38" s="388" t="s">
        <v>78</v>
      </c>
      <c r="M38" s="387" t="s">
        <v>77</v>
      </c>
      <c r="N38" s="387"/>
      <c r="O38" s="387" t="s">
        <v>77</v>
      </c>
      <c r="P38" s="389" t="s">
        <v>77</v>
      </c>
      <c r="Q38" s="388"/>
      <c r="R38" s="387"/>
      <c r="S38" s="387"/>
      <c r="T38" s="387"/>
      <c r="U38" s="390" t="s">
        <v>80</v>
      </c>
      <c r="V38" s="386"/>
      <c r="W38" s="372"/>
      <c r="X38" s="372"/>
      <c r="Y38" s="372"/>
      <c r="Z38" s="373"/>
      <c r="AA38" s="374"/>
      <c r="AB38" s="372"/>
      <c r="AC38" s="372"/>
      <c r="AD38" s="372"/>
      <c r="AE38" s="371"/>
      <c r="AF38" s="375"/>
      <c r="AG38" s="372"/>
      <c r="AH38" s="372"/>
      <c r="AI38" s="372"/>
      <c r="AJ38" s="373"/>
      <c r="AK38" s="374"/>
      <c r="AL38" s="372"/>
      <c r="AM38" s="372"/>
      <c r="AN38" s="372"/>
      <c r="AO38" s="371"/>
      <c r="AP38" s="375"/>
      <c r="AQ38" s="372"/>
      <c r="AR38" s="372"/>
      <c r="AS38" s="372"/>
      <c r="AT38" s="373"/>
      <c r="AU38" s="374"/>
      <c r="AV38" s="372"/>
      <c r="AW38" s="372"/>
      <c r="AX38" s="372"/>
      <c r="AY38" s="371"/>
      <c r="AZ38" s="375"/>
      <c r="BA38" s="372"/>
      <c r="BB38" s="372"/>
      <c r="BC38" s="372"/>
      <c r="BD38" s="373"/>
      <c r="BE38" s="374"/>
      <c r="BF38" s="372"/>
      <c r="BG38" s="372"/>
      <c r="BH38" s="372"/>
      <c r="BI38" s="371"/>
      <c r="BJ38" s="375"/>
      <c r="BK38" s="372"/>
      <c r="BL38" s="372"/>
      <c r="BM38" s="372"/>
      <c r="BN38" s="373"/>
      <c r="BO38" s="374"/>
      <c r="BP38" s="372"/>
      <c r="BQ38" s="372"/>
      <c r="BR38" s="372"/>
      <c r="BS38" s="371"/>
      <c r="BT38" s="375"/>
      <c r="BU38" s="372"/>
      <c r="BV38" s="372"/>
      <c r="BW38" s="372"/>
      <c r="BX38" s="373"/>
      <c r="BY38" s="374"/>
      <c r="BZ38" s="372"/>
      <c r="CA38" s="372"/>
      <c r="CB38" s="372"/>
      <c r="CC38" s="371"/>
      <c r="CD38" s="375"/>
      <c r="CE38" s="372"/>
      <c r="CF38" s="372"/>
      <c r="CG38" s="372"/>
      <c r="CH38" s="371"/>
      <c r="CI38" s="375"/>
      <c r="CJ38" s="372"/>
      <c r="CK38" s="372"/>
      <c r="CL38" s="372"/>
      <c r="CM38" s="373"/>
    </row>
    <row r="39" spans="1:91" ht="25.5" customHeight="1" thickBot="1">
      <c r="A39" s="391">
        <v>4532</v>
      </c>
      <c r="B39" s="392" t="s">
        <v>11</v>
      </c>
      <c r="C39" s="392" t="s">
        <v>44</v>
      </c>
      <c r="D39" s="392" t="s">
        <v>76</v>
      </c>
      <c r="E39" s="393" t="s">
        <v>53</v>
      </c>
      <c r="F39" s="392"/>
      <c r="G39" s="393" t="s">
        <v>1632</v>
      </c>
      <c r="H39" s="394" t="s">
        <v>54</v>
      </c>
      <c r="I39" s="395"/>
      <c r="J39" s="393"/>
      <c r="K39" s="396"/>
      <c r="L39" s="397" t="s">
        <v>78</v>
      </c>
      <c r="M39" s="392" t="s">
        <v>77</v>
      </c>
      <c r="N39" s="392"/>
      <c r="O39" s="392" t="s">
        <v>77</v>
      </c>
      <c r="P39" s="398" t="s">
        <v>77</v>
      </c>
      <c r="Q39" s="397"/>
      <c r="R39" s="392"/>
      <c r="S39" s="392"/>
      <c r="T39" s="392"/>
      <c r="U39" s="399" t="s">
        <v>80</v>
      </c>
      <c r="V39" s="391"/>
      <c r="W39" s="393"/>
      <c r="X39" s="393"/>
      <c r="Y39" s="393"/>
      <c r="Z39" s="396"/>
      <c r="AA39" s="400"/>
      <c r="AB39" s="393"/>
      <c r="AC39" s="393"/>
      <c r="AD39" s="393"/>
      <c r="AE39" s="394"/>
      <c r="AF39" s="395"/>
      <c r="AG39" s="393"/>
      <c r="AH39" s="393"/>
      <c r="AI39" s="393"/>
      <c r="AJ39" s="396"/>
      <c r="AK39" s="400"/>
      <c r="AL39" s="393"/>
      <c r="AM39" s="393"/>
      <c r="AN39" s="393"/>
      <c r="AO39" s="394"/>
      <c r="AP39" s="395"/>
      <c r="AQ39" s="393"/>
      <c r="AR39" s="393"/>
      <c r="AS39" s="393"/>
      <c r="AT39" s="396"/>
      <c r="AU39" s="400"/>
      <c r="AV39" s="393"/>
      <c r="AW39" s="393"/>
      <c r="AX39" s="393"/>
      <c r="AY39" s="394"/>
      <c r="AZ39" s="395"/>
      <c r="BA39" s="393"/>
      <c r="BB39" s="393"/>
      <c r="BC39" s="393"/>
      <c r="BD39" s="396"/>
      <c r="BE39" s="400"/>
      <c r="BF39" s="393"/>
      <c r="BG39" s="393"/>
      <c r="BH39" s="393"/>
      <c r="BI39" s="394"/>
      <c r="BJ39" s="395"/>
      <c r="BK39" s="393"/>
      <c r="BL39" s="393"/>
      <c r="BM39" s="393"/>
      <c r="BN39" s="396"/>
      <c r="BO39" s="400"/>
      <c r="BP39" s="393"/>
      <c r="BQ39" s="393"/>
      <c r="BR39" s="393"/>
      <c r="BS39" s="394"/>
      <c r="BT39" s="395"/>
      <c r="BU39" s="393"/>
      <c r="BV39" s="393"/>
      <c r="BW39" s="393"/>
      <c r="BX39" s="396"/>
      <c r="BY39" s="400"/>
      <c r="BZ39" s="393"/>
      <c r="CA39" s="393"/>
      <c r="CB39" s="393"/>
      <c r="CC39" s="394"/>
      <c r="CD39" s="395"/>
      <c r="CE39" s="393"/>
      <c r="CF39" s="393"/>
      <c r="CG39" s="393"/>
      <c r="CH39" s="394"/>
      <c r="CI39" s="395"/>
      <c r="CJ39" s="393"/>
      <c r="CK39" s="393"/>
      <c r="CL39" s="393"/>
      <c r="CM39" s="396"/>
    </row>
    <row r="40" spans="1:91" ht="25.5" customHeight="1">
      <c r="A40" s="401">
        <v>4533</v>
      </c>
      <c r="B40" s="402" t="s">
        <v>11</v>
      </c>
      <c r="C40" s="402" t="s">
        <v>44</v>
      </c>
      <c r="D40" s="402" t="s">
        <v>76</v>
      </c>
      <c r="E40" s="403" t="s">
        <v>53</v>
      </c>
      <c r="F40" s="402"/>
      <c r="G40" s="403" t="s">
        <v>1634</v>
      </c>
      <c r="H40" s="404" t="s">
        <v>54</v>
      </c>
      <c r="I40" s="405"/>
      <c r="J40" s="403"/>
      <c r="K40" s="406"/>
      <c r="L40" s="407" t="s">
        <v>78</v>
      </c>
      <c r="M40" s="402" t="s">
        <v>77</v>
      </c>
      <c r="N40" s="402"/>
      <c r="O40" s="402" t="s">
        <v>77</v>
      </c>
      <c r="P40" s="408" t="s">
        <v>77</v>
      </c>
      <c r="Q40" s="407"/>
      <c r="R40" s="402"/>
      <c r="S40" s="402"/>
      <c r="T40" s="402"/>
      <c r="U40" s="409" t="s">
        <v>80</v>
      </c>
      <c r="V40" s="401"/>
      <c r="W40" s="403"/>
      <c r="X40" s="403"/>
      <c r="Y40" s="403"/>
      <c r="Z40" s="406"/>
      <c r="AA40" s="410"/>
      <c r="AB40" s="403"/>
      <c r="AC40" s="403"/>
      <c r="AD40" s="403"/>
      <c r="AE40" s="404"/>
      <c r="AF40" s="405"/>
      <c r="AG40" s="403"/>
      <c r="AH40" s="403"/>
      <c r="AI40" s="403"/>
      <c r="AJ40" s="406"/>
      <c r="AK40" s="410"/>
      <c r="AL40" s="403"/>
      <c r="AM40" s="403"/>
      <c r="AN40" s="403"/>
      <c r="AO40" s="404"/>
      <c r="AP40" s="405"/>
      <c r="AQ40" s="403"/>
      <c r="AR40" s="403"/>
      <c r="AS40" s="403"/>
      <c r="AT40" s="406"/>
      <c r="AU40" s="410"/>
      <c r="AV40" s="403"/>
      <c r="AW40" s="403"/>
      <c r="AX40" s="403"/>
      <c r="AY40" s="404"/>
      <c r="AZ40" s="405"/>
      <c r="BA40" s="403"/>
      <c r="BB40" s="403"/>
      <c r="BC40" s="403"/>
      <c r="BD40" s="406"/>
      <c r="BE40" s="410"/>
      <c r="BF40" s="403"/>
      <c r="BG40" s="403"/>
      <c r="BH40" s="403"/>
      <c r="BI40" s="404"/>
      <c r="BJ40" s="405"/>
      <c r="BK40" s="403"/>
      <c r="BL40" s="403"/>
      <c r="BM40" s="403"/>
      <c r="BN40" s="406"/>
      <c r="BO40" s="410"/>
      <c r="BP40" s="403"/>
      <c r="BQ40" s="403"/>
      <c r="BR40" s="403"/>
      <c r="BS40" s="404"/>
      <c r="BT40" s="405"/>
      <c r="BU40" s="403"/>
      <c r="BV40" s="403"/>
      <c r="BW40" s="403"/>
      <c r="BX40" s="406"/>
      <c r="BY40" s="410"/>
      <c r="BZ40" s="403"/>
      <c r="CA40" s="403"/>
      <c r="CB40" s="403"/>
      <c r="CC40" s="404"/>
      <c r="CD40" s="405"/>
      <c r="CE40" s="403"/>
      <c r="CF40" s="403"/>
      <c r="CG40" s="403"/>
      <c r="CH40" s="404"/>
      <c r="CI40" s="405"/>
      <c r="CJ40" s="403"/>
      <c r="CK40" s="403"/>
      <c r="CL40" s="403"/>
      <c r="CM40" s="406"/>
    </row>
    <row r="41" spans="1:91" ht="25.5" customHeight="1">
      <c r="A41" s="386">
        <v>4534</v>
      </c>
      <c r="B41" s="387" t="s">
        <v>11</v>
      </c>
      <c r="C41" s="387" t="s">
        <v>44</v>
      </c>
      <c r="D41" s="387" t="s">
        <v>76</v>
      </c>
      <c r="E41" s="372" t="s">
        <v>53</v>
      </c>
      <c r="F41" s="387"/>
      <c r="G41" s="372" t="s">
        <v>1636</v>
      </c>
      <c r="H41" s="371" t="s">
        <v>54</v>
      </c>
      <c r="I41" s="375"/>
      <c r="J41" s="372"/>
      <c r="K41" s="373"/>
      <c r="L41" s="388" t="s">
        <v>78</v>
      </c>
      <c r="M41" s="387" t="s">
        <v>77</v>
      </c>
      <c r="N41" s="387"/>
      <c r="O41" s="387" t="s">
        <v>77</v>
      </c>
      <c r="P41" s="389" t="s">
        <v>77</v>
      </c>
      <c r="Q41" s="388"/>
      <c r="R41" s="387"/>
      <c r="S41" s="387"/>
      <c r="T41" s="387"/>
      <c r="U41" s="390" t="s">
        <v>80</v>
      </c>
      <c r="V41" s="386"/>
      <c r="W41" s="372"/>
      <c r="X41" s="372"/>
      <c r="Y41" s="372"/>
      <c r="Z41" s="373"/>
      <c r="AA41" s="374"/>
      <c r="AB41" s="372"/>
      <c r="AC41" s="372"/>
      <c r="AD41" s="372"/>
      <c r="AE41" s="371"/>
      <c r="AF41" s="375"/>
      <c r="AG41" s="372"/>
      <c r="AH41" s="372"/>
      <c r="AI41" s="372"/>
      <c r="AJ41" s="373"/>
      <c r="AK41" s="374"/>
      <c r="AL41" s="372"/>
      <c r="AM41" s="372"/>
      <c r="AN41" s="372"/>
      <c r="AO41" s="371"/>
      <c r="AP41" s="375"/>
      <c r="AQ41" s="372"/>
      <c r="AR41" s="372"/>
      <c r="AS41" s="372"/>
      <c r="AT41" s="373"/>
      <c r="AU41" s="374"/>
      <c r="AV41" s="372"/>
      <c r="AW41" s="372"/>
      <c r="AX41" s="372"/>
      <c r="AY41" s="371"/>
      <c r="AZ41" s="375"/>
      <c r="BA41" s="372"/>
      <c r="BB41" s="372"/>
      <c r="BC41" s="372"/>
      <c r="BD41" s="373"/>
      <c r="BE41" s="374"/>
      <c r="BF41" s="372"/>
      <c r="BG41" s="372"/>
      <c r="BH41" s="372"/>
      <c r="BI41" s="371"/>
      <c r="BJ41" s="375"/>
      <c r="BK41" s="372"/>
      <c r="BL41" s="372"/>
      <c r="BM41" s="372"/>
      <c r="BN41" s="373"/>
      <c r="BO41" s="374"/>
      <c r="BP41" s="372"/>
      <c r="BQ41" s="372"/>
      <c r="BR41" s="372"/>
      <c r="BS41" s="371"/>
      <c r="BT41" s="375"/>
      <c r="BU41" s="372"/>
      <c r="BV41" s="372"/>
      <c r="BW41" s="372"/>
      <c r="BX41" s="373"/>
      <c r="BY41" s="374"/>
      <c r="BZ41" s="372"/>
      <c r="CA41" s="372"/>
      <c r="CB41" s="372"/>
      <c r="CC41" s="371"/>
      <c r="CD41" s="375"/>
      <c r="CE41" s="372"/>
      <c r="CF41" s="372"/>
      <c r="CG41" s="372"/>
      <c r="CH41" s="371"/>
      <c r="CI41" s="375"/>
      <c r="CJ41" s="372"/>
      <c r="CK41" s="372"/>
      <c r="CL41" s="372"/>
      <c r="CM41" s="373"/>
    </row>
    <row r="42" spans="1:91" ht="25.5" customHeight="1">
      <c r="A42" s="386">
        <v>4535</v>
      </c>
      <c r="B42" s="387" t="s">
        <v>11</v>
      </c>
      <c r="C42" s="387" t="s">
        <v>44</v>
      </c>
      <c r="D42" s="387" t="s">
        <v>76</v>
      </c>
      <c r="E42" s="372" t="s">
        <v>53</v>
      </c>
      <c r="F42" s="387"/>
      <c r="G42" s="372" t="s">
        <v>1638</v>
      </c>
      <c r="H42" s="371" t="s">
        <v>54</v>
      </c>
      <c r="I42" s="375"/>
      <c r="J42" s="372"/>
      <c r="K42" s="373"/>
      <c r="L42" s="388" t="s">
        <v>78</v>
      </c>
      <c r="M42" s="387" t="s">
        <v>77</v>
      </c>
      <c r="N42" s="387"/>
      <c r="O42" s="387" t="s">
        <v>77</v>
      </c>
      <c r="P42" s="389" t="s">
        <v>77</v>
      </c>
      <c r="Q42" s="388"/>
      <c r="R42" s="387"/>
      <c r="S42" s="387"/>
      <c r="T42" s="387"/>
      <c r="U42" s="390" t="s">
        <v>80</v>
      </c>
      <c r="V42" s="386"/>
      <c r="W42" s="372"/>
      <c r="X42" s="372"/>
      <c r="Y42" s="372"/>
      <c r="Z42" s="373"/>
      <c r="AA42" s="374"/>
      <c r="AB42" s="372"/>
      <c r="AC42" s="372"/>
      <c r="AD42" s="372"/>
      <c r="AE42" s="371"/>
      <c r="AF42" s="375"/>
      <c r="AG42" s="372"/>
      <c r="AH42" s="372"/>
      <c r="AI42" s="372"/>
      <c r="AJ42" s="373"/>
      <c r="AK42" s="374"/>
      <c r="AL42" s="372"/>
      <c r="AM42" s="372"/>
      <c r="AN42" s="372"/>
      <c r="AO42" s="371"/>
      <c r="AP42" s="375"/>
      <c r="AQ42" s="372"/>
      <c r="AR42" s="372"/>
      <c r="AS42" s="372"/>
      <c r="AT42" s="373"/>
      <c r="AU42" s="374"/>
      <c r="AV42" s="372"/>
      <c r="AW42" s="372"/>
      <c r="AX42" s="372"/>
      <c r="AY42" s="371"/>
      <c r="AZ42" s="375"/>
      <c r="BA42" s="372"/>
      <c r="BB42" s="372"/>
      <c r="BC42" s="372"/>
      <c r="BD42" s="373"/>
      <c r="BE42" s="374"/>
      <c r="BF42" s="372"/>
      <c r="BG42" s="372"/>
      <c r="BH42" s="372"/>
      <c r="BI42" s="371"/>
      <c r="BJ42" s="375"/>
      <c r="BK42" s="372"/>
      <c r="BL42" s="372"/>
      <c r="BM42" s="372"/>
      <c r="BN42" s="373"/>
      <c r="BO42" s="374"/>
      <c r="BP42" s="372"/>
      <c r="BQ42" s="372"/>
      <c r="BR42" s="372"/>
      <c r="BS42" s="371"/>
      <c r="BT42" s="375"/>
      <c r="BU42" s="372"/>
      <c r="BV42" s="372"/>
      <c r="BW42" s="372"/>
      <c r="BX42" s="373"/>
      <c r="BY42" s="374"/>
      <c r="BZ42" s="372"/>
      <c r="CA42" s="372"/>
      <c r="CB42" s="372"/>
      <c r="CC42" s="371"/>
      <c r="CD42" s="375"/>
      <c r="CE42" s="372"/>
      <c r="CF42" s="372"/>
      <c r="CG42" s="372"/>
      <c r="CH42" s="371"/>
      <c r="CI42" s="375"/>
      <c r="CJ42" s="372"/>
      <c r="CK42" s="372"/>
      <c r="CL42" s="372"/>
      <c r="CM42" s="373"/>
    </row>
    <row r="43" spans="1:91" ht="25.5" customHeight="1">
      <c r="A43" s="386">
        <v>4536</v>
      </c>
      <c r="B43" s="387" t="s">
        <v>11</v>
      </c>
      <c r="C43" s="387" t="s">
        <v>44</v>
      </c>
      <c r="D43" s="387" t="s">
        <v>76</v>
      </c>
      <c r="E43" s="372" t="s">
        <v>53</v>
      </c>
      <c r="F43" s="387"/>
      <c r="G43" s="372" t="s">
        <v>1640</v>
      </c>
      <c r="H43" s="371" t="s">
        <v>54</v>
      </c>
      <c r="I43" s="375"/>
      <c r="J43" s="372"/>
      <c r="K43" s="373"/>
      <c r="L43" s="388" t="s">
        <v>78</v>
      </c>
      <c r="M43" s="387" t="s">
        <v>77</v>
      </c>
      <c r="N43" s="387"/>
      <c r="O43" s="387" t="s">
        <v>77</v>
      </c>
      <c r="P43" s="389" t="s">
        <v>77</v>
      </c>
      <c r="Q43" s="388"/>
      <c r="R43" s="387"/>
      <c r="S43" s="387"/>
      <c r="T43" s="387"/>
      <c r="U43" s="390" t="s">
        <v>80</v>
      </c>
      <c r="V43" s="386"/>
      <c r="W43" s="372"/>
      <c r="X43" s="372"/>
      <c r="Y43" s="372"/>
      <c r="Z43" s="373"/>
      <c r="AA43" s="374"/>
      <c r="AB43" s="372"/>
      <c r="AC43" s="372"/>
      <c r="AD43" s="372"/>
      <c r="AE43" s="371"/>
      <c r="AF43" s="375"/>
      <c r="AG43" s="372"/>
      <c r="AH43" s="372"/>
      <c r="AI43" s="372"/>
      <c r="AJ43" s="373"/>
      <c r="AK43" s="374"/>
      <c r="AL43" s="372"/>
      <c r="AM43" s="372"/>
      <c r="AN43" s="372"/>
      <c r="AO43" s="371"/>
      <c r="AP43" s="375"/>
      <c r="AQ43" s="372"/>
      <c r="AR43" s="372"/>
      <c r="AS43" s="372"/>
      <c r="AT43" s="373"/>
      <c r="AU43" s="374"/>
      <c r="AV43" s="372"/>
      <c r="AW43" s="372"/>
      <c r="AX43" s="372"/>
      <c r="AY43" s="371"/>
      <c r="AZ43" s="375"/>
      <c r="BA43" s="372"/>
      <c r="BB43" s="372"/>
      <c r="BC43" s="372"/>
      <c r="BD43" s="373"/>
      <c r="BE43" s="374"/>
      <c r="BF43" s="372"/>
      <c r="BG43" s="372"/>
      <c r="BH43" s="372"/>
      <c r="BI43" s="371"/>
      <c r="BJ43" s="375"/>
      <c r="BK43" s="372"/>
      <c r="BL43" s="372"/>
      <c r="BM43" s="372"/>
      <c r="BN43" s="373"/>
      <c r="BO43" s="374"/>
      <c r="BP43" s="372"/>
      <c r="BQ43" s="372"/>
      <c r="BR43" s="372"/>
      <c r="BS43" s="371"/>
      <c r="BT43" s="375"/>
      <c r="BU43" s="372"/>
      <c r="BV43" s="372"/>
      <c r="BW43" s="372"/>
      <c r="BX43" s="373"/>
      <c r="BY43" s="374"/>
      <c r="BZ43" s="372"/>
      <c r="CA43" s="372"/>
      <c r="CB43" s="372"/>
      <c r="CC43" s="371"/>
      <c r="CD43" s="375"/>
      <c r="CE43" s="372"/>
      <c r="CF43" s="372"/>
      <c r="CG43" s="372"/>
      <c r="CH43" s="371"/>
      <c r="CI43" s="375"/>
      <c r="CJ43" s="372"/>
      <c r="CK43" s="372"/>
      <c r="CL43" s="372"/>
      <c r="CM43" s="373"/>
    </row>
    <row r="44" spans="1:91" ht="25.5" customHeight="1" thickBot="1">
      <c r="A44" s="411">
        <v>4537</v>
      </c>
      <c r="B44" s="412" t="s">
        <v>11</v>
      </c>
      <c r="C44" s="412" t="s">
        <v>44</v>
      </c>
      <c r="D44" s="412" t="s">
        <v>76</v>
      </c>
      <c r="E44" s="377" t="s">
        <v>53</v>
      </c>
      <c r="F44" s="412"/>
      <c r="G44" s="377" t="s">
        <v>1642</v>
      </c>
      <c r="H44" s="376" t="s">
        <v>54</v>
      </c>
      <c r="I44" s="380"/>
      <c r="J44" s="377"/>
      <c r="K44" s="378"/>
      <c r="L44" s="413" t="s">
        <v>78</v>
      </c>
      <c r="M44" s="412" t="s">
        <v>77</v>
      </c>
      <c r="N44" s="412"/>
      <c r="O44" s="412" t="s">
        <v>77</v>
      </c>
      <c r="P44" s="414" t="s">
        <v>77</v>
      </c>
      <c r="Q44" s="413"/>
      <c r="R44" s="412"/>
      <c r="S44" s="412"/>
      <c r="T44" s="412"/>
      <c r="U44" s="415" t="s">
        <v>80</v>
      </c>
      <c r="V44" s="411"/>
      <c r="W44" s="377"/>
      <c r="X44" s="377"/>
      <c r="Y44" s="377"/>
      <c r="Z44" s="378"/>
      <c r="AA44" s="379"/>
      <c r="AB44" s="377"/>
      <c r="AC44" s="377"/>
      <c r="AD44" s="377"/>
      <c r="AE44" s="376"/>
      <c r="AF44" s="380"/>
      <c r="AG44" s="377"/>
      <c r="AH44" s="377"/>
      <c r="AI44" s="377"/>
      <c r="AJ44" s="378"/>
      <c r="AK44" s="379"/>
      <c r="AL44" s="377"/>
      <c r="AM44" s="377"/>
      <c r="AN44" s="377"/>
      <c r="AO44" s="376"/>
      <c r="AP44" s="380"/>
      <c r="AQ44" s="377"/>
      <c r="AR44" s="377"/>
      <c r="AS44" s="377"/>
      <c r="AT44" s="378"/>
      <c r="AU44" s="379"/>
      <c r="AV44" s="377"/>
      <c r="AW44" s="377"/>
      <c r="AX44" s="377"/>
      <c r="AY44" s="376"/>
      <c r="AZ44" s="380"/>
      <c r="BA44" s="377"/>
      <c r="BB44" s="377"/>
      <c r="BC44" s="377"/>
      <c r="BD44" s="378"/>
      <c r="BE44" s="379"/>
      <c r="BF44" s="377"/>
      <c r="BG44" s="377"/>
      <c r="BH44" s="377"/>
      <c r="BI44" s="376"/>
      <c r="BJ44" s="380"/>
      <c r="BK44" s="377"/>
      <c r="BL44" s="377"/>
      <c r="BM44" s="377"/>
      <c r="BN44" s="378"/>
      <c r="BO44" s="379"/>
      <c r="BP44" s="377"/>
      <c r="BQ44" s="377"/>
      <c r="BR44" s="377"/>
      <c r="BS44" s="376"/>
      <c r="BT44" s="380"/>
      <c r="BU44" s="377"/>
      <c r="BV44" s="377"/>
      <c r="BW44" s="377"/>
      <c r="BX44" s="378"/>
      <c r="BY44" s="379"/>
      <c r="BZ44" s="377"/>
      <c r="CA44" s="377"/>
      <c r="CB44" s="377"/>
      <c r="CC44" s="376"/>
      <c r="CD44" s="380"/>
      <c r="CE44" s="377"/>
      <c r="CF44" s="377"/>
      <c r="CG44" s="377"/>
      <c r="CH44" s="376"/>
      <c r="CI44" s="380"/>
      <c r="CJ44" s="377"/>
      <c r="CK44" s="377"/>
      <c r="CL44" s="377"/>
      <c r="CM44" s="378"/>
    </row>
    <row r="45" spans="1:91" ht="25.5" customHeight="1">
      <c r="A45" s="416">
        <v>4538</v>
      </c>
      <c r="B45" s="417" t="s">
        <v>11</v>
      </c>
      <c r="C45" s="417" t="s">
        <v>44</v>
      </c>
      <c r="D45" s="417" t="s">
        <v>76</v>
      </c>
      <c r="E45" s="381" t="s">
        <v>53</v>
      </c>
      <c r="F45" s="417"/>
      <c r="G45" s="381" t="s">
        <v>1644</v>
      </c>
      <c r="H45" s="384" t="s">
        <v>54</v>
      </c>
      <c r="I45" s="385"/>
      <c r="J45" s="381"/>
      <c r="K45" s="382"/>
      <c r="L45" s="418" t="s">
        <v>78</v>
      </c>
      <c r="M45" s="417" t="s">
        <v>77</v>
      </c>
      <c r="N45" s="417"/>
      <c r="O45" s="417" t="s">
        <v>77</v>
      </c>
      <c r="P45" s="419" t="s">
        <v>77</v>
      </c>
      <c r="Q45" s="418"/>
      <c r="R45" s="417"/>
      <c r="S45" s="417"/>
      <c r="T45" s="417"/>
      <c r="U45" s="420" t="s">
        <v>80</v>
      </c>
      <c r="V45" s="416"/>
      <c r="W45" s="381"/>
      <c r="X45" s="381"/>
      <c r="Y45" s="381"/>
      <c r="Z45" s="382"/>
      <c r="AA45" s="383"/>
      <c r="AB45" s="381"/>
      <c r="AC45" s="381"/>
      <c r="AD45" s="381"/>
      <c r="AE45" s="384"/>
      <c r="AF45" s="385"/>
      <c r="AG45" s="381"/>
      <c r="AH45" s="381"/>
      <c r="AI45" s="381"/>
      <c r="AJ45" s="382"/>
      <c r="AK45" s="383"/>
      <c r="AL45" s="381"/>
      <c r="AM45" s="381"/>
      <c r="AN45" s="381"/>
      <c r="AO45" s="384"/>
      <c r="AP45" s="385"/>
      <c r="AQ45" s="381"/>
      <c r="AR45" s="381"/>
      <c r="AS45" s="381"/>
      <c r="AT45" s="382"/>
      <c r="AU45" s="383"/>
      <c r="AV45" s="381"/>
      <c r="AW45" s="381"/>
      <c r="AX45" s="381"/>
      <c r="AY45" s="384"/>
      <c r="AZ45" s="385"/>
      <c r="BA45" s="381"/>
      <c r="BB45" s="381"/>
      <c r="BC45" s="381"/>
      <c r="BD45" s="382"/>
      <c r="BE45" s="383"/>
      <c r="BF45" s="381"/>
      <c r="BG45" s="381"/>
      <c r="BH45" s="381"/>
      <c r="BI45" s="384"/>
      <c r="BJ45" s="385"/>
      <c r="BK45" s="381"/>
      <c r="BL45" s="381"/>
      <c r="BM45" s="381"/>
      <c r="BN45" s="382"/>
      <c r="BO45" s="383"/>
      <c r="BP45" s="381"/>
      <c r="BQ45" s="381"/>
      <c r="BR45" s="381"/>
      <c r="BS45" s="384"/>
      <c r="BT45" s="385"/>
      <c r="BU45" s="381"/>
      <c r="BV45" s="381"/>
      <c r="BW45" s="381"/>
      <c r="BX45" s="382"/>
      <c r="BY45" s="383"/>
      <c r="BZ45" s="381"/>
      <c r="CA45" s="381"/>
      <c r="CB45" s="381"/>
      <c r="CC45" s="384"/>
      <c r="CD45" s="385"/>
      <c r="CE45" s="381"/>
      <c r="CF45" s="381"/>
      <c r="CG45" s="381"/>
      <c r="CH45" s="384"/>
      <c r="CI45" s="385"/>
      <c r="CJ45" s="381"/>
      <c r="CK45" s="381"/>
      <c r="CL45" s="381"/>
      <c r="CM45" s="382"/>
    </row>
    <row r="46" spans="1:91" ht="25.5" customHeight="1">
      <c r="A46" s="386">
        <v>4539</v>
      </c>
      <c r="B46" s="387" t="s">
        <v>11</v>
      </c>
      <c r="C46" s="387" t="s">
        <v>44</v>
      </c>
      <c r="D46" s="387" t="s">
        <v>76</v>
      </c>
      <c r="E46" s="372" t="s">
        <v>53</v>
      </c>
      <c r="F46" s="387"/>
      <c r="G46" s="372" t="s">
        <v>1646</v>
      </c>
      <c r="H46" s="371" t="s">
        <v>54</v>
      </c>
      <c r="I46" s="375"/>
      <c r="J46" s="372"/>
      <c r="K46" s="373"/>
      <c r="L46" s="388" t="s">
        <v>78</v>
      </c>
      <c r="M46" s="387" t="s">
        <v>77</v>
      </c>
      <c r="N46" s="387"/>
      <c r="O46" s="387" t="s">
        <v>77</v>
      </c>
      <c r="P46" s="389" t="s">
        <v>77</v>
      </c>
      <c r="Q46" s="388"/>
      <c r="R46" s="387"/>
      <c r="S46" s="387"/>
      <c r="T46" s="387"/>
      <c r="U46" s="390" t="s">
        <v>80</v>
      </c>
      <c r="V46" s="386"/>
      <c r="W46" s="372"/>
      <c r="X46" s="372"/>
      <c r="Y46" s="372"/>
      <c r="Z46" s="373"/>
      <c r="AA46" s="374"/>
      <c r="AB46" s="372"/>
      <c r="AC46" s="372"/>
      <c r="AD46" s="372"/>
      <c r="AE46" s="371"/>
      <c r="AF46" s="375"/>
      <c r="AG46" s="372"/>
      <c r="AH46" s="372"/>
      <c r="AI46" s="372"/>
      <c r="AJ46" s="373"/>
      <c r="AK46" s="374"/>
      <c r="AL46" s="372"/>
      <c r="AM46" s="372"/>
      <c r="AN46" s="372"/>
      <c r="AO46" s="371"/>
      <c r="AP46" s="375"/>
      <c r="AQ46" s="372"/>
      <c r="AR46" s="372"/>
      <c r="AS46" s="372"/>
      <c r="AT46" s="373"/>
      <c r="AU46" s="374"/>
      <c r="AV46" s="372"/>
      <c r="AW46" s="372"/>
      <c r="AX46" s="372"/>
      <c r="AY46" s="371"/>
      <c r="AZ46" s="375"/>
      <c r="BA46" s="372"/>
      <c r="BB46" s="372"/>
      <c r="BC46" s="372"/>
      <c r="BD46" s="373"/>
      <c r="BE46" s="374"/>
      <c r="BF46" s="372"/>
      <c r="BG46" s="372"/>
      <c r="BH46" s="372"/>
      <c r="BI46" s="371"/>
      <c r="BJ46" s="375"/>
      <c r="BK46" s="372"/>
      <c r="BL46" s="372"/>
      <c r="BM46" s="372"/>
      <c r="BN46" s="373"/>
      <c r="BO46" s="374"/>
      <c r="BP46" s="372"/>
      <c r="BQ46" s="372"/>
      <c r="BR46" s="372"/>
      <c r="BS46" s="371"/>
      <c r="BT46" s="375"/>
      <c r="BU46" s="372"/>
      <c r="BV46" s="372"/>
      <c r="BW46" s="372"/>
      <c r="BX46" s="373"/>
      <c r="BY46" s="374"/>
      <c r="BZ46" s="372"/>
      <c r="CA46" s="372"/>
      <c r="CB46" s="372"/>
      <c r="CC46" s="371"/>
      <c r="CD46" s="375"/>
      <c r="CE46" s="372"/>
      <c r="CF46" s="372"/>
      <c r="CG46" s="372"/>
      <c r="CH46" s="371"/>
      <c r="CI46" s="375"/>
      <c r="CJ46" s="372"/>
      <c r="CK46" s="372"/>
      <c r="CL46" s="372"/>
      <c r="CM46" s="373"/>
    </row>
    <row r="47" spans="1:91" ht="25.5" customHeight="1">
      <c r="A47" s="386">
        <v>4540</v>
      </c>
      <c r="B47" s="387" t="s">
        <v>11</v>
      </c>
      <c r="C47" s="387" t="s">
        <v>44</v>
      </c>
      <c r="D47" s="387" t="s">
        <v>76</v>
      </c>
      <c r="E47" s="372" t="s">
        <v>53</v>
      </c>
      <c r="F47" s="387"/>
      <c r="G47" s="372" t="s">
        <v>1648</v>
      </c>
      <c r="H47" s="371" t="s">
        <v>54</v>
      </c>
      <c r="I47" s="375"/>
      <c r="J47" s="372"/>
      <c r="K47" s="373"/>
      <c r="L47" s="388" t="s">
        <v>78</v>
      </c>
      <c r="M47" s="387" t="s">
        <v>77</v>
      </c>
      <c r="N47" s="387"/>
      <c r="O47" s="387" t="s">
        <v>77</v>
      </c>
      <c r="P47" s="389" t="s">
        <v>77</v>
      </c>
      <c r="Q47" s="388"/>
      <c r="R47" s="387"/>
      <c r="S47" s="387"/>
      <c r="T47" s="387"/>
      <c r="U47" s="390" t="s">
        <v>80</v>
      </c>
      <c r="V47" s="386"/>
      <c r="W47" s="372"/>
      <c r="X47" s="372"/>
      <c r="Y47" s="372"/>
      <c r="Z47" s="373"/>
      <c r="AA47" s="374"/>
      <c r="AB47" s="372"/>
      <c r="AC47" s="372"/>
      <c r="AD47" s="372"/>
      <c r="AE47" s="371"/>
      <c r="AF47" s="375"/>
      <c r="AG47" s="372"/>
      <c r="AH47" s="372"/>
      <c r="AI47" s="372"/>
      <c r="AJ47" s="373"/>
      <c r="AK47" s="374"/>
      <c r="AL47" s="372"/>
      <c r="AM47" s="372"/>
      <c r="AN47" s="372"/>
      <c r="AO47" s="371"/>
      <c r="AP47" s="375"/>
      <c r="AQ47" s="372"/>
      <c r="AR47" s="372"/>
      <c r="AS47" s="372"/>
      <c r="AT47" s="373"/>
      <c r="AU47" s="374"/>
      <c r="AV47" s="372"/>
      <c r="AW47" s="372"/>
      <c r="AX47" s="372"/>
      <c r="AY47" s="371"/>
      <c r="AZ47" s="375"/>
      <c r="BA47" s="372"/>
      <c r="BB47" s="372"/>
      <c r="BC47" s="372"/>
      <c r="BD47" s="373"/>
      <c r="BE47" s="374"/>
      <c r="BF47" s="372"/>
      <c r="BG47" s="372"/>
      <c r="BH47" s="372"/>
      <c r="BI47" s="371"/>
      <c r="BJ47" s="375"/>
      <c r="BK47" s="372"/>
      <c r="BL47" s="372"/>
      <c r="BM47" s="372"/>
      <c r="BN47" s="373"/>
      <c r="BO47" s="374"/>
      <c r="BP47" s="372"/>
      <c r="BQ47" s="372"/>
      <c r="BR47" s="372"/>
      <c r="BS47" s="371"/>
      <c r="BT47" s="375"/>
      <c r="BU47" s="372"/>
      <c r="BV47" s="372"/>
      <c r="BW47" s="372"/>
      <c r="BX47" s="373"/>
      <c r="BY47" s="374"/>
      <c r="BZ47" s="372"/>
      <c r="CA47" s="372"/>
      <c r="CB47" s="372"/>
      <c r="CC47" s="371"/>
      <c r="CD47" s="375"/>
      <c r="CE47" s="372"/>
      <c r="CF47" s="372"/>
      <c r="CG47" s="372"/>
      <c r="CH47" s="371"/>
      <c r="CI47" s="375"/>
      <c r="CJ47" s="372"/>
      <c r="CK47" s="372"/>
      <c r="CL47" s="372"/>
      <c r="CM47" s="373"/>
    </row>
    <row r="48" spans="1:91" ht="25.5" customHeight="1">
      <c r="A48" s="386">
        <v>4541</v>
      </c>
      <c r="B48" s="387" t="s">
        <v>11</v>
      </c>
      <c r="C48" s="387" t="s">
        <v>44</v>
      </c>
      <c r="D48" s="387" t="s">
        <v>76</v>
      </c>
      <c r="E48" s="372" t="s">
        <v>53</v>
      </c>
      <c r="F48" s="387"/>
      <c r="G48" s="372" t="s">
        <v>1650</v>
      </c>
      <c r="H48" s="371" t="s">
        <v>54</v>
      </c>
      <c r="I48" s="375"/>
      <c r="J48" s="372"/>
      <c r="K48" s="373"/>
      <c r="L48" s="388" t="s">
        <v>78</v>
      </c>
      <c r="M48" s="387" t="s">
        <v>77</v>
      </c>
      <c r="N48" s="387"/>
      <c r="O48" s="387" t="s">
        <v>77</v>
      </c>
      <c r="P48" s="389" t="s">
        <v>77</v>
      </c>
      <c r="Q48" s="388"/>
      <c r="R48" s="387"/>
      <c r="S48" s="387"/>
      <c r="T48" s="387"/>
      <c r="U48" s="390" t="s">
        <v>80</v>
      </c>
      <c r="V48" s="386"/>
      <c r="W48" s="372"/>
      <c r="X48" s="372"/>
      <c r="Y48" s="372"/>
      <c r="Z48" s="373"/>
      <c r="AA48" s="374"/>
      <c r="AB48" s="372"/>
      <c r="AC48" s="372"/>
      <c r="AD48" s="372"/>
      <c r="AE48" s="371"/>
      <c r="AF48" s="375"/>
      <c r="AG48" s="372"/>
      <c r="AH48" s="372"/>
      <c r="AI48" s="372"/>
      <c r="AJ48" s="373"/>
      <c r="AK48" s="374"/>
      <c r="AL48" s="372"/>
      <c r="AM48" s="372"/>
      <c r="AN48" s="372"/>
      <c r="AO48" s="371"/>
      <c r="AP48" s="375"/>
      <c r="AQ48" s="372"/>
      <c r="AR48" s="372"/>
      <c r="AS48" s="372"/>
      <c r="AT48" s="373"/>
      <c r="AU48" s="374"/>
      <c r="AV48" s="372"/>
      <c r="AW48" s="372"/>
      <c r="AX48" s="372"/>
      <c r="AY48" s="371"/>
      <c r="AZ48" s="375"/>
      <c r="BA48" s="372"/>
      <c r="BB48" s="372"/>
      <c r="BC48" s="372"/>
      <c r="BD48" s="373"/>
      <c r="BE48" s="374"/>
      <c r="BF48" s="372"/>
      <c r="BG48" s="372"/>
      <c r="BH48" s="372"/>
      <c r="BI48" s="371"/>
      <c r="BJ48" s="375"/>
      <c r="BK48" s="372"/>
      <c r="BL48" s="372"/>
      <c r="BM48" s="372"/>
      <c r="BN48" s="373"/>
      <c r="BO48" s="374"/>
      <c r="BP48" s="372"/>
      <c r="BQ48" s="372"/>
      <c r="BR48" s="372"/>
      <c r="BS48" s="371"/>
      <c r="BT48" s="375"/>
      <c r="BU48" s="372"/>
      <c r="BV48" s="372"/>
      <c r="BW48" s="372"/>
      <c r="BX48" s="373"/>
      <c r="BY48" s="374"/>
      <c r="BZ48" s="372"/>
      <c r="CA48" s="372"/>
      <c r="CB48" s="372"/>
      <c r="CC48" s="371"/>
      <c r="CD48" s="375"/>
      <c r="CE48" s="372"/>
      <c r="CF48" s="372"/>
      <c r="CG48" s="372"/>
      <c r="CH48" s="371"/>
      <c r="CI48" s="375"/>
      <c r="CJ48" s="372"/>
      <c r="CK48" s="372"/>
      <c r="CL48" s="372"/>
      <c r="CM48" s="373"/>
    </row>
    <row r="49" spans="1:91" ht="25.5" customHeight="1" thickBot="1">
      <c r="A49" s="391">
        <v>4542</v>
      </c>
      <c r="B49" s="392" t="s">
        <v>11</v>
      </c>
      <c r="C49" s="392" t="s">
        <v>44</v>
      </c>
      <c r="D49" s="392" t="s">
        <v>76</v>
      </c>
      <c r="E49" s="393" t="s">
        <v>53</v>
      </c>
      <c r="F49" s="392"/>
      <c r="G49" s="393" t="s">
        <v>1652</v>
      </c>
      <c r="H49" s="394" t="s">
        <v>54</v>
      </c>
      <c r="I49" s="395"/>
      <c r="J49" s="393"/>
      <c r="K49" s="396"/>
      <c r="L49" s="397" t="s">
        <v>78</v>
      </c>
      <c r="M49" s="392" t="s">
        <v>77</v>
      </c>
      <c r="N49" s="392"/>
      <c r="O49" s="392" t="s">
        <v>77</v>
      </c>
      <c r="P49" s="398" t="s">
        <v>77</v>
      </c>
      <c r="Q49" s="397"/>
      <c r="R49" s="392"/>
      <c r="S49" s="392"/>
      <c r="T49" s="392"/>
      <c r="U49" s="399" t="s">
        <v>80</v>
      </c>
      <c r="V49" s="391"/>
      <c r="W49" s="393"/>
      <c r="X49" s="393"/>
      <c r="Y49" s="393"/>
      <c r="Z49" s="396"/>
      <c r="AA49" s="400"/>
      <c r="AB49" s="393"/>
      <c r="AC49" s="393"/>
      <c r="AD49" s="393"/>
      <c r="AE49" s="394"/>
      <c r="AF49" s="395"/>
      <c r="AG49" s="393"/>
      <c r="AH49" s="393"/>
      <c r="AI49" s="393"/>
      <c r="AJ49" s="396"/>
      <c r="AK49" s="400"/>
      <c r="AL49" s="393"/>
      <c r="AM49" s="393"/>
      <c r="AN49" s="393"/>
      <c r="AO49" s="394"/>
      <c r="AP49" s="395"/>
      <c r="AQ49" s="393"/>
      <c r="AR49" s="393"/>
      <c r="AS49" s="393"/>
      <c r="AT49" s="396"/>
      <c r="AU49" s="400"/>
      <c r="AV49" s="393"/>
      <c r="AW49" s="393"/>
      <c r="AX49" s="393"/>
      <c r="AY49" s="394"/>
      <c r="AZ49" s="395"/>
      <c r="BA49" s="393"/>
      <c r="BB49" s="393"/>
      <c r="BC49" s="393"/>
      <c r="BD49" s="396"/>
      <c r="BE49" s="400"/>
      <c r="BF49" s="393"/>
      <c r="BG49" s="393"/>
      <c r="BH49" s="393"/>
      <c r="BI49" s="394"/>
      <c r="BJ49" s="395"/>
      <c r="BK49" s="393"/>
      <c r="BL49" s="393"/>
      <c r="BM49" s="393"/>
      <c r="BN49" s="396"/>
      <c r="BO49" s="400"/>
      <c r="BP49" s="393"/>
      <c r="BQ49" s="393"/>
      <c r="BR49" s="393"/>
      <c r="BS49" s="394"/>
      <c r="BT49" s="395"/>
      <c r="BU49" s="393"/>
      <c r="BV49" s="393"/>
      <c r="BW49" s="393"/>
      <c r="BX49" s="396"/>
      <c r="BY49" s="400"/>
      <c r="BZ49" s="393"/>
      <c r="CA49" s="393"/>
      <c r="CB49" s="393"/>
      <c r="CC49" s="394"/>
      <c r="CD49" s="395"/>
      <c r="CE49" s="393"/>
      <c r="CF49" s="393"/>
      <c r="CG49" s="393"/>
      <c r="CH49" s="394"/>
      <c r="CI49" s="395"/>
      <c r="CJ49" s="393"/>
      <c r="CK49" s="393"/>
      <c r="CL49" s="393"/>
      <c r="CM49" s="396"/>
    </row>
    <row r="50" spans="1:91" ht="25.5" customHeight="1">
      <c r="A50" s="401">
        <v>4543</v>
      </c>
      <c r="B50" s="402" t="s">
        <v>11</v>
      </c>
      <c r="C50" s="402" t="s">
        <v>44</v>
      </c>
      <c r="D50" s="402" t="s">
        <v>76</v>
      </c>
      <c r="E50" s="403" t="s">
        <v>53</v>
      </c>
      <c r="F50" s="402"/>
      <c r="G50" s="403" t="s">
        <v>1654</v>
      </c>
      <c r="H50" s="404" t="s">
        <v>54</v>
      </c>
      <c r="I50" s="405"/>
      <c r="J50" s="403"/>
      <c r="K50" s="406"/>
      <c r="L50" s="407" t="s">
        <v>78</v>
      </c>
      <c r="M50" s="402" t="s">
        <v>77</v>
      </c>
      <c r="N50" s="402"/>
      <c r="O50" s="402" t="s">
        <v>77</v>
      </c>
      <c r="P50" s="408" t="s">
        <v>77</v>
      </c>
      <c r="Q50" s="407"/>
      <c r="R50" s="402"/>
      <c r="S50" s="402"/>
      <c r="T50" s="402"/>
      <c r="U50" s="409" t="s">
        <v>80</v>
      </c>
      <c r="V50" s="401"/>
      <c r="W50" s="403"/>
      <c r="X50" s="403"/>
      <c r="Y50" s="403"/>
      <c r="Z50" s="406"/>
      <c r="AA50" s="410"/>
      <c r="AB50" s="403"/>
      <c r="AC50" s="403"/>
      <c r="AD50" s="403"/>
      <c r="AE50" s="404"/>
      <c r="AF50" s="405"/>
      <c r="AG50" s="403"/>
      <c r="AH50" s="403"/>
      <c r="AI50" s="403"/>
      <c r="AJ50" s="406"/>
      <c r="AK50" s="410"/>
      <c r="AL50" s="403"/>
      <c r="AM50" s="403"/>
      <c r="AN50" s="403"/>
      <c r="AO50" s="404"/>
      <c r="AP50" s="405"/>
      <c r="AQ50" s="403"/>
      <c r="AR50" s="403"/>
      <c r="AS50" s="403"/>
      <c r="AT50" s="406"/>
      <c r="AU50" s="410"/>
      <c r="AV50" s="403"/>
      <c r="AW50" s="403"/>
      <c r="AX50" s="403"/>
      <c r="AY50" s="404"/>
      <c r="AZ50" s="405"/>
      <c r="BA50" s="403"/>
      <c r="BB50" s="403"/>
      <c r="BC50" s="403"/>
      <c r="BD50" s="406"/>
      <c r="BE50" s="410"/>
      <c r="BF50" s="403"/>
      <c r="BG50" s="403"/>
      <c r="BH50" s="403"/>
      <c r="BI50" s="404"/>
      <c r="BJ50" s="405"/>
      <c r="BK50" s="403"/>
      <c r="BL50" s="403"/>
      <c r="BM50" s="403"/>
      <c r="BN50" s="406"/>
      <c r="BO50" s="410"/>
      <c r="BP50" s="403"/>
      <c r="BQ50" s="403"/>
      <c r="BR50" s="403"/>
      <c r="BS50" s="404"/>
      <c r="BT50" s="405"/>
      <c r="BU50" s="403"/>
      <c r="BV50" s="403"/>
      <c r="BW50" s="403"/>
      <c r="BX50" s="406"/>
      <c r="BY50" s="410"/>
      <c r="BZ50" s="403"/>
      <c r="CA50" s="403"/>
      <c r="CB50" s="403"/>
      <c r="CC50" s="404"/>
      <c r="CD50" s="405"/>
      <c r="CE50" s="403"/>
      <c r="CF50" s="403"/>
      <c r="CG50" s="403"/>
      <c r="CH50" s="404"/>
      <c r="CI50" s="405"/>
      <c r="CJ50" s="403"/>
      <c r="CK50" s="403"/>
      <c r="CL50" s="403"/>
      <c r="CM50" s="406"/>
    </row>
    <row r="51" spans="1:91" ht="25.5" customHeight="1">
      <c r="A51" s="386">
        <v>4544</v>
      </c>
      <c r="B51" s="387" t="s">
        <v>11</v>
      </c>
      <c r="C51" s="387" t="s">
        <v>44</v>
      </c>
      <c r="D51" s="387" t="s">
        <v>76</v>
      </c>
      <c r="E51" s="372" t="s">
        <v>53</v>
      </c>
      <c r="F51" s="387"/>
      <c r="G51" s="372" t="s">
        <v>1656</v>
      </c>
      <c r="H51" s="371" t="s">
        <v>54</v>
      </c>
      <c r="I51" s="375"/>
      <c r="J51" s="372"/>
      <c r="K51" s="373"/>
      <c r="L51" s="388" t="s">
        <v>78</v>
      </c>
      <c r="M51" s="387" t="s">
        <v>77</v>
      </c>
      <c r="N51" s="387"/>
      <c r="O51" s="387" t="s">
        <v>77</v>
      </c>
      <c r="P51" s="389" t="s">
        <v>77</v>
      </c>
      <c r="Q51" s="388"/>
      <c r="R51" s="387"/>
      <c r="S51" s="387"/>
      <c r="T51" s="387"/>
      <c r="U51" s="390" t="s">
        <v>80</v>
      </c>
      <c r="V51" s="386"/>
      <c r="W51" s="372"/>
      <c r="X51" s="372"/>
      <c r="Y51" s="372"/>
      <c r="Z51" s="373"/>
      <c r="AA51" s="374"/>
      <c r="AB51" s="372"/>
      <c r="AC51" s="372"/>
      <c r="AD51" s="372"/>
      <c r="AE51" s="371"/>
      <c r="AF51" s="375"/>
      <c r="AG51" s="372"/>
      <c r="AH51" s="372"/>
      <c r="AI51" s="372"/>
      <c r="AJ51" s="373"/>
      <c r="AK51" s="374"/>
      <c r="AL51" s="372"/>
      <c r="AM51" s="372"/>
      <c r="AN51" s="372"/>
      <c r="AO51" s="371"/>
      <c r="AP51" s="375"/>
      <c r="AQ51" s="372"/>
      <c r="AR51" s="372"/>
      <c r="AS51" s="372"/>
      <c r="AT51" s="373"/>
      <c r="AU51" s="374"/>
      <c r="AV51" s="372"/>
      <c r="AW51" s="372"/>
      <c r="AX51" s="372"/>
      <c r="AY51" s="371"/>
      <c r="AZ51" s="375"/>
      <c r="BA51" s="372"/>
      <c r="BB51" s="372"/>
      <c r="BC51" s="372"/>
      <c r="BD51" s="373"/>
      <c r="BE51" s="374"/>
      <c r="BF51" s="372"/>
      <c r="BG51" s="372"/>
      <c r="BH51" s="372"/>
      <c r="BI51" s="371"/>
      <c r="BJ51" s="375"/>
      <c r="BK51" s="372"/>
      <c r="BL51" s="372"/>
      <c r="BM51" s="372"/>
      <c r="BN51" s="373"/>
      <c r="BO51" s="374"/>
      <c r="BP51" s="372"/>
      <c r="BQ51" s="372"/>
      <c r="BR51" s="372"/>
      <c r="BS51" s="371"/>
      <c r="BT51" s="375"/>
      <c r="BU51" s="372"/>
      <c r="BV51" s="372"/>
      <c r="BW51" s="372"/>
      <c r="BX51" s="373"/>
      <c r="BY51" s="374"/>
      <c r="BZ51" s="372"/>
      <c r="CA51" s="372"/>
      <c r="CB51" s="372"/>
      <c r="CC51" s="371"/>
      <c r="CD51" s="375"/>
      <c r="CE51" s="372"/>
      <c r="CF51" s="372"/>
      <c r="CG51" s="372"/>
      <c r="CH51" s="371"/>
      <c r="CI51" s="375"/>
      <c r="CJ51" s="372"/>
      <c r="CK51" s="372"/>
      <c r="CL51" s="372"/>
      <c r="CM51" s="373"/>
    </row>
    <row r="52" spans="1:91" ht="25.5" customHeight="1">
      <c r="A52" s="386">
        <v>4545</v>
      </c>
      <c r="B52" s="387" t="s">
        <v>11</v>
      </c>
      <c r="C52" s="387" t="s">
        <v>44</v>
      </c>
      <c r="D52" s="387" t="s">
        <v>76</v>
      </c>
      <c r="E52" s="372" t="s">
        <v>53</v>
      </c>
      <c r="F52" s="387"/>
      <c r="G52" s="372" t="s">
        <v>1658</v>
      </c>
      <c r="H52" s="371" t="s">
        <v>54</v>
      </c>
      <c r="I52" s="375"/>
      <c r="J52" s="372"/>
      <c r="K52" s="373"/>
      <c r="L52" s="388" t="s">
        <v>78</v>
      </c>
      <c r="M52" s="387" t="s">
        <v>77</v>
      </c>
      <c r="N52" s="387"/>
      <c r="O52" s="387" t="s">
        <v>77</v>
      </c>
      <c r="P52" s="389" t="s">
        <v>77</v>
      </c>
      <c r="Q52" s="388"/>
      <c r="R52" s="387"/>
      <c r="S52" s="387"/>
      <c r="T52" s="387"/>
      <c r="U52" s="390" t="s">
        <v>80</v>
      </c>
      <c r="V52" s="386"/>
      <c r="W52" s="372"/>
      <c r="X52" s="372"/>
      <c r="Y52" s="372"/>
      <c r="Z52" s="373"/>
      <c r="AA52" s="374"/>
      <c r="AB52" s="372"/>
      <c r="AC52" s="372"/>
      <c r="AD52" s="372"/>
      <c r="AE52" s="371"/>
      <c r="AF52" s="375"/>
      <c r="AG52" s="372"/>
      <c r="AH52" s="372"/>
      <c r="AI52" s="372"/>
      <c r="AJ52" s="373"/>
      <c r="AK52" s="374"/>
      <c r="AL52" s="372"/>
      <c r="AM52" s="372"/>
      <c r="AN52" s="372"/>
      <c r="AO52" s="371"/>
      <c r="AP52" s="375"/>
      <c r="AQ52" s="372"/>
      <c r="AR52" s="372"/>
      <c r="AS52" s="372"/>
      <c r="AT52" s="373"/>
      <c r="AU52" s="374"/>
      <c r="AV52" s="372"/>
      <c r="AW52" s="372"/>
      <c r="AX52" s="372"/>
      <c r="AY52" s="371"/>
      <c r="AZ52" s="375"/>
      <c r="BA52" s="372"/>
      <c r="BB52" s="372"/>
      <c r="BC52" s="372"/>
      <c r="BD52" s="373"/>
      <c r="BE52" s="374"/>
      <c r="BF52" s="372"/>
      <c r="BG52" s="372"/>
      <c r="BH52" s="372"/>
      <c r="BI52" s="371"/>
      <c r="BJ52" s="375"/>
      <c r="BK52" s="372"/>
      <c r="BL52" s="372"/>
      <c r="BM52" s="372"/>
      <c r="BN52" s="373"/>
      <c r="BO52" s="374"/>
      <c r="BP52" s="372"/>
      <c r="BQ52" s="372"/>
      <c r="BR52" s="372"/>
      <c r="BS52" s="371"/>
      <c r="BT52" s="375"/>
      <c r="BU52" s="372"/>
      <c r="BV52" s="372"/>
      <c r="BW52" s="372"/>
      <c r="BX52" s="373"/>
      <c r="BY52" s="374"/>
      <c r="BZ52" s="372"/>
      <c r="CA52" s="372"/>
      <c r="CB52" s="372"/>
      <c r="CC52" s="371"/>
      <c r="CD52" s="375"/>
      <c r="CE52" s="372"/>
      <c r="CF52" s="372"/>
      <c r="CG52" s="372"/>
      <c r="CH52" s="371"/>
      <c r="CI52" s="375"/>
      <c r="CJ52" s="372"/>
      <c r="CK52" s="372"/>
      <c r="CL52" s="372"/>
      <c r="CM52" s="373"/>
    </row>
    <row r="53" spans="1:91" ht="25.5" customHeight="1">
      <c r="A53" s="386">
        <v>4546</v>
      </c>
      <c r="B53" s="387" t="s">
        <v>11</v>
      </c>
      <c r="C53" s="387" t="s">
        <v>44</v>
      </c>
      <c r="D53" s="387" t="s">
        <v>76</v>
      </c>
      <c r="E53" s="372" t="s">
        <v>53</v>
      </c>
      <c r="F53" s="387"/>
      <c r="G53" s="372" t="s">
        <v>1660</v>
      </c>
      <c r="H53" s="371" t="s">
        <v>54</v>
      </c>
      <c r="I53" s="375"/>
      <c r="J53" s="372"/>
      <c r="K53" s="373"/>
      <c r="L53" s="388" t="s">
        <v>78</v>
      </c>
      <c r="M53" s="387" t="s">
        <v>77</v>
      </c>
      <c r="N53" s="387"/>
      <c r="O53" s="387" t="s">
        <v>77</v>
      </c>
      <c r="P53" s="389" t="s">
        <v>77</v>
      </c>
      <c r="Q53" s="388"/>
      <c r="R53" s="387"/>
      <c r="S53" s="387"/>
      <c r="T53" s="387"/>
      <c r="U53" s="390" t="s">
        <v>80</v>
      </c>
      <c r="V53" s="386"/>
      <c r="W53" s="372"/>
      <c r="X53" s="372"/>
      <c r="Y53" s="372"/>
      <c r="Z53" s="373"/>
      <c r="AA53" s="374"/>
      <c r="AB53" s="372"/>
      <c r="AC53" s="372"/>
      <c r="AD53" s="372"/>
      <c r="AE53" s="371"/>
      <c r="AF53" s="375"/>
      <c r="AG53" s="372"/>
      <c r="AH53" s="372"/>
      <c r="AI53" s="372"/>
      <c r="AJ53" s="373"/>
      <c r="AK53" s="374"/>
      <c r="AL53" s="372"/>
      <c r="AM53" s="372"/>
      <c r="AN53" s="372"/>
      <c r="AO53" s="371"/>
      <c r="AP53" s="375"/>
      <c r="AQ53" s="372"/>
      <c r="AR53" s="372"/>
      <c r="AS53" s="372"/>
      <c r="AT53" s="373"/>
      <c r="AU53" s="374"/>
      <c r="AV53" s="372"/>
      <c r="AW53" s="372"/>
      <c r="AX53" s="372"/>
      <c r="AY53" s="371"/>
      <c r="AZ53" s="375"/>
      <c r="BA53" s="372"/>
      <c r="BB53" s="372"/>
      <c r="BC53" s="372"/>
      <c r="BD53" s="373"/>
      <c r="BE53" s="374"/>
      <c r="BF53" s="372"/>
      <c r="BG53" s="372"/>
      <c r="BH53" s="372"/>
      <c r="BI53" s="371"/>
      <c r="BJ53" s="375"/>
      <c r="BK53" s="372"/>
      <c r="BL53" s="372"/>
      <c r="BM53" s="372"/>
      <c r="BN53" s="373"/>
      <c r="BO53" s="374"/>
      <c r="BP53" s="372"/>
      <c r="BQ53" s="372"/>
      <c r="BR53" s="372"/>
      <c r="BS53" s="371"/>
      <c r="BT53" s="375"/>
      <c r="BU53" s="372"/>
      <c r="BV53" s="372"/>
      <c r="BW53" s="372"/>
      <c r="BX53" s="373"/>
      <c r="BY53" s="374"/>
      <c r="BZ53" s="372"/>
      <c r="CA53" s="372"/>
      <c r="CB53" s="372"/>
      <c r="CC53" s="371"/>
      <c r="CD53" s="375"/>
      <c r="CE53" s="372"/>
      <c r="CF53" s="372"/>
      <c r="CG53" s="372"/>
      <c r="CH53" s="371"/>
      <c r="CI53" s="375"/>
      <c r="CJ53" s="372"/>
      <c r="CK53" s="372"/>
      <c r="CL53" s="372"/>
      <c r="CM53" s="373"/>
    </row>
    <row r="54" spans="1:91" ht="25.5" customHeight="1" thickBot="1">
      <c r="A54" s="411">
        <v>4547</v>
      </c>
      <c r="B54" s="412" t="s">
        <v>11</v>
      </c>
      <c r="C54" s="412" t="s">
        <v>44</v>
      </c>
      <c r="D54" s="412" t="s">
        <v>76</v>
      </c>
      <c r="E54" s="377" t="s">
        <v>53</v>
      </c>
      <c r="F54" s="412"/>
      <c r="G54" s="377" t="s">
        <v>1662</v>
      </c>
      <c r="H54" s="376" t="s">
        <v>54</v>
      </c>
      <c r="I54" s="380"/>
      <c r="J54" s="377"/>
      <c r="K54" s="378"/>
      <c r="L54" s="413" t="s">
        <v>78</v>
      </c>
      <c r="M54" s="412" t="s">
        <v>77</v>
      </c>
      <c r="N54" s="412"/>
      <c r="O54" s="412" t="s">
        <v>77</v>
      </c>
      <c r="P54" s="414" t="s">
        <v>77</v>
      </c>
      <c r="Q54" s="413"/>
      <c r="R54" s="412"/>
      <c r="S54" s="412"/>
      <c r="T54" s="412"/>
      <c r="U54" s="415" t="s">
        <v>80</v>
      </c>
      <c r="V54" s="411"/>
      <c r="W54" s="377"/>
      <c r="X54" s="377"/>
      <c r="Y54" s="377"/>
      <c r="Z54" s="378"/>
      <c r="AA54" s="379"/>
      <c r="AB54" s="377"/>
      <c r="AC54" s="377"/>
      <c r="AD54" s="377"/>
      <c r="AE54" s="376"/>
      <c r="AF54" s="380"/>
      <c r="AG54" s="377"/>
      <c r="AH54" s="377"/>
      <c r="AI54" s="377"/>
      <c r="AJ54" s="378"/>
      <c r="AK54" s="379"/>
      <c r="AL54" s="377"/>
      <c r="AM54" s="377"/>
      <c r="AN54" s="377"/>
      <c r="AO54" s="376"/>
      <c r="AP54" s="380"/>
      <c r="AQ54" s="377"/>
      <c r="AR54" s="377"/>
      <c r="AS54" s="377"/>
      <c r="AT54" s="378"/>
      <c r="AU54" s="379"/>
      <c r="AV54" s="377"/>
      <c r="AW54" s="377"/>
      <c r="AX54" s="377"/>
      <c r="AY54" s="376"/>
      <c r="AZ54" s="380"/>
      <c r="BA54" s="377"/>
      <c r="BB54" s="377"/>
      <c r="BC54" s="377"/>
      <c r="BD54" s="378"/>
      <c r="BE54" s="379"/>
      <c r="BF54" s="377"/>
      <c r="BG54" s="377"/>
      <c r="BH54" s="377"/>
      <c r="BI54" s="376"/>
      <c r="BJ54" s="380"/>
      <c r="BK54" s="377"/>
      <c r="BL54" s="377"/>
      <c r="BM54" s="377"/>
      <c r="BN54" s="378"/>
      <c r="BO54" s="379"/>
      <c r="BP54" s="377"/>
      <c r="BQ54" s="377"/>
      <c r="BR54" s="377"/>
      <c r="BS54" s="376"/>
      <c r="BT54" s="380"/>
      <c r="BU54" s="377"/>
      <c r="BV54" s="377"/>
      <c r="BW54" s="377"/>
      <c r="BX54" s="378"/>
      <c r="BY54" s="379"/>
      <c r="BZ54" s="377"/>
      <c r="CA54" s="377"/>
      <c r="CB54" s="377"/>
      <c r="CC54" s="376"/>
      <c r="CD54" s="380"/>
      <c r="CE54" s="377"/>
      <c r="CF54" s="377"/>
      <c r="CG54" s="377"/>
      <c r="CH54" s="376"/>
      <c r="CI54" s="380"/>
      <c r="CJ54" s="377"/>
      <c r="CK54" s="377"/>
      <c r="CL54" s="377"/>
      <c r="CM54" s="378"/>
    </row>
    <row r="55" spans="1:91" ht="25.5" customHeight="1">
      <c r="A55" s="416">
        <v>4548</v>
      </c>
      <c r="B55" s="417" t="s">
        <v>11</v>
      </c>
      <c r="C55" s="417" t="s">
        <v>44</v>
      </c>
      <c r="D55" s="417" t="s">
        <v>76</v>
      </c>
      <c r="E55" s="381" t="s">
        <v>53</v>
      </c>
      <c r="F55" s="417"/>
      <c r="G55" s="381" t="s">
        <v>1664</v>
      </c>
      <c r="H55" s="384" t="s">
        <v>54</v>
      </c>
      <c r="I55" s="385"/>
      <c r="J55" s="381"/>
      <c r="K55" s="382"/>
      <c r="L55" s="418" t="s">
        <v>78</v>
      </c>
      <c r="M55" s="417" t="s">
        <v>77</v>
      </c>
      <c r="N55" s="417"/>
      <c r="O55" s="417" t="s">
        <v>77</v>
      </c>
      <c r="P55" s="419" t="s">
        <v>77</v>
      </c>
      <c r="Q55" s="418"/>
      <c r="R55" s="417"/>
      <c r="S55" s="417"/>
      <c r="T55" s="417"/>
      <c r="U55" s="420" t="s">
        <v>80</v>
      </c>
      <c r="V55" s="416"/>
      <c r="W55" s="381"/>
      <c r="X55" s="381"/>
      <c r="Y55" s="381"/>
      <c r="Z55" s="382"/>
      <c r="AA55" s="383"/>
      <c r="AB55" s="381"/>
      <c r="AC55" s="381"/>
      <c r="AD55" s="381"/>
      <c r="AE55" s="384"/>
      <c r="AF55" s="385"/>
      <c r="AG55" s="381"/>
      <c r="AH55" s="381"/>
      <c r="AI55" s="381"/>
      <c r="AJ55" s="382"/>
      <c r="AK55" s="383"/>
      <c r="AL55" s="381"/>
      <c r="AM55" s="381"/>
      <c r="AN55" s="381"/>
      <c r="AO55" s="384"/>
      <c r="AP55" s="385"/>
      <c r="AQ55" s="381"/>
      <c r="AR55" s="381"/>
      <c r="AS55" s="381"/>
      <c r="AT55" s="382"/>
      <c r="AU55" s="383"/>
      <c r="AV55" s="381"/>
      <c r="AW55" s="381"/>
      <c r="AX55" s="381"/>
      <c r="AY55" s="384"/>
      <c r="AZ55" s="385"/>
      <c r="BA55" s="381"/>
      <c r="BB55" s="381"/>
      <c r="BC55" s="381"/>
      <c r="BD55" s="382"/>
      <c r="BE55" s="383"/>
      <c r="BF55" s="381"/>
      <c r="BG55" s="381"/>
      <c r="BH55" s="381"/>
      <c r="BI55" s="384"/>
      <c r="BJ55" s="385"/>
      <c r="BK55" s="381"/>
      <c r="BL55" s="381"/>
      <c r="BM55" s="381"/>
      <c r="BN55" s="382"/>
      <c r="BO55" s="383"/>
      <c r="BP55" s="381"/>
      <c r="BQ55" s="381"/>
      <c r="BR55" s="381"/>
      <c r="BS55" s="384"/>
      <c r="BT55" s="385"/>
      <c r="BU55" s="381"/>
      <c r="BV55" s="381"/>
      <c r="BW55" s="381"/>
      <c r="BX55" s="382"/>
      <c r="BY55" s="383"/>
      <c r="BZ55" s="381"/>
      <c r="CA55" s="381"/>
      <c r="CB55" s="381"/>
      <c r="CC55" s="384"/>
      <c r="CD55" s="385"/>
      <c r="CE55" s="381"/>
      <c r="CF55" s="381"/>
      <c r="CG55" s="381"/>
      <c r="CH55" s="384"/>
      <c r="CI55" s="385"/>
      <c r="CJ55" s="381"/>
      <c r="CK55" s="381"/>
      <c r="CL55" s="381"/>
      <c r="CM55" s="382"/>
    </row>
    <row r="56" spans="1:91" ht="25.5" customHeight="1">
      <c r="A56" s="386">
        <v>4549</v>
      </c>
      <c r="B56" s="387" t="s">
        <v>11</v>
      </c>
      <c r="C56" s="387" t="s">
        <v>44</v>
      </c>
      <c r="D56" s="387" t="s">
        <v>76</v>
      </c>
      <c r="E56" s="372" t="s">
        <v>53</v>
      </c>
      <c r="F56" s="387"/>
      <c r="G56" s="372" t="s">
        <v>1666</v>
      </c>
      <c r="H56" s="371" t="s">
        <v>54</v>
      </c>
      <c r="I56" s="375"/>
      <c r="J56" s="372"/>
      <c r="K56" s="373"/>
      <c r="L56" s="388" t="s">
        <v>78</v>
      </c>
      <c r="M56" s="387" t="s">
        <v>77</v>
      </c>
      <c r="N56" s="387"/>
      <c r="O56" s="387" t="s">
        <v>77</v>
      </c>
      <c r="P56" s="389" t="s">
        <v>77</v>
      </c>
      <c r="Q56" s="388"/>
      <c r="R56" s="387"/>
      <c r="S56" s="387"/>
      <c r="T56" s="387"/>
      <c r="U56" s="390" t="s">
        <v>80</v>
      </c>
      <c r="V56" s="386"/>
      <c r="W56" s="372"/>
      <c r="X56" s="372"/>
      <c r="Y56" s="372"/>
      <c r="Z56" s="373"/>
      <c r="AA56" s="374"/>
      <c r="AB56" s="372"/>
      <c r="AC56" s="372"/>
      <c r="AD56" s="372"/>
      <c r="AE56" s="371"/>
      <c r="AF56" s="375"/>
      <c r="AG56" s="372"/>
      <c r="AH56" s="372"/>
      <c r="AI56" s="372"/>
      <c r="AJ56" s="373"/>
      <c r="AK56" s="374"/>
      <c r="AL56" s="372"/>
      <c r="AM56" s="372"/>
      <c r="AN56" s="372"/>
      <c r="AO56" s="371"/>
      <c r="AP56" s="375"/>
      <c r="AQ56" s="372"/>
      <c r="AR56" s="372"/>
      <c r="AS56" s="372"/>
      <c r="AT56" s="373"/>
      <c r="AU56" s="374"/>
      <c r="AV56" s="372"/>
      <c r="AW56" s="372"/>
      <c r="AX56" s="372"/>
      <c r="AY56" s="371"/>
      <c r="AZ56" s="375"/>
      <c r="BA56" s="372"/>
      <c r="BB56" s="372"/>
      <c r="BC56" s="372"/>
      <c r="BD56" s="373"/>
      <c r="BE56" s="374"/>
      <c r="BF56" s="372"/>
      <c r="BG56" s="372"/>
      <c r="BH56" s="372"/>
      <c r="BI56" s="371"/>
      <c r="BJ56" s="375"/>
      <c r="BK56" s="372"/>
      <c r="BL56" s="372"/>
      <c r="BM56" s="372"/>
      <c r="BN56" s="373"/>
      <c r="BO56" s="374"/>
      <c r="BP56" s="372"/>
      <c r="BQ56" s="372"/>
      <c r="BR56" s="372"/>
      <c r="BS56" s="371"/>
      <c r="BT56" s="375"/>
      <c r="BU56" s="372"/>
      <c r="BV56" s="372"/>
      <c r="BW56" s="372"/>
      <c r="BX56" s="373"/>
      <c r="BY56" s="374"/>
      <c r="BZ56" s="372"/>
      <c r="CA56" s="372"/>
      <c r="CB56" s="372"/>
      <c r="CC56" s="371"/>
      <c r="CD56" s="375"/>
      <c r="CE56" s="372"/>
      <c r="CF56" s="372"/>
      <c r="CG56" s="372"/>
      <c r="CH56" s="371"/>
      <c r="CI56" s="375"/>
      <c r="CJ56" s="372"/>
      <c r="CK56" s="372"/>
      <c r="CL56" s="372"/>
      <c r="CM56" s="373"/>
    </row>
    <row r="57" spans="1:91" ht="25.5" customHeight="1">
      <c r="A57" s="386">
        <v>4550</v>
      </c>
      <c r="B57" s="387" t="s">
        <v>11</v>
      </c>
      <c r="C57" s="387" t="s">
        <v>44</v>
      </c>
      <c r="D57" s="387" t="s">
        <v>76</v>
      </c>
      <c r="E57" s="372" t="s">
        <v>53</v>
      </c>
      <c r="F57" s="387"/>
      <c r="G57" s="372" t="s">
        <v>1668</v>
      </c>
      <c r="H57" s="371" t="s">
        <v>54</v>
      </c>
      <c r="I57" s="375"/>
      <c r="J57" s="372"/>
      <c r="K57" s="373"/>
      <c r="L57" s="388" t="s">
        <v>78</v>
      </c>
      <c r="M57" s="387" t="s">
        <v>77</v>
      </c>
      <c r="N57" s="387"/>
      <c r="O57" s="387" t="s">
        <v>77</v>
      </c>
      <c r="P57" s="389" t="s">
        <v>77</v>
      </c>
      <c r="Q57" s="388"/>
      <c r="R57" s="387"/>
      <c r="S57" s="387"/>
      <c r="T57" s="387"/>
      <c r="U57" s="390" t="s">
        <v>80</v>
      </c>
      <c r="V57" s="386"/>
      <c r="W57" s="372"/>
      <c r="X57" s="372"/>
      <c r="Y57" s="372"/>
      <c r="Z57" s="373"/>
      <c r="AA57" s="374"/>
      <c r="AB57" s="372"/>
      <c r="AC57" s="372"/>
      <c r="AD57" s="372"/>
      <c r="AE57" s="371"/>
      <c r="AF57" s="375"/>
      <c r="AG57" s="372"/>
      <c r="AH57" s="372"/>
      <c r="AI57" s="372"/>
      <c r="AJ57" s="373"/>
      <c r="AK57" s="374"/>
      <c r="AL57" s="372"/>
      <c r="AM57" s="372"/>
      <c r="AN57" s="372"/>
      <c r="AO57" s="371"/>
      <c r="AP57" s="375"/>
      <c r="AQ57" s="372"/>
      <c r="AR57" s="372"/>
      <c r="AS57" s="372"/>
      <c r="AT57" s="373"/>
      <c r="AU57" s="374"/>
      <c r="AV57" s="372"/>
      <c r="AW57" s="372"/>
      <c r="AX57" s="372"/>
      <c r="AY57" s="371"/>
      <c r="AZ57" s="375"/>
      <c r="BA57" s="372"/>
      <c r="BB57" s="372"/>
      <c r="BC57" s="372"/>
      <c r="BD57" s="373"/>
      <c r="BE57" s="374"/>
      <c r="BF57" s="372"/>
      <c r="BG57" s="372"/>
      <c r="BH57" s="372"/>
      <c r="BI57" s="371"/>
      <c r="BJ57" s="375"/>
      <c r="BK57" s="372"/>
      <c r="BL57" s="372"/>
      <c r="BM57" s="372"/>
      <c r="BN57" s="373"/>
      <c r="BO57" s="374"/>
      <c r="BP57" s="372"/>
      <c r="BQ57" s="372"/>
      <c r="BR57" s="372"/>
      <c r="BS57" s="371"/>
      <c r="BT57" s="375"/>
      <c r="BU57" s="372"/>
      <c r="BV57" s="372"/>
      <c r="BW57" s="372"/>
      <c r="BX57" s="373"/>
      <c r="BY57" s="374"/>
      <c r="BZ57" s="372"/>
      <c r="CA57" s="372"/>
      <c r="CB57" s="372"/>
      <c r="CC57" s="371"/>
      <c r="CD57" s="375"/>
      <c r="CE57" s="372"/>
      <c r="CF57" s="372"/>
      <c r="CG57" s="372"/>
      <c r="CH57" s="371"/>
      <c r="CI57" s="375"/>
      <c r="CJ57" s="372"/>
      <c r="CK57" s="372"/>
      <c r="CL57" s="372"/>
      <c r="CM57" s="373"/>
    </row>
    <row r="58" spans="1:91" ht="25.5" customHeight="1">
      <c r="A58" s="386">
        <v>4551</v>
      </c>
      <c r="B58" s="387" t="s">
        <v>11</v>
      </c>
      <c r="C58" s="387" t="s">
        <v>44</v>
      </c>
      <c r="D58" s="387" t="s">
        <v>76</v>
      </c>
      <c r="E58" s="372" t="s">
        <v>53</v>
      </c>
      <c r="F58" s="387"/>
      <c r="G58" s="372" t="s">
        <v>1670</v>
      </c>
      <c r="H58" s="371" t="s">
        <v>54</v>
      </c>
      <c r="I58" s="375"/>
      <c r="J58" s="372"/>
      <c r="K58" s="373"/>
      <c r="L58" s="388" t="s">
        <v>78</v>
      </c>
      <c r="M58" s="387" t="s">
        <v>77</v>
      </c>
      <c r="N58" s="387"/>
      <c r="O58" s="387" t="s">
        <v>77</v>
      </c>
      <c r="P58" s="389" t="s">
        <v>77</v>
      </c>
      <c r="Q58" s="388"/>
      <c r="R58" s="387"/>
      <c r="S58" s="387"/>
      <c r="T58" s="387"/>
      <c r="U58" s="390" t="s">
        <v>80</v>
      </c>
      <c r="V58" s="386"/>
      <c r="W58" s="372"/>
      <c r="X58" s="372"/>
      <c r="Y58" s="372"/>
      <c r="Z58" s="373"/>
      <c r="AA58" s="374"/>
      <c r="AB58" s="372"/>
      <c r="AC58" s="372"/>
      <c r="AD58" s="372"/>
      <c r="AE58" s="371"/>
      <c r="AF58" s="375"/>
      <c r="AG58" s="372"/>
      <c r="AH58" s="372"/>
      <c r="AI58" s="372"/>
      <c r="AJ58" s="373"/>
      <c r="AK58" s="374"/>
      <c r="AL58" s="372"/>
      <c r="AM58" s="372"/>
      <c r="AN58" s="372"/>
      <c r="AO58" s="371"/>
      <c r="AP58" s="375"/>
      <c r="AQ58" s="372"/>
      <c r="AR58" s="372"/>
      <c r="AS58" s="372"/>
      <c r="AT58" s="373"/>
      <c r="AU58" s="374"/>
      <c r="AV58" s="372"/>
      <c r="AW58" s="372"/>
      <c r="AX58" s="372"/>
      <c r="AY58" s="371"/>
      <c r="AZ58" s="375"/>
      <c r="BA58" s="372"/>
      <c r="BB58" s="372"/>
      <c r="BC58" s="372"/>
      <c r="BD58" s="373"/>
      <c r="BE58" s="374"/>
      <c r="BF58" s="372"/>
      <c r="BG58" s="372"/>
      <c r="BH58" s="372"/>
      <c r="BI58" s="371"/>
      <c r="BJ58" s="375"/>
      <c r="BK58" s="372"/>
      <c r="BL58" s="372"/>
      <c r="BM58" s="372"/>
      <c r="BN58" s="373"/>
      <c r="BO58" s="374"/>
      <c r="BP58" s="372"/>
      <c r="BQ58" s="372"/>
      <c r="BR58" s="372"/>
      <c r="BS58" s="371"/>
      <c r="BT58" s="375"/>
      <c r="BU58" s="372"/>
      <c r="BV58" s="372"/>
      <c r="BW58" s="372"/>
      <c r="BX58" s="373"/>
      <c r="BY58" s="374"/>
      <c r="BZ58" s="372"/>
      <c r="CA58" s="372"/>
      <c r="CB58" s="372"/>
      <c r="CC58" s="371"/>
      <c r="CD58" s="375"/>
      <c r="CE58" s="372"/>
      <c r="CF58" s="372"/>
      <c r="CG58" s="372"/>
      <c r="CH58" s="371"/>
      <c r="CI58" s="375"/>
      <c r="CJ58" s="372"/>
      <c r="CK58" s="372"/>
      <c r="CL58" s="372"/>
      <c r="CM58" s="373"/>
    </row>
    <row r="59" spans="1:91" ht="25.5" customHeight="1" thickBot="1">
      <c r="A59" s="411">
        <v>4552</v>
      </c>
      <c r="B59" s="412" t="s">
        <v>11</v>
      </c>
      <c r="C59" s="412" t="s">
        <v>44</v>
      </c>
      <c r="D59" s="412" t="s">
        <v>76</v>
      </c>
      <c r="E59" s="377" t="s">
        <v>53</v>
      </c>
      <c r="F59" s="412"/>
      <c r="G59" s="377" t="s">
        <v>1672</v>
      </c>
      <c r="H59" s="376" t="s">
        <v>54</v>
      </c>
      <c r="I59" s="380"/>
      <c r="J59" s="377"/>
      <c r="K59" s="378"/>
      <c r="L59" s="413" t="s">
        <v>78</v>
      </c>
      <c r="M59" s="412" t="s">
        <v>77</v>
      </c>
      <c r="N59" s="412"/>
      <c r="O59" s="412" t="s">
        <v>77</v>
      </c>
      <c r="P59" s="414" t="s">
        <v>77</v>
      </c>
      <c r="Q59" s="413"/>
      <c r="R59" s="412"/>
      <c r="S59" s="412"/>
      <c r="T59" s="412"/>
      <c r="U59" s="415" t="s">
        <v>80</v>
      </c>
      <c r="V59" s="411"/>
      <c r="W59" s="377"/>
      <c r="X59" s="377"/>
      <c r="Y59" s="377"/>
      <c r="Z59" s="378"/>
      <c r="AA59" s="379"/>
      <c r="AB59" s="377"/>
      <c r="AC59" s="377"/>
      <c r="AD59" s="377"/>
      <c r="AE59" s="376"/>
      <c r="AF59" s="380"/>
      <c r="AG59" s="377"/>
      <c r="AH59" s="377"/>
      <c r="AI59" s="377"/>
      <c r="AJ59" s="378"/>
      <c r="AK59" s="379"/>
      <c r="AL59" s="377"/>
      <c r="AM59" s="377"/>
      <c r="AN59" s="377"/>
      <c r="AO59" s="376"/>
      <c r="AP59" s="380"/>
      <c r="AQ59" s="377"/>
      <c r="AR59" s="377"/>
      <c r="AS59" s="377"/>
      <c r="AT59" s="378"/>
      <c r="AU59" s="379"/>
      <c r="AV59" s="377"/>
      <c r="AW59" s="377"/>
      <c r="AX59" s="377"/>
      <c r="AY59" s="376"/>
      <c r="AZ59" s="380"/>
      <c r="BA59" s="377"/>
      <c r="BB59" s="377"/>
      <c r="BC59" s="377"/>
      <c r="BD59" s="378"/>
      <c r="BE59" s="379"/>
      <c r="BF59" s="377"/>
      <c r="BG59" s="377"/>
      <c r="BH59" s="377"/>
      <c r="BI59" s="376"/>
      <c r="BJ59" s="380"/>
      <c r="BK59" s="377"/>
      <c r="BL59" s="377"/>
      <c r="BM59" s="377"/>
      <c r="BN59" s="378"/>
      <c r="BO59" s="379"/>
      <c r="BP59" s="377"/>
      <c r="BQ59" s="377"/>
      <c r="BR59" s="377"/>
      <c r="BS59" s="376"/>
      <c r="BT59" s="380"/>
      <c r="BU59" s="377"/>
      <c r="BV59" s="377"/>
      <c r="BW59" s="377"/>
      <c r="BX59" s="378"/>
      <c r="BY59" s="379"/>
      <c r="BZ59" s="377"/>
      <c r="CA59" s="377"/>
      <c r="CB59" s="377"/>
      <c r="CC59" s="376"/>
      <c r="CD59" s="380"/>
      <c r="CE59" s="377"/>
      <c r="CF59" s="377"/>
      <c r="CG59" s="377"/>
      <c r="CH59" s="376"/>
      <c r="CI59" s="380"/>
      <c r="CJ59" s="377"/>
      <c r="CK59" s="377"/>
      <c r="CL59" s="377"/>
      <c r="CM59" s="378"/>
    </row>
    <row r="60" spans="1:91" ht="15" customHeight="1" thickBot="1">
      <c r="A60" s="48"/>
      <c r="B60" s="179"/>
      <c r="C60" s="180"/>
      <c r="D60" s="181"/>
      <c r="E60" s="17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50"/>
      <c r="CH60" s="50"/>
      <c r="CI60" s="50"/>
      <c r="CJ60" s="50"/>
      <c r="CK60" s="50"/>
      <c r="CL60" s="50"/>
      <c r="CM60" s="51"/>
    </row>
    <row r="61" spans="1:91" ht="25.5" customHeight="1" thickBot="1">
      <c r="A61" s="275" t="s">
        <v>31</v>
      </c>
      <c r="B61" s="276"/>
      <c r="C61" s="277"/>
      <c r="D61" s="192"/>
      <c r="E61" s="278" t="s">
        <v>32</v>
      </c>
      <c r="F61" s="276"/>
      <c r="G61" s="277"/>
      <c r="H61" s="193" t="s">
        <v>8</v>
      </c>
      <c r="I61" s="192" t="s">
        <v>9</v>
      </c>
      <c r="J61" s="192" t="s">
        <v>33</v>
      </c>
      <c r="K61" s="192" t="s">
        <v>10</v>
      </c>
      <c r="L61" s="291"/>
      <c r="M61" s="292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  <c r="AA61" s="292"/>
      <c r="AB61" s="292"/>
      <c r="AC61" s="292"/>
      <c r="AD61" s="292"/>
      <c r="AE61" s="292"/>
      <c r="AF61" s="292"/>
      <c r="AG61" s="292"/>
      <c r="AH61" s="292"/>
      <c r="AI61" s="292"/>
      <c r="AJ61" s="292"/>
      <c r="AK61" s="292"/>
      <c r="AL61" s="292"/>
      <c r="AM61" s="292"/>
      <c r="AN61" s="292"/>
      <c r="AO61" s="292"/>
      <c r="AP61" s="292"/>
      <c r="AQ61" s="292"/>
      <c r="AR61" s="292"/>
      <c r="AS61" s="292"/>
      <c r="AT61" s="292"/>
      <c r="AU61" s="292"/>
      <c r="AV61" s="292"/>
      <c r="AW61" s="292"/>
      <c r="AX61" s="292"/>
      <c r="AY61" s="292"/>
      <c r="AZ61" s="292"/>
      <c r="BA61" s="292"/>
      <c r="BB61" s="292"/>
      <c r="BC61" s="292"/>
      <c r="BD61" s="292"/>
      <c r="BE61" s="293"/>
      <c r="BF61" s="300"/>
      <c r="BG61" s="300"/>
      <c r="BH61" s="300"/>
      <c r="BI61" s="300"/>
      <c r="BJ61" s="300"/>
      <c r="BK61" s="300"/>
      <c r="BL61" s="300"/>
      <c r="BM61" s="300"/>
      <c r="BN61" s="300"/>
      <c r="BO61" s="300"/>
      <c r="BP61" s="300"/>
      <c r="BQ61" s="300"/>
      <c r="BR61" s="300"/>
      <c r="BS61" s="300"/>
      <c r="BT61" s="300"/>
      <c r="BU61" s="301"/>
      <c r="BV61" s="291"/>
      <c r="BW61" s="247"/>
      <c r="BX61" s="247"/>
      <c r="BY61" s="247"/>
      <c r="BZ61" s="247"/>
      <c r="CA61" s="247"/>
      <c r="CB61" s="247"/>
      <c r="CC61" s="247"/>
      <c r="CD61" s="247"/>
      <c r="CE61" s="247"/>
      <c r="CF61" s="247"/>
      <c r="CG61" s="247"/>
      <c r="CH61" s="247"/>
      <c r="CI61" s="247"/>
      <c r="CJ61" s="247"/>
      <c r="CK61" s="247"/>
      <c r="CL61" s="247"/>
      <c r="CM61" s="248"/>
    </row>
    <row r="62" spans="1:91" ht="25.5" customHeight="1">
      <c r="A62" s="288"/>
      <c r="B62" s="289"/>
      <c r="C62" s="289"/>
      <c r="D62" s="52"/>
      <c r="E62" s="290"/>
      <c r="F62" s="290"/>
      <c r="G62" s="290"/>
      <c r="H62" s="53"/>
      <c r="I62" s="53"/>
      <c r="J62" s="53"/>
      <c r="K62" s="54"/>
      <c r="L62" s="294"/>
      <c r="M62" s="295"/>
      <c r="N62" s="295"/>
      <c r="O62" s="295"/>
      <c r="P62" s="295"/>
      <c r="Q62" s="295"/>
      <c r="R62" s="295"/>
      <c r="S62" s="295"/>
      <c r="T62" s="295"/>
      <c r="U62" s="295"/>
      <c r="V62" s="295"/>
      <c r="W62" s="295"/>
      <c r="X62" s="295"/>
      <c r="Y62" s="295"/>
      <c r="Z62" s="295"/>
      <c r="AA62" s="295"/>
      <c r="AB62" s="295"/>
      <c r="AC62" s="295"/>
      <c r="AD62" s="295"/>
      <c r="AE62" s="295"/>
      <c r="AF62" s="295"/>
      <c r="AG62" s="295"/>
      <c r="AH62" s="295"/>
      <c r="AI62" s="295"/>
      <c r="AJ62" s="295"/>
      <c r="AK62" s="295"/>
      <c r="AL62" s="295"/>
      <c r="AM62" s="295"/>
      <c r="AN62" s="295"/>
      <c r="AO62" s="295"/>
      <c r="AP62" s="295"/>
      <c r="AQ62" s="295"/>
      <c r="AR62" s="295"/>
      <c r="AS62" s="295"/>
      <c r="AT62" s="295"/>
      <c r="AU62" s="295"/>
      <c r="AV62" s="295"/>
      <c r="AW62" s="295"/>
      <c r="AX62" s="295"/>
      <c r="AY62" s="295"/>
      <c r="AZ62" s="295"/>
      <c r="BA62" s="295"/>
      <c r="BB62" s="295"/>
      <c r="BC62" s="295"/>
      <c r="BD62" s="295"/>
      <c r="BE62" s="296"/>
      <c r="BF62" s="302"/>
      <c r="BG62" s="302"/>
      <c r="BH62" s="302"/>
      <c r="BI62" s="302"/>
      <c r="BJ62" s="302"/>
      <c r="BK62" s="302"/>
      <c r="BL62" s="302"/>
      <c r="BM62" s="302"/>
      <c r="BN62" s="302"/>
      <c r="BO62" s="302"/>
      <c r="BP62" s="302"/>
      <c r="BQ62" s="302"/>
      <c r="BR62" s="302"/>
      <c r="BS62" s="302"/>
      <c r="BT62" s="302"/>
      <c r="BU62" s="303"/>
      <c r="BV62" s="306"/>
      <c r="BW62" s="249"/>
      <c r="BX62" s="249"/>
      <c r="BY62" s="249"/>
      <c r="BZ62" s="249"/>
      <c r="CA62" s="249"/>
      <c r="CB62" s="249"/>
      <c r="CC62" s="249"/>
      <c r="CD62" s="249"/>
      <c r="CE62" s="249"/>
      <c r="CF62" s="249"/>
      <c r="CG62" s="249"/>
      <c r="CH62" s="249"/>
      <c r="CI62" s="249"/>
      <c r="CJ62" s="249"/>
      <c r="CK62" s="249"/>
      <c r="CL62" s="249"/>
      <c r="CM62" s="250"/>
    </row>
    <row r="63" spans="1:91" ht="25.5" customHeight="1" thickBot="1">
      <c r="A63" s="288"/>
      <c r="B63" s="289"/>
      <c r="C63" s="289"/>
      <c r="D63" s="52"/>
      <c r="E63" s="290"/>
      <c r="F63" s="290"/>
      <c r="G63" s="290"/>
      <c r="H63" s="53"/>
      <c r="I63" s="53"/>
      <c r="J63" s="53"/>
      <c r="K63" s="54"/>
      <c r="L63" s="294"/>
      <c r="M63" s="295"/>
      <c r="N63" s="295"/>
      <c r="O63" s="295"/>
      <c r="P63" s="295"/>
      <c r="Q63" s="295"/>
      <c r="R63" s="295"/>
      <c r="S63" s="295"/>
      <c r="T63" s="295"/>
      <c r="U63" s="295"/>
      <c r="V63" s="295"/>
      <c r="W63" s="295"/>
      <c r="X63" s="295"/>
      <c r="Y63" s="295"/>
      <c r="Z63" s="295"/>
      <c r="AA63" s="295"/>
      <c r="AB63" s="295"/>
      <c r="AC63" s="295"/>
      <c r="AD63" s="295"/>
      <c r="AE63" s="295"/>
      <c r="AF63" s="295"/>
      <c r="AG63" s="295"/>
      <c r="AH63" s="295"/>
      <c r="AI63" s="295"/>
      <c r="AJ63" s="295"/>
      <c r="AK63" s="295"/>
      <c r="AL63" s="295"/>
      <c r="AM63" s="295"/>
      <c r="AN63" s="295"/>
      <c r="AO63" s="295"/>
      <c r="AP63" s="295"/>
      <c r="AQ63" s="295"/>
      <c r="AR63" s="295"/>
      <c r="AS63" s="295"/>
      <c r="AT63" s="295"/>
      <c r="AU63" s="295"/>
      <c r="AV63" s="295"/>
      <c r="AW63" s="295"/>
      <c r="AX63" s="295"/>
      <c r="AY63" s="295"/>
      <c r="AZ63" s="295"/>
      <c r="BA63" s="295"/>
      <c r="BB63" s="295"/>
      <c r="BC63" s="295"/>
      <c r="BD63" s="295"/>
      <c r="BE63" s="296"/>
      <c r="BF63" s="304"/>
      <c r="BG63" s="304"/>
      <c r="BH63" s="304"/>
      <c r="BI63" s="304"/>
      <c r="BJ63" s="304"/>
      <c r="BK63" s="304"/>
      <c r="BL63" s="304"/>
      <c r="BM63" s="304"/>
      <c r="BN63" s="304"/>
      <c r="BO63" s="304"/>
      <c r="BP63" s="304"/>
      <c r="BQ63" s="304"/>
      <c r="BR63" s="304"/>
      <c r="BS63" s="304"/>
      <c r="BT63" s="304"/>
      <c r="BU63" s="305"/>
      <c r="BV63" s="263"/>
      <c r="BW63" s="251"/>
      <c r="BX63" s="251"/>
      <c r="BY63" s="251"/>
      <c r="BZ63" s="251"/>
      <c r="CA63" s="251"/>
      <c r="CB63" s="251"/>
      <c r="CC63" s="251"/>
      <c r="CD63" s="251"/>
      <c r="CE63" s="251"/>
      <c r="CF63" s="251"/>
      <c r="CG63" s="251"/>
      <c r="CH63" s="251"/>
      <c r="CI63" s="251"/>
      <c r="CJ63" s="251"/>
      <c r="CK63" s="251"/>
      <c r="CL63" s="251"/>
      <c r="CM63" s="252"/>
    </row>
    <row r="64" spans="1:91" ht="27" customHeight="1">
      <c r="A64" s="288"/>
      <c r="B64" s="289"/>
      <c r="C64" s="289"/>
      <c r="D64" s="52"/>
      <c r="E64" s="290"/>
      <c r="F64" s="290"/>
      <c r="G64" s="290"/>
      <c r="H64" s="53"/>
      <c r="I64" s="53"/>
      <c r="J64" s="53"/>
      <c r="K64" s="54"/>
      <c r="L64" s="294"/>
      <c r="M64" s="295"/>
      <c r="N64" s="295"/>
      <c r="O64" s="295"/>
      <c r="P64" s="295"/>
      <c r="Q64" s="295"/>
      <c r="R64" s="295"/>
      <c r="S64" s="295"/>
      <c r="T64" s="295"/>
      <c r="U64" s="295"/>
      <c r="V64" s="295"/>
      <c r="W64" s="295"/>
      <c r="X64" s="295"/>
      <c r="Y64" s="295"/>
      <c r="Z64" s="295"/>
      <c r="AA64" s="295"/>
      <c r="AB64" s="295"/>
      <c r="AC64" s="295"/>
      <c r="AD64" s="295"/>
      <c r="AE64" s="295"/>
      <c r="AF64" s="295"/>
      <c r="AG64" s="295"/>
      <c r="AH64" s="295"/>
      <c r="AI64" s="295"/>
      <c r="AJ64" s="295"/>
      <c r="AK64" s="295"/>
      <c r="AL64" s="295"/>
      <c r="AM64" s="295"/>
      <c r="AN64" s="295"/>
      <c r="AO64" s="295"/>
      <c r="AP64" s="295"/>
      <c r="AQ64" s="295"/>
      <c r="AR64" s="295"/>
      <c r="AS64" s="295"/>
      <c r="AT64" s="295"/>
      <c r="AU64" s="295"/>
      <c r="AV64" s="295"/>
      <c r="AW64" s="295"/>
      <c r="AX64" s="295"/>
      <c r="AY64" s="295"/>
      <c r="AZ64" s="295"/>
      <c r="BA64" s="295"/>
      <c r="BB64" s="295"/>
      <c r="BC64" s="295"/>
      <c r="BD64" s="295"/>
      <c r="BE64" s="296"/>
      <c r="BF64" s="247" t="s">
        <v>89</v>
      </c>
      <c r="BG64" s="247"/>
      <c r="BH64" s="247"/>
      <c r="BI64" s="247"/>
      <c r="BJ64" s="247"/>
      <c r="BK64" s="247"/>
      <c r="BL64" s="247"/>
      <c r="BM64" s="247"/>
      <c r="BN64" s="247"/>
      <c r="BO64" s="247"/>
      <c r="BP64" s="247"/>
      <c r="BQ64" s="247"/>
      <c r="BR64" s="247"/>
      <c r="BS64" s="247"/>
      <c r="BT64" s="247"/>
      <c r="BU64" s="248"/>
      <c r="BV64" s="279" t="s">
        <v>90</v>
      </c>
      <c r="BW64" s="280"/>
      <c r="BX64" s="280"/>
      <c r="BY64" s="280"/>
      <c r="BZ64" s="280"/>
      <c r="CA64" s="280"/>
      <c r="CB64" s="280"/>
      <c r="CC64" s="280"/>
      <c r="CD64" s="280"/>
      <c r="CE64" s="280"/>
      <c r="CF64" s="280"/>
      <c r="CG64" s="280"/>
      <c r="CH64" s="280"/>
      <c r="CI64" s="280"/>
      <c r="CJ64" s="280"/>
      <c r="CK64" s="280"/>
      <c r="CL64" s="280"/>
      <c r="CM64" s="281"/>
    </row>
    <row r="65" spans="1:91" ht="25.5" customHeight="1">
      <c r="A65" s="288"/>
      <c r="B65" s="289"/>
      <c r="C65" s="289"/>
      <c r="D65" s="52"/>
      <c r="E65" s="290"/>
      <c r="F65" s="290"/>
      <c r="G65" s="290"/>
      <c r="H65" s="53"/>
      <c r="I65" s="53"/>
      <c r="J65" s="53"/>
      <c r="K65" s="54"/>
      <c r="L65" s="294"/>
      <c r="M65" s="295"/>
      <c r="N65" s="295"/>
      <c r="O65" s="295"/>
      <c r="P65" s="295"/>
      <c r="Q65" s="295"/>
      <c r="R65" s="295"/>
      <c r="S65" s="295"/>
      <c r="T65" s="295"/>
      <c r="U65" s="295"/>
      <c r="V65" s="295"/>
      <c r="W65" s="295"/>
      <c r="X65" s="295"/>
      <c r="Y65" s="295"/>
      <c r="Z65" s="295"/>
      <c r="AA65" s="295"/>
      <c r="AB65" s="295"/>
      <c r="AC65" s="295"/>
      <c r="AD65" s="295"/>
      <c r="AE65" s="295"/>
      <c r="AF65" s="295"/>
      <c r="AG65" s="295"/>
      <c r="AH65" s="295"/>
      <c r="AI65" s="295"/>
      <c r="AJ65" s="295"/>
      <c r="AK65" s="295"/>
      <c r="AL65" s="295"/>
      <c r="AM65" s="295"/>
      <c r="AN65" s="295"/>
      <c r="AO65" s="295"/>
      <c r="AP65" s="295"/>
      <c r="AQ65" s="295"/>
      <c r="AR65" s="295"/>
      <c r="AS65" s="295"/>
      <c r="AT65" s="295"/>
      <c r="AU65" s="295"/>
      <c r="AV65" s="295"/>
      <c r="AW65" s="295"/>
      <c r="AX65" s="295"/>
      <c r="AY65" s="295"/>
      <c r="AZ65" s="295"/>
      <c r="BA65" s="295"/>
      <c r="BB65" s="295"/>
      <c r="BC65" s="295"/>
      <c r="BD65" s="295"/>
      <c r="BE65" s="296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50"/>
      <c r="BV65" s="282"/>
      <c r="BW65" s="283"/>
      <c r="BX65" s="283"/>
      <c r="BY65" s="283"/>
      <c r="BZ65" s="283"/>
      <c r="CA65" s="283"/>
      <c r="CB65" s="283"/>
      <c r="CC65" s="283"/>
      <c r="CD65" s="283"/>
      <c r="CE65" s="283"/>
      <c r="CF65" s="283"/>
      <c r="CG65" s="283"/>
      <c r="CH65" s="283"/>
      <c r="CI65" s="283"/>
      <c r="CJ65" s="283"/>
      <c r="CK65" s="283"/>
      <c r="CL65" s="283"/>
      <c r="CM65" s="284"/>
    </row>
    <row r="66" spans="1:91" ht="25.5" customHeight="1" thickBot="1">
      <c r="A66" s="288"/>
      <c r="B66" s="289"/>
      <c r="C66" s="289"/>
      <c r="D66" s="52"/>
      <c r="E66" s="290"/>
      <c r="F66" s="290"/>
      <c r="G66" s="290"/>
      <c r="H66" s="53"/>
      <c r="I66" s="53"/>
      <c r="J66" s="53"/>
      <c r="K66" s="54"/>
      <c r="L66" s="294"/>
      <c r="M66" s="295"/>
      <c r="N66" s="295"/>
      <c r="O66" s="295"/>
      <c r="P66" s="295"/>
      <c r="Q66" s="295"/>
      <c r="R66" s="295"/>
      <c r="S66" s="295"/>
      <c r="T66" s="295"/>
      <c r="U66" s="295"/>
      <c r="V66" s="295"/>
      <c r="W66" s="295"/>
      <c r="X66" s="295"/>
      <c r="Y66" s="295"/>
      <c r="Z66" s="295"/>
      <c r="AA66" s="295"/>
      <c r="AB66" s="295"/>
      <c r="AC66" s="295"/>
      <c r="AD66" s="295"/>
      <c r="AE66" s="295"/>
      <c r="AF66" s="295"/>
      <c r="AG66" s="295"/>
      <c r="AH66" s="295"/>
      <c r="AI66" s="295"/>
      <c r="AJ66" s="295"/>
      <c r="AK66" s="295"/>
      <c r="AL66" s="295"/>
      <c r="AM66" s="295"/>
      <c r="AN66" s="295"/>
      <c r="AO66" s="295"/>
      <c r="AP66" s="295"/>
      <c r="AQ66" s="295"/>
      <c r="AR66" s="295"/>
      <c r="AS66" s="295"/>
      <c r="AT66" s="295"/>
      <c r="AU66" s="295"/>
      <c r="AV66" s="295"/>
      <c r="AW66" s="295"/>
      <c r="AX66" s="295"/>
      <c r="AY66" s="295"/>
      <c r="AZ66" s="295"/>
      <c r="BA66" s="295"/>
      <c r="BB66" s="295"/>
      <c r="BC66" s="295"/>
      <c r="BD66" s="295"/>
      <c r="BE66" s="296"/>
      <c r="BF66" s="251"/>
      <c r="BG66" s="251"/>
      <c r="BH66" s="251"/>
      <c r="BI66" s="251"/>
      <c r="BJ66" s="251"/>
      <c r="BK66" s="251"/>
      <c r="BL66" s="251"/>
      <c r="BM66" s="251"/>
      <c r="BN66" s="251"/>
      <c r="BO66" s="251"/>
      <c r="BP66" s="251"/>
      <c r="BQ66" s="251"/>
      <c r="BR66" s="251"/>
      <c r="BS66" s="251"/>
      <c r="BT66" s="251"/>
      <c r="BU66" s="252"/>
      <c r="BV66" s="285"/>
      <c r="BW66" s="286"/>
      <c r="BX66" s="286"/>
      <c r="BY66" s="286"/>
      <c r="BZ66" s="286"/>
      <c r="CA66" s="286"/>
      <c r="CB66" s="286"/>
      <c r="CC66" s="286"/>
      <c r="CD66" s="286"/>
      <c r="CE66" s="286"/>
      <c r="CF66" s="286"/>
      <c r="CG66" s="286"/>
      <c r="CH66" s="286"/>
      <c r="CI66" s="286"/>
      <c r="CJ66" s="286"/>
      <c r="CK66" s="286"/>
      <c r="CL66" s="286"/>
      <c r="CM66" s="287"/>
    </row>
    <row r="67" spans="1:91" ht="25.5" customHeight="1">
      <c r="A67" s="255" t="e">
        <f>IF(#REF!&lt;&gt;"",#REF!,"")</f>
        <v>#REF!</v>
      </c>
      <c r="B67" s="256"/>
      <c r="C67" s="256"/>
      <c r="D67" s="185"/>
      <c r="E67" s="257" t="e">
        <f>IF(#REF!&lt;&gt;"",#REF!,"")</f>
        <v>#REF!</v>
      </c>
      <c r="F67" s="257"/>
      <c r="G67" s="257"/>
      <c r="H67" s="186" t="e">
        <f>IF(#REF!&lt;&gt;"",#REF!,"")</f>
        <v>#REF!</v>
      </c>
      <c r="I67" s="186" t="e">
        <f>IF(#REF!&lt;&gt;"",#REF!,"")</f>
        <v>#REF!</v>
      </c>
      <c r="J67" s="186" t="e">
        <f>IF(#REF!&lt;&gt;"",#REF!,"")</f>
        <v>#REF!</v>
      </c>
      <c r="K67" s="187" t="e">
        <f>IF(#REF!&lt;&gt;"",#REF!,"")</f>
        <v>#REF!</v>
      </c>
      <c r="L67" s="294"/>
      <c r="M67" s="295"/>
      <c r="N67" s="295"/>
      <c r="O67" s="295"/>
      <c r="P67" s="295"/>
      <c r="Q67" s="295"/>
      <c r="R67" s="295"/>
      <c r="S67" s="295"/>
      <c r="T67" s="295"/>
      <c r="U67" s="295"/>
      <c r="V67" s="295"/>
      <c r="W67" s="295"/>
      <c r="X67" s="295"/>
      <c r="Y67" s="295"/>
      <c r="Z67" s="295"/>
      <c r="AA67" s="295"/>
      <c r="AB67" s="295"/>
      <c r="AC67" s="295"/>
      <c r="AD67" s="295"/>
      <c r="AE67" s="295"/>
      <c r="AF67" s="295"/>
      <c r="AG67" s="295"/>
      <c r="AH67" s="295"/>
      <c r="AI67" s="295"/>
      <c r="AJ67" s="295"/>
      <c r="AK67" s="295"/>
      <c r="AL67" s="295"/>
      <c r="AM67" s="295"/>
      <c r="AN67" s="295"/>
      <c r="AO67" s="295"/>
      <c r="AP67" s="295"/>
      <c r="AQ67" s="295"/>
      <c r="AR67" s="295"/>
      <c r="AS67" s="295"/>
      <c r="AT67" s="295"/>
      <c r="AU67" s="295"/>
      <c r="AV67" s="295"/>
      <c r="AW67" s="295"/>
      <c r="AX67" s="295"/>
      <c r="AY67" s="295"/>
      <c r="AZ67" s="295"/>
      <c r="BA67" s="295"/>
      <c r="BB67" s="295"/>
      <c r="BC67" s="295"/>
      <c r="BD67" s="295"/>
      <c r="BE67" s="296"/>
      <c r="BF67" s="272" t="s">
        <v>34</v>
      </c>
      <c r="BG67" s="272"/>
      <c r="BH67" s="272"/>
      <c r="BI67" s="272"/>
      <c r="BJ67" s="272"/>
      <c r="BK67" s="272"/>
      <c r="BL67" s="272"/>
      <c r="BM67" s="272"/>
      <c r="BN67" s="272"/>
      <c r="BO67" s="272"/>
      <c r="BP67" s="272"/>
      <c r="BQ67" s="272"/>
      <c r="BR67" s="272"/>
      <c r="BS67" s="272"/>
      <c r="BT67" s="272"/>
      <c r="BU67" s="254"/>
      <c r="BV67" s="273" t="s">
        <v>35</v>
      </c>
      <c r="BW67" s="272"/>
      <c r="BX67" s="274"/>
      <c r="BY67" s="253" t="s">
        <v>36</v>
      </c>
      <c r="BZ67" s="272"/>
      <c r="CA67" s="272"/>
      <c r="CB67" s="272"/>
      <c r="CC67" s="272"/>
      <c r="CD67" s="272"/>
      <c r="CE67" s="272"/>
      <c r="CF67" s="272"/>
      <c r="CG67" s="272"/>
      <c r="CH67" s="272"/>
      <c r="CI67" s="272"/>
      <c r="CJ67" s="272"/>
      <c r="CK67" s="274"/>
      <c r="CL67" s="253" t="s">
        <v>37</v>
      </c>
      <c r="CM67" s="254"/>
    </row>
    <row r="68" spans="1:91" ht="25.5" customHeight="1">
      <c r="A68" s="255" t="e">
        <f>IF(#REF!&lt;&gt;"",#REF!,"")</f>
        <v>#REF!</v>
      </c>
      <c r="B68" s="256"/>
      <c r="C68" s="256"/>
      <c r="D68" s="185"/>
      <c r="E68" s="257" t="e">
        <f>IF(#REF!&lt;&gt;"",#REF!,"")</f>
        <v>#REF!</v>
      </c>
      <c r="F68" s="257"/>
      <c r="G68" s="257"/>
      <c r="H68" s="186" t="e">
        <f>IF(#REF!&lt;&gt;"",#REF!,"")</f>
        <v>#REF!</v>
      </c>
      <c r="I68" s="186" t="e">
        <f>IF(#REF!&lt;&gt;"",#REF!,"")</f>
        <v>#REF!</v>
      </c>
      <c r="J68" s="186" t="e">
        <f>IF(#REF!&lt;&gt;"",#REF!,"")</f>
        <v>#REF!</v>
      </c>
      <c r="K68" s="187" t="e">
        <f>IF(#REF!&lt;&gt;"",#REF!,"")</f>
        <v>#REF!</v>
      </c>
      <c r="L68" s="294"/>
      <c r="M68" s="295"/>
      <c r="N68" s="295"/>
      <c r="O68" s="295"/>
      <c r="P68" s="295"/>
      <c r="Q68" s="295"/>
      <c r="R68" s="295"/>
      <c r="S68" s="295"/>
      <c r="T68" s="295"/>
      <c r="U68" s="295"/>
      <c r="V68" s="295"/>
      <c r="W68" s="295"/>
      <c r="X68" s="295"/>
      <c r="Y68" s="295"/>
      <c r="Z68" s="295"/>
      <c r="AA68" s="295"/>
      <c r="AB68" s="295"/>
      <c r="AC68" s="295"/>
      <c r="AD68" s="295"/>
      <c r="AE68" s="295"/>
      <c r="AF68" s="295"/>
      <c r="AG68" s="295"/>
      <c r="AH68" s="295"/>
      <c r="AI68" s="295"/>
      <c r="AJ68" s="295"/>
      <c r="AK68" s="295"/>
      <c r="AL68" s="295"/>
      <c r="AM68" s="295"/>
      <c r="AN68" s="295"/>
      <c r="AO68" s="295"/>
      <c r="AP68" s="295"/>
      <c r="AQ68" s="295"/>
      <c r="AR68" s="295"/>
      <c r="AS68" s="295"/>
      <c r="AT68" s="295"/>
      <c r="AU68" s="295"/>
      <c r="AV68" s="295"/>
      <c r="AW68" s="295"/>
      <c r="AX68" s="295"/>
      <c r="AY68" s="295"/>
      <c r="AZ68" s="295"/>
      <c r="BA68" s="295"/>
      <c r="BB68" s="295"/>
      <c r="BC68" s="295"/>
      <c r="BD68" s="295"/>
      <c r="BE68" s="296"/>
      <c r="BF68" s="258" t="s">
        <v>5</v>
      </c>
      <c r="BG68" s="259"/>
      <c r="BH68" s="259"/>
      <c r="BI68" s="259"/>
      <c r="BJ68" s="259"/>
      <c r="BK68" s="259"/>
      <c r="BL68" s="259"/>
      <c r="BM68" s="259"/>
      <c r="BN68" s="259"/>
      <c r="BO68" s="259"/>
      <c r="BP68" s="259"/>
      <c r="BQ68" s="259"/>
      <c r="BR68" s="259"/>
      <c r="BS68" s="259"/>
      <c r="BT68" s="259"/>
      <c r="BU68" s="260"/>
      <c r="BV68" s="261" t="s">
        <v>12</v>
      </c>
      <c r="BW68" s="259"/>
      <c r="BX68" s="262"/>
      <c r="BY68" s="265" t="s">
        <v>1705</v>
      </c>
      <c r="BZ68" s="266"/>
      <c r="CA68" s="266"/>
      <c r="CB68" s="266"/>
      <c r="CC68" s="266"/>
      <c r="CD68" s="266"/>
      <c r="CE68" s="266"/>
      <c r="CF68" s="266"/>
      <c r="CG68" s="266"/>
      <c r="CH68" s="266"/>
      <c r="CI68" s="266"/>
      <c r="CJ68" s="266"/>
      <c r="CK68" s="267"/>
      <c r="CL68" s="227" t="s">
        <v>11</v>
      </c>
      <c r="CM68" s="260"/>
    </row>
    <row r="69" spans="1:91" ht="25.5" customHeight="1" thickBot="1">
      <c r="A69" s="255" t="e">
        <f>IF(#REF!&lt;&gt;"",#REF!,"")</f>
        <v>#REF!</v>
      </c>
      <c r="B69" s="256"/>
      <c r="C69" s="256"/>
      <c r="D69" s="185"/>
      <c r="E69" s="257" t="e">
        <f>IF(#REF!&lt;&gt;"",#REF!,"")</f>
        <v>#REF!</v>
      </c>
      <c r="F69" s="257"/>
      <c r="G69" s="257"/>
      <c r="H69" s="186" t="e">
        <f>IF(#REF!&lt;&gt;"",#REF!,"")</f>
        <v>#REF!</v>
      </c>
      <c r="I69" s="186" t="e">
        <f>IF(#REF!&lt;&gt;"",#REF!,"")</f>
        <v>#REF!</v>
      </c>
      <c r="J69" s="186" t="e">
        <f>IF(#REF!&lt;&gt;"",#REF!,"")</f>
        <v>#REF!</v>
      </c>
      <c r="K69" s="187" t="e">
        <f>IF(#REF!&lt;&gt;"",#REF!,"")</f>
        <v>#REF!</v>
      </c>
      <c r="L69" s="297"/>
      <c r="M69" s="298"/>
      <c r="N69" s="298"/>
      <c r="O69" s="298"/>
      <c r="P69" s="298"/>
      <c r="Q69" s="298"/>
      <c r="R69" s="298"/>
      <c r="S69" s="298"/>
      <c r="T69" s="298"/>
      <c r="U69" s="298"/>
      <c r="V69" s="298"/>
      <c r="W69" s="298"/>
      <c r="X69" s="298"/>
      <c r="Y69" s="298"/>
      <c r="Z69" s="298"/>
      <c r="AA69" s="298"/>
      <c r="AB69" s="298"/>
      <c r="AC69" s="298"/>
      <c r="AD69" s="298"/>
      <c r="AE69" s="298"/>
      <c r="AF69" s="298"/>
      <c r="AG69" s="298"/>
      <c r="AH69" s="298"/>
      <c r="AI69" s="298"/>
      <c r="AJ69" s="298"/>
      <c r="AK69" s="298"/>
      <c r="AL69" s="298"/>
      <c r="AM69" s="298"/>
      <c r="AN69" s="298"/>
      <c r="AO69" s="298"/>
      <c r="AP69" s="298"/>
      <c r="AQ69" s="298"/>
      <c r="AR69" s="298"/>
      <c r="AS69" s="298"/>
      <c r="AT69" s="298"/>
      <c r="AU69" s="298"/>
      <c r="AV69" s="298"/>
      <c r="AW69" s="298"/>
      <c r="AX69" s="298"/>
      <c r="AY69" s="298"/>
      <c r="AZ69" s="298"/>
      <c r="BA69" s="298"/>
      <c r="BB69" s="298"/>
      <c r="BC69" s="298"/>
      <c r="BD69" s="298"/>
      <c r="BE69" s="299"/>
      <c r="BF69" s="251"/>
      <c r="BG69" s="251"/>
      <c r="BH69" s="251"/>
      <c r="BI69" s="251"/>
      <c r="BJ69" s="251"/>
      <c r="BK69" s="251"/>
      <c r="BL69" s="251"/>
      <c r="BM69" s="251"/>
      <c r="BN69" s="251"/>
      <c r="BO69" s="251"/>
      <c r="BP69" s="251"/>
      <c r="BQ69" s="251"/>
      <c r="BR69" s="251"/>
      <c r="BS69" s="251"/>
      <c r="BT69" s="251"/>
      <c r="BU69" s="252"/>
      <c r="BV69" s="263"/>
      <c r="BW69" s="251"/>
      <c r="BX69" s="264"/>
      <c r="BY69" s="268"/>
      <c r="BZ69" s="269"/>
      <c r="CA69" s="269"/>
      <c r="CB69" s="269"/>
      <c r="CC69" s="269"/>
      <c r="CD69" s="269"/>
      <c r="CE69" s="269"/>
      <c r="CF69" s="269"/>
      <c r="CG69" s="269"/>
      <c r="CH69" s="269"/>
      <c r="CI69" s="269"/>
      <c r="CJ69" s="269"/>
      <c r="CK69" s="270"/>
      <c r="CL69" s="271"/>
      <c r="CM69" s="252"/>
    </row>
    <row r="70" spans="1:91" ht="12" customHeight="1">
      <c r="A70" s="55"/>
      <c r="B70" s="56"/>
      <c r="C70" s="56"/>
      <c r="D70" s="56"/>
      <c r="E70" s="57"/>
      <c r="F70" s="58"/>
      <c r="G70" s="58"/>
      <c r="H70" s="58"/>
      <c r="I70" s="59"/>
      <c r="BL70" s="17"/>
      <c r="BM70" s="17"/>
      <c r="BN70" s="17"/>
      <c r="BO70" s="17"/>
      <c r="BP70" s="17"/>
      <c r="BQ70" s="17"/>
      <c r="BR70" s="17"/>
      <c r="BS70" s="17"/>
      <c r="BT70" s="61"/>
      <c r="CD70" s="57"/>
      <c r="CE70" s="57"/>
      <c r="CF70" s="57"/>
      <c r="CG70" s="57"/>
      <c r="CH70" s="57"/>
      <c r="CI70" s="57"/>
      <c r="CJ70" s="57"/>
      <c r="CK70" s="57"/>
      <c r="CL70" s="57"/>
      <c r="CM70" s="57"/>
    </row>
  </sheetData>
  <mergeCells count="45"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BV64:CM66"/>
    <mergeCell ref="A65:C65"/>
    <mergeCell ref="E65:G65"/>
    <mergeCell ref="A66:C66"/>
    <mergeCell ref="E66:G66"/>
    <mergeCell ref="A67:C67"/>
    <mergeCell ref="E67:G67"/>
    <mergeCell ref="BF67:BU67"/>
    <mergeCell ref="BV67:BX67"/>
    <mergeCell ref="BY67:CK67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BF64:BU66"/>
    <mergeCell ref="G7:G9"/>
    <mergeCell ref="H7:H9"/>
    <mergeCell ref="I7:K7"/>
    <mergeCell ref="J8:K8"/>
    <mergeCell ref="A61:C61"/>
    <mergeCell ref="E61:G61"/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29" orientation="landscape" r:id="rId1"/>
  <headerFooter alignWithMargins="0">
    <oddFooter xml:space="preserve">&amp;L&amp;Z&amp;F&amp;C&amp;D&amp;RConcise DesignShutdown Key 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DQ70"/>
  <sheetViews>
    <sheetView showGridLines="0" view="pageBreakPreview" topLeftCell="C1" zoomScale="50" zoomScaleNormal="50" zoomScaleSheetLayoutView="50" zoomScalePageLayoutView="50" workbookViewId="0">
      <selection activeCell="G28" sqref="G28"/>
    </sheetView>
  </sheetViews>
  <sheetFormatPr defaultColWidth="12.7109375" defaultRowHeight="12" customHeight="1"/>
  <cols>
    <col min="1" max="1" width="8.7109375" style="21" hidden="1" customWidth="1"/>
    <col min="2" max="2" width="7.42578125" style="21" hidden="1" customWidth="1"/>
    <col min="3" max="3" width="19" style="21" customWidth="1"/>
    <col min="4" max="4" width="25.42578125" style="21" hidden="1" customWidth="1"/>
    <col min="5" max="5" width="95.85546875" style="27" bestFit="1" customWidth="1"/>
    <col min="6" max="6" width="18.42578125" style="196" hidden="1" customWidth="1"/>
    <col min="7" max="7" width="31.5703125" style="196" bestFit="1" customWidth="1"/>
    <col min="8" max="8" width="33" style="196" bestFit="1" customWidth="1"/>
    <col min="9" max="10" width="8.42578125" style="41" customWidth="1"/>
    <col min="11" max="11" width="10.85546875" style="41" bestFit="1" customWidth="1"/>
    <col min="12" max="12" width="6.140625" style="60" hidden="1" customWidth="1"/>
    <col min="13" max="14" width="6.140625" style="27" customWidth="1"/>
    <col min="15" max="16" width="6.140625" style="27" hidden="1" customWidth="1"/>
    <col min="17" max="21" width="6.140625" style="27" customWidth="1"/>
    <col min="22" max="22" width="6.140625" style="60" customWidth="1"/>
    <col min="23" max="31" width="6.140625" style="27" customWidth="1"/>
    <col min="32" max="32" width="6.140625" style="60" customWidth="1"/>
    <col min="33" max="41" width="6.140625" style="27" customWidth="1"/>
    <col min="42" max="42" width="6.140625" style="60" customWidth="1"/>
    <col min="43" max="51" width="6.140625" style="27" customWidth="1"/>
    <col min="52" max="52" width="6.140625" style="60" customWidth="1"/>
    <col min="53" max="61" width="6.140625" style="27" customWidth="1"/>
    <col min="62" max="62" width="6.140625" style="60" customWidth="1"/>
    <col min="63" max="71" width="6.140625" style="27" customWidth="1"/>
    <col min="72" max="72" width="6.140625" style="60" customWidth="1"/>
    <col min="73" max="80" width="6.140625" style="27" customWidth="1"/>
    <col min="81" max="81" width="6.140625" style="62" customWidth="1"/>
    <col min="82" max="91" width="6.140625" style="27" customWidth="1"/>
    <col min="92" max="16384" width="12.7109375" style="27"/>
  </cols>
  <sheetData>
    <row r="1" spans="1:121" s="194" customFormat="1" ht="20.25" customHeight="1">
      <c r="A1" s="15"/>
      <c r="B1" s="16"/>
      <c r="C1" s="16"/>
      <c r="D1" s="16"/>
      <c r="E1" s="17"/>
      <c r="F1" s="195"/>
      <c r="G1" s="195"/>
      <c r="H1" s="195"/>
      <c r="I1" s="18"/>
      <c r="J1" s="19" t="s">
        <v>13</v>
      </c>
      <c r="K1" s="20"/>
      <c r="L1" s="407">
        <v>1</v>
      </c>
      <c r="M1" s="402">
        <v>2</v>
      </c>
      <c r="N1" s="402">
        <v>3</v>
      </c>
      <c r="O1" s="402">
        <v>4</v>
      </c>
      <c r="P1" s="408">
        <v>6</v>
      </c>
      <c r="Q1" s="407">
        <v>7</v>
      </c>
      <c r="R1" s="402">
        <v>238</v>
      </c>
      <c r="S1" s="402">
        <v>889</v>
      </c>
      <c r="T1" s="402">
        <v>887</v>
      </c>
      <c r="U1" s="409">
        <v>888</v>
      </c>
      <c r="V1" s="401">
        <v>231</v>
      </c>
      <c r="W1" s="403">
        <v>7777</v>
      </c>
      <c r="X1" s="403"/>
      <c r="Y1" s="403"/>
      <c r="Z1" s="406"/>
      <c r="AA1" s="410"/>
      <c r="AB1" s="403"/>
      <c r="AC1" s="403"/>
      <c r="AD1" s="403"/>
      <c r="AE1" s="404"/>
      <c r="AF1" s="405"/>
      <c r="AG1" s="403"/>
      <c r="AH1" s="403"/>
      <c r="AI1" s="403"/>
      <c r="AJ1" s="406"/>
      <c r="AK1" s="410"/>
      <c r="AL1" s="403"/>
      <c r="AM1" s="403"/>
      <c r="AN1" s="403"/>
      <c r="AO1" s="404"/>
      <c r="AP1" s="405"/>
      <c r="AQ1" s="403"/>
      <c r="AR1" s="403"/>
      <c r="AS1" s="403"/>
      <c r="AT1" s="406"/>
      <c r="AU1" s="410"/>
      <c r="AV1" s="403"/>
      <c r="AW1" s="403"/>
      <c r="AX1" s="403"/>
      <c r="AY1" s="404"/>
      <c r="AZ1" s="405"/>
      <c r="BA1" s="403"/>
      <c r="BB1" s="403"/>
      <c r="BC1" s="403"/>
      <c r="BD1" s="406"/>
      <c r="BE1" s="410"/>
      <c r="BF1" s="403"/>
      <c r="BG1" s="403"/>
      <c r="BH1" s="403"/>
      <c r="BI1" s="404"/>
      <c r="BJ1" s="405"/>
      <c r="BK1" s="403"/>
      <c r="BL1" s="403"/>
      <c r="BM1" s="403"/>
      <c r="BN1" s="406"/>
      <c r="BO1" s="410"/>
      <c r="BP1" s="403"/>
      <c r="BQ1" s="403"/>
      <c r="BR1" s="403"/>
      <c r="BS1" s="404"/>
      <c r="BT1" s="405"/>
      <c r="BU1" s="403"/>
      <c r="BV1" s="403"/>
      <c r="BW1" s="403"/>
      <c r="BX1" s="406"/>
      <c r="BY1" s="410"/>
      <c r="BZ1" s="403"/>
      <c r="CA1" s="403"/>
      <c r="CB1" s="403"/>
      <c r="CC1" s="404"/>
      <c r="CD1" s="405"/>
      <c r="CE1" s="403"/>
      <c r="CF1" s="403"/>
      <c r="CG1" s="403"/>
      <c r="CH1" s="404"/>
      <c r="CI1" s="405"/>
      <c r="CJ1" s="403"/>
      <c r="CK1" s="403"/>
      <c r="CL1" s="403"/>
      <c r="CM1" s="406"/>
      <c r="CN1" s="21"/>
      <c r="CO1" s="21"/>
      <c r="CP1" s="21"/>
      <c r="CQ1" s="21"/>
      <c r="CR1" s="21"/>
      <c r="CS1" s="21"/>
      <c r="CT1" s="21"/>
      <c r="CU1" s="21"/>
      <c r="CV1" s="21"/>
      <c r="CW1" s="21"/>
      <c r="CX1" s="21"/>
      <c r="CY1" s="21"/>
      <c r="CZ1" s="21"/>
      <c r="DA1" s="21"/>
      <c r="DB1" s="21"/>
      <c r="DC1" s="21"/>
      <c r="DD1" s="21"/>
      <c r="DE1" s="21"/>
      <c r="DF1" s="21"/>
      <c r="DG1" s="21"/>
      <c r="DH1" s="21"/>
      <c r="DI1" s="21"/>
      <c r="DJ1" s="21"/>
      <c r="DK1" s="21"/>
      <c r="DL1" s="21"/>
      <c r="DM1" s="21"/>
      <c r="DN1" s="21"/>
      <c r="DO1" s="21"/>
      <c r="DP1" s="21"/>
      <c r="DQ1" s="21"/>
    </row>
    <row r="2" spans="1:121" s="194" customFormat="1" ht="24" customHeight="1" thickBot="1">
      <c r="A2" s="22"/>
      <c r="B2" s="21"/>
      <c r="C2" s="21"/>
      <c r="D2" s="21"/>
      <c r="F2" s="196"/>
      <c r="G2" s="196"/>
      <c r="H2" s="196"/>
      <c r="I2" s="23"/>
      <c r="J2" s="24" t="s">
        <v>14</v>
      </c>
      <c r="K2" s="25"/>
      <c r="L2" s="388" t="s">
        <v>11</v>
      </c>
      <c r="M2" s="387" t="s">
        <v>11</v>
      </c>
      <c r="N2" s="387" t="s">
        <v>11</v>
      </c>
      <c r="O2" s="387" t="s">
        <v>11</v>
      </c>
      <c r="P2" s="389" t="s">
        <v>11</v>
      </c>
      <c r="Q2" s="388" t="s">
        <v>77</v>
      </c>
      <c r="R2" s="387" t="s">
        <v>11</v>
      </c>
      <c r="S2" s="387" t="s">
        <v>11</v>
      </c>
      <c r="T2" s="387" t="s">
        <v>11</v>
      </c>
      <c r="U2" s="390" t="s">
        <v>11</v>
      </c>
      <c r="V2" s="386" t="s">
        <v>11</v>
      </c>
      <c r="W2" s="372" t="s">
        <v>11</v>
      </c>
      <c r="X2" s="372"/>
      <c r="Y2" s="372"/>
      <c r="Z2" s="373"/>
      <c r="AA2" s="374"/>
      <c r="AB2" s="372"/>
      <c r="AC2" s="372"/>
      <c r="AD2" s="372"/>
      <c r="AE2" s="371"/>
      <c r="AF2" s="375"/>
      <c r="AG2" s="372"/>
      <c r="AH2" s="372"/>
      <c r="AI2" s="372"/>
      <c r="AJ2" s="373"/>
      <c r="AK2" s="374"/>
      <c r="AL2" s="372"/>
      <c r="AM2" s="372"/>
      <c r="AN2" s="372"/>
      <c r="AO2" s="371"/>
      <c r="AP2" s="375"/>
      <c r="AQ2" s="372"/>
      <c r="AR2" s="372"/>
      <c r="AS2" s="372"/>
      <c r="AT2" s="373"/>
      <c r="AU2" s="374"/>
      <c r="AV2" s="372"/>
      <c r="AW2" s="372"/>
      <c r="AX2" s="372"/>
      <c r="AY2" s="371"/>
      <c r="AZ2" s="375"/>
      <c r="BA2" s="372"/>
      <c r="BB2" s="372"/>
      <c r="BC2" s="372"/>
      <c r="BD2" s="373"/>
      <c r="BE2" s="374"/>
      <c r="BF2" s="372"/>
      <c r="BG2" s="372"/>
      <c r="BH2" s="372"/>
      <c r="BI2" s="371"/>
      <c r="BJ2" s="375"/>
      <c r="BK2" s="372"/>
      <c r="BL2" s="372"/>
      <c r="BM2" s="372"/>
      <c r="BN2" s="373"/>
      <c r="BO2" s="374"/>
      <c r="BP2" s="372"/>
      <c r="BQ2" s="372"/>
      <c r="BR2" s="372"/>
      <c r="BS2" s="371"/>
      <c r="BT2" s="375"/>
      <c r="BU2" s="372"/>
      <c r="BV2" s="372"/>
      <c r="BW2" s="372"/>
      <c r="BX2" s="373"/>
      <c r="BY2" s="374"/>
      <c r="BZ2" s="372"/>
      <c r="CA2" s="372"/>
      <c r="CB2" s="372"/>
      <c r="CC2" s="371"/>
      <c r="CD2" s="375"/>
      <c r="CE2" s="372"/>
      <c r="CF2" s="372"/>
      <c r="CG2" s="372"/>
      <c r="CH2" s="371"/>
      <c r="CI2" s="375"/>
      <c r="CJ2" s="372"/>
      <c r="CK2" s="372"/>
      <c r="CL2" s="372"/>
      <c r="CM2" s="373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  <c r="DO2" s="26"/>
      <c r="DP2" s="26"/>
      <c r="DQ2" s="21"/>
    </row>
    <row r="3" spans="1:121" ht="111" customHeight="1">
      <c r="A3" s="22"/>
      <c r="I3" s="307" t="s">
        <v>15</v>
      </c>
      <c r="J3" s="308"/>
      <c r="K3" s="309"/>
      <c r="L3" s="421" t="s">
        <v>76</v>
      </c>
      <c r="M3" s="422" t="s">
        <v>76</v>
      </c>
      <c r="N3" s="422" t="s">
        <v>76</v>
      </c>
      <c r="O3" s="422" t="s">
        <v>76</v>
      </c>
      <c r="P3" s="423" t="s">
        <v>76</v>
      </c>
      <c r="Q3" s="421"/>
      <c r="R3" s="422" t="s">
        <v>16</v>
      </c>
      <c r="S3" s="422" t="s">
        <v>44</v>
      </c>
      <c r="T3" s="422" t="s">
        <v>44</v>
      </c>
      <c r="U3" s="424" t="s">
        <v>44</v>
      </c>
      <c r="V3" s="425" t="s">
        <v>44</v>
      </c>
      <c r="W3" s="372" t="s">
        <v>93</v>
      </c>
      <c r="X3" s="372"/>
      <c r="Y3" s="372"/>
      <c r="Z3" s="373"/>
      <c r="AA3" s="374"/>
      <c r="AB3" s="372"/>
      <c r="AC3" s="372"/>
      <c r="AD3" s="372"/>
      <c r="AE3" s="371"/>
      <c r="AF3" s="375"/>
      <c r="AG3" s="372"/>
      <c r="AH3" s="372"/>
      <c r="AI3" s="372"/>
      <c r="AJ3" s="373"/>
      <c r="AK3" s="374"/>
      <c r="AL3" s="372"/>
      <c r="AM3" s="372"/>
      <c r="AN3" s="372"/>
      <c r="AO3" s="371"/>
      <c r="AP3" s="375"/>
      <c r="AQ3" s="372"/>
      <c r="AR3" s="372"/>
      <c r="AS3" s="372"/>
      <c r="AT3" s="373"/>
      <c r="AU3" s="374"/>
      <c r="AV3" s="372"/>
      <c r="AW3" s="372"/>
      <c r="AX3" s="372"/>
      <c r="AY3" s="371"/>
      <c r="AZ3" s="375"/>
      <c r="BA3" s="372"/>
      <c r="BB3" s="372"/>
      <c r="BC3" s="372"/>
      <c r="BD3" s="373"/>
      <c r="BE3" s="374"/>
      <c r="BF3" s="372"/>
      <c r="BG3" s="372"/>
      <c r="BH3" s="372"/>
      <c r="BI3" s="371"/>
      <c r="BJ3" s="375"/>
      <c r="BK3" s="372"/>
      <c r="BL3" s="372"/>
      <c r="BM3" s="372"/>
      <c r="BN3" s="373"/>
      <c r="BO3" s="374"/>
      <c r="BP3" s="372"/>
      <c r="BQ3" s="372"/>
      <c r="BR3" s="372"/>
      <c r="BS3" s="371"/>
      <c r="BT3" s="375"/>
      <c r="BU3" s="372"/>
      <c r="BV3" s="372"/>
      <c r="BW3" s="372"/>
      <c r="BX3" s="373"/>
      <c r="BY3" s="374"/>
      <c r="BZ3" s="372"/>
      <c r="CA3" s="372"/>
      <c r="CB3" s="372"/>
      <c r="CC3" s="371"/>
      <c r="CD3" s="375"/>
      <c r="CE3" s="372"/>
      <c r="CF3" s="372"/>
      <c r="CG3" s="372"/>
      <c r="CH3" s="371"/>
      <c r="CI3" s="375"/>
      <c r="CJ3" s="372"/>
      <c r="CK3" s="372"/>
      <c r="CL3" s="372"/>
      <c r="CM3" s="373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</row>
    <row r="4" spans="1:121" s="29" customFormat="1" ht="156.75" customHeight="1">
      <c r="A4" s="22"/>
      <c r="B4" s="21"/>
      <c r="C4" s="21"/>
      <c r="D4" s="21"/>
      <c r="F4" s="21"/>
      <c r="G4" s="21"/>
      <c r="H4" s="30"/>
      <c r="I4" s="310" t="s">
        <v>17</v>
      </c>
      <c r="J4" s="311"/>
      <c r="K4" s="312"/>
      <c r="L4" s="421" t="s">
        <v>76</v>
      </c>
      <c r="M4" s="422" t="s">
        <v>76</v>
      </c>
      <c r="N4" s="422" t="s">
        <v>76</v>
      </c>
      <c r="O4" s="422" t="s">
        <v>76</v>
      </c>
      <c r="P4" s="423" t="s">
        <v>76</v>
      </c>
      <c r="Q4" s="421" t="s">
        <v>77</v>
      </c>
      <c r="R4" s="422" t="s">
        <v>76</v>
      </c>
      <c r="S4" s="422" t="s">
        <v>76</v>
      </c>
      <c r="T4" s="422" t="s">
        <v>76</v>
      </c>
      <c r="U4" s="424" t="s">
        <v>76</v>
      </c>
      <c r="V4" s="425" t="s">
        <v>76</v>
      </c>
      <c r="W4" s="372" t="s">
        <v>93</v>
      </c>
      <c r="X4" s="372"/>
      <c r="Y4" s="372"/>
      <c r="Z4" s="373"/>
      <c r="AA4" s="374"/>
      <c r="AB4" s="372"/>
      <c r="AC4" s="372"/>
      <c r="AD4" s="372"/>
      <c r="AE4" s="371"/>
      <c r="AF4" s="375"/>
      <c r="AG4" s="372"/>
      <c r="AH4" s="372"/>
      <c r="AI4" s="372"/>
      <c r="AJ4" s="373"/>
      <c r="AK4" s="374"/>
      <c r="AL4" s="372"/>
      <c r="AM4" s="372"/>
      <c r="AN4" s="372"/>
      <c r="AO4" s="371"/>
      <c r="AP4" s="375"/>
      <c r="AQ4" s="372"/>
      <c r="AR4" s="372"/>
      <c r="AS4" s="372"/>
      <c r="AT4" s="373"/>
      <c r="AU4" s="374"/>
      <c r="AV4" s="372"/>
      <c r="AW4" s="372"/>
      <c r="AX4" s="372"/>
      <c r="AY4" s="371"/>
      <c r="AZ4" s="375"/>
      <c r="BA4" s="372"/>
      <c r="BB4" s="372"/>
      <c r="BC4" s="372"/>
      <c r="BD4" s="373"/>
      <c r="BE4" s="374"/>
      <c r="BF4" s="372"/>
      <c r="BG4" s="372"/>
      <c r="BH4" s="372"/>
      <c r="BI4" s="371"/>
      <c r="BJ4" s="375"/>
      <c r="BK4" s="372"/>
      <c r="BL4" s="372"/>
      <c r="BM4" s="372"/>
      <c r="BN4" s="373"/>
      <c r="BO4" s="374"/>
      <c r="BP4" s="372"/>
      <c r="BQ4" s="372"/>
      <c r="BR4" s="372"/>
      <c r="BS4" s="371"/>
      <c r="BT4" s="375"/>
      <c r="BU4" s="372"/>
      <c r="BV4" s="372"/>
      <c r="BW4" s="372"/>
      <c r="BX4" s="373"/>
      <c r="BY4" s="374"/>
      <c r="BZ4" s="372"/>
      <c r="CA4" s="372"/>
      <c r="CB4" s="372"/>
      <c r="CC4" s="371"/>
      <c r="CD4" s="375"/>
      <c r="CE4" s="372"/>
      <c r="CF4" s="372"/>
      <c r="CG4" s="372"/>
      <c r="CH4" s="371"/>
      <c r="CI4" s="375"/>
      <c r="CJ4" s="372"/>
      <c r="CK4" s="372"/>
      <c r="CL4" s="372"/>
      <c r="CM4" s="373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6"/>
      <c r="DF4" s="28"/>
      <c r="DG4" s="26"/>
      <c r="DH4" s="28"/>
      <c r="DI4" s="26"/>
      <c r="DJ4" s="28"/>
      <c r="DK4" s="26"/>
      <c r="DL4" s="28"/>
      <c r="DM4" s="26"/>
      <c r="DN4" s="28"/>
      <c r="DO4" s="26"/>
      <c r="DP4" s="28"/>
      <c r="DQ4" s="28"/>
    </row>
    <row r="5" spans="1:121" s="21" customFormat="1" ht="408" customHeight="1">
      <c r="A5" s="22"/>
      <c r="H5" s="30" t="s">
        <v>18</v>
      </c>
      <c r="I5" s="203" t="s">
        <v>7</v>
      </c>
      <c r="J5" s="204"/>
      <c r="K5" s="313"/>
      <c r="L5" s="426" t="s">
        <v>69</v>
      </c>
      <c r="M5" s="427" t="s">
        <v>72</v>
      </c>
      <c r="N5" s="427" t="s">
        <v>71</v>
      </c>
      <c r="O5" s="427" t="s">
        <v>83</v>
      </c>
      <c r="P5" s="428" t="s">
        <v>82</v>
      </c>
      <c r="Q5" s="426"/>
      <c r="R5" s="427" t="s">
        <v>56</v>
      </c>
      <c r="S5" s="427" t="s">
        <v>59</v>
      </c>
      <c r="T5" s="427" t="s">
        <v>57</v>
      </c>
      <c r="U5" s="429" t="s">
        <v>58</v>
      </c>
      <c r="V5" s="430" t="s">
        <v>55</v>
      </c>
      <c r="W5" s="372" t="s">
        <v>93</v>
      </c>
      <c r="X5" s="372"/>
      <c r="Y5" s="372"/>
      <c r="Z5" s="373"/>
      <c r="AA5" s="374"/>
      <c r="AB5" s="372"/>
      <c r="AC5" s="372"/>
      <c r="AD5" s="372"/>
      <c r="AE5" s="371"/>
      <c r="AF5" s="375"/>
      <c r="AG5" s="372"/>
      <c r="AH5" s="372"/>
      <c r="AI5" s="372"/>
      <c r="AJ5" s="373"/>
      <c r="AK5" s="374"/>
      <c r="AL5" s="372"/>
      <c r="AM5" s="372"/>
      <c r="AN5" s="372"/>
      <c r="AO5" s="371"/>
      <c r="AP5" s="375"/>
      <c r="AQ5" s="372"/>
      <c r="AR5" s="372"/>
      <c r="AS5" s="372"/>
      <c r="AT5" s="373"/>
      <c r="AU5" s="374"/>
      <c r="AV5" s="372"/>
      <c r="AW5" s="372"/>
      <c r="AX5" s="372"/>
      <c r="AY5" s="371"/>
      <c r="AZ5" s="375"/>
      <c r="BA5" s="372"/>
      <c r="BB5" s="372"/>
      <c r="BC5" s="372"/>
      <c r="BD5" s="373"/>
      <c r="BE5" s="374"/>
      <c r="BF5" s="372"/>
      <c r="BG5" s="372"/>
      <c r="BH5" s="372"/>
      <c r="BI5" s="371"/>
      <c r="BJ5" s="375"/>
      <c r="BK5" s="372"/>
      <c r="BL5" s="372"/>
      <c r="BM5" s="372"/>
      <c r="BN5" s="373"/>
      <c r="BO5" s="374"/>
      <c r="BP5" s="372"/>
      <c r="BQ5" s="372"/>
      <c r="BR5" s="372"/>
      <c r="BS5" s="371"/>
      <c r="BT5" s="375"/>
      <c r="BU5" s="372"/>
      <c r="BV5" s="372"/>
      <c r="BW5" s="372"/>
      <c r="BX5" s="373"/>
      <c r="BY5" s="374"/>
      <c r="BZ5" s="372"/>
      <c r="CA5" s="372"/>
      <c r="CB5" s="372"/>
      <c r="CC5" s="371"/>
      <c r="CD5" s="375"/>
      <c r="CE5" s="372"/>
      <c r="CF5" s="372"/>
      <c r="CG5" s="372"/>
      <c r="CH5" s="371"/>
      <c r="CI5" s="375"/>
      <c r="CJ5" s="372"/>
      <c r="CK5" s="372"/>
      <c r="CL5" s="372"/>
      <c r="CM5" s="373"/>
      <c r="CN5" s="31"/>
      <c r="CO5" s="32"/>
      <c r="CP5" s="31"/>
      <c r="CQ5" s="32"/>
      <c r="CR5" s="31"/>
      <c r="CS5" s="32"/>
      <c r="CT5" s="31"/>
      <c r="CU5" s="32"/>
      <c r="CV5" s="31"/>
      <c r="CW5" s="33"/>
      <c r="CX5" s="31"/>
      <c r="CY5" s="33"/>
      <c r="CZ5" s="31"/>
      <c r="DA5" s="31"/>
      <c r="DB5" s="31"/>
      <c r="DC5" s="32"/>
      <c r="DD5" s="31"/>
      <c r="DE5" s="31"/>
      <c r="DF5" s="31"/>
      <c r="DG5" s="31"/>
      <c r="DH5" s="31"/>
      <c r="DI5" s="31"/>
      <c r="DJ5" s="31"/>
      <c r="DK5" s="32"/>
      <c r="DL5" s="31"/>
      <c r="DM5" s="33"/>
      <c r="DN5" s="31"/>
      <c r="DO5" s="31"/>
      <c r="DP5" s="31"/>
      <c r="DQ5" s="33"/>
    </row>
    <row r="6" spans="1:121" s="21" customFormat="1" ht="140.25" customHeight="1" thickBot="1">
      <c r="A6" s="22"/>
      <c r="D6" s="197"/>
      <c r="E6" s="197" t="s">
        <v>19</v>
      </c>
      <c r="I6" s="232" t="s">
        <v>20</v>
      </c>
      <c r="J6" s="233"/>
      <c r="K6" s="314"/>
      <c r="L6" s="431" t="s">
        <v>66</v>
      </c>
      <c r="M6" s="432" t="s">
        <v>64</v>
      </c>
      <c r="N6" s="432" t="s">
        <v>65</v>
      </c>
      <c r="O6" s="432" t="s">
        <v>67</v>
      </c>
      <c r="P6" s="433" t="s">
        <v>68</v>
      </c>
      <c r="Q6" s="431"/>
      <c r="R6" s="432" t="s">
        <v>21</v>
      </c>
      <c r="S6" s="432" t="s">
        <v>63</v>
      </c>
      <c r="T6" s="432" t="s">
        <v>61</v>
      </c>
      <c r="U6" s="434" t="s">
        <v>62</v>
      </c>
      <c r="V6" s="435" t="s">
        <v>60</v>
      </c>
      <c r="W6" s="393" t="s">
        <v>92</v>
      </c>
      <c r="X6" s="393"/>
      <c r="Y6" s="393"/>
      <c r="Z6" s="396"/>
      <c r="AA6" s="400"/>
      <c r="AB6" s="393"/>
      <c r="AC6" s="393"/>
      <c r="AD6" s="393"/>
      <c r="AE6" s="394"/>
      <c r="AF6" s="395"/>
      <c r="AG6" s="393"/>
      <c r="AH6" s="393"/>
      <c r="AI6" s="393"/>
      <c r="AJ6" s="396"/>
      <c r="AK6" s="400"/>
      <c r="AL6" s="393"/>
      <c r="AM6" s="393"/>
      <c r="AN6" s="393"/>
      <c r="AO6" s="394"/>
      <c r="AP6" s="395"/>
      <c r="AQ6" s="393"/>
      <c r="AR6" s="393"/>
      <c r="AS6" s="393"/>
      <c r="AT6" s="396"/>
      <c r="AU6" s="400"/>
      <c r="AV6" s="393"/>
      <c r="AW6" s="393"/>
      <c r="AX6" s="393"/>
      <c r="AY6" s="394"/>
      <c r="AZ6" s="395"/>
      <c r="BA6" s="393"/>
      <c r="BB6" s="393"/>
      <c r="BC6" s="393"/>
      <c r="BD6" s="396"/>
      <c r="BE6" s="400"/>
      <c r="BF6" s="393"/>
      <c r="BG6" s="393"/>
      <c r="BH6" s="393"/>
      <c r="BI6" s="394"/>
      <c r="BJ6" s="395"/>
      <c r="BK6" s="393"/>
      <c r="BL6" s="393"/>
      <c r="BM6" s="393"/>
      <c r="BN6" s="396"/>
      <c r="BO6" s="400"/>
      <c r="BP6" s="393"/>
      <c r="BQ6" s="393"/>
      <c r="BR6" s="393"/>
      <c r="BS6" s="394"/>
      <c r="BT6" s="395"/>
      <c r="BU6" s="393"/>
      <c r="BV6" s="393"/>
      <c r="BW6" s="393"/>
      <c r="BX6" s="396"/>
      <c r="BY6" s="400"/>
      <c r="BZ6" s="393"/>
      <c r="CA6" s="393"/>
      <c r="CB6" s="393"/>
      <c r="CC6" s="394"/>
      <c r="CD6" s="395"/>
      <c r="CE6" s="393"/>
      <c r="CF6" s="393"/>
      <c r="CG6" s="393"/>
      <c r="CH6" s="394"/>
      <c r="CI6" s="395"/>
      <c r="CJ6" s="393"/>
      <c r="CK6" s="393"/>
      <c r="CL6" s="393"/>
      <c r="CM6" s="396"/>
      <c r="CN6" s="28"/>
      <c r="CO6" s="28"/>
      <c r="CP6" s="28"/>
      <c r="CQ6" s="34"/>
      <c r="CR6" s="33"/>
      <c r="CS6" s="33"/>
      <c r="CT6" s="34"/>
      <c r="CU6" s="35"/>
      <c r="CV6" s="36"/>
      <c r="CW6" s="37"/>
      <c r="CX6" s="37"/>
      <c r="CY6" s="37"/>
      <c r="CZ6" s="38"/>
      <c r="DA6" s="39"/>
      <c r="DB6" s="39"/>
      <c r="DC6" s="39"/>
      <c r="DD6" s="28"/>
      <c r="DE6" s="39"/>
      <c r="DF6" s="40"/>
      <c r="DG6" s="39"/>
      <c r="DH6" s="40"/>
      <c r="DI6" s="39"/>
      <c r="DJ6" s="40"/>
      <c r="DK6" s="39"/>
      <c r="DL6" s="40"/>
      <c r="DM6" s="39"/>
      <c r="DN6" s="40"/>
      <c r="DO6" s="39"/>
      <c r="DP6" s="40"/>
      <c r="DQ6" s="40"/>
    </row>
    <row r="7" spans="1:121" s="41" customFormat="1" ht="25.5" customHeight="1">
      <c r="A7" s="221" t="s">
        <v>22</v>
      </c>
      <c r="B7" s="212" t="s">
        <v>23</v>
      </c>
      <c r="C7" s="212" t="s">
        <v>24</v>
      </c>
      <c r="D7" s="212" t="s">
        <v>25</v>
      </c>
      <c r="E7" s="212" t="s">
        <v>7</v>
      </c>
      <c r="F7" s="212" t="s">
        <v>26</v>
      </c>
      <c r="G7" s="212" t="s">
        <v>20</v>
      </c>
      <c r="H7" s="225" t="s">
        <v>27</v>
      </c>
      <c r="I7" s="318" t="s">
        <v>28</v>
      </c>
      <c r="J7" s="212"/>
      <c r="K7" s="319"/>
      <c r="L7" s="407"/>
      <c r="M7" s="402"/>
      <c r="N7" s="402"/>
      <c r="O7" s="402"/>
      <c r="P7" s="408"/>
      <c r="Q7" s="407"/>
      <c r="R7" s="402"/>
      <c r="S7" s="402"/>
      <c r="T7" s="402"/>
      <c r="U7" s="409"/>
      <c r="V7" s="401"/>
      <c r="W7" s="403" t="s">
        <v>93</v>
      </c>
      <c r="X7" s="403"/>
      <c r="Y7" s="403"/>
      <c r="Z7" s="406"/>
      <c r="AA7" s="410"/>
      <c r="AB7" s="403"/>
      <c r="AC7" s="403"/>
      <c r="AD7" s="403"/>
      <c r="AE7" s="404"/>
      <c r="AF7" s="405"/>
      <c r="AG7" s="403"/>
      <c r="AH7" s="403"/>
      <c r="AI7" s="403"/>
      <c r="AJ7" s="406"/>
      <c r="AK7" s="410"/>
      <c r="AL7" s="403"/>
      <c r="AM7" s="403"/>
      <c r="AN7" s="403"/>
      <c r="AO7" s="404"/>
      <c r="AP7" s="405"/>
      <c r="AQ7" s="403"/>
      <c r="AR7" s="403"/>
      <c r="AS7" s="403"/>
      <c r="AT7" s="406"/>
      <c r="AU7" s="410"/>
      <c r="AV7" s="403"/>
      <c r="AW7" s="403"/>
      <c r="AX7" s="403"/>
      <c r="AY7" s="404"/>
      <c r="AZ7" s="405"/>
      <c r="BA7" s="403"/>
      <c r="BB7" s="403"/>
      <c r="BC7" s="403"/>
      <c r="BD7" s="406"/>
      <c r="BE7" s="410"/>
      <c r="BF7" s="403"/>
      <c r="BG7" s="403"/>
      <c r="BH7" s="403"/>
      <c r="BI7" s="404"/>
      <c r="BJ7" s="405"/>
      <c r="BK7" s="403"/>
      <c r="BL7" s="403"/>
      <c r="BM7" s="403"/>
      <c r="BN7" s="406"/>
      <c r="BO7" s="410"/>
      <c r="BP7" s="403"/>
      <c r="BQ7" s="403"/>
      <c r="BR7" s="403"/>
      <c r="BS7" s="404"/>
      <c r="BT7" s="405"/>
      <c r="BU7" s="403"/>
      <c r="BV7" s="403"/>
      <c r="BW7" s="403"/>
      <c r="BX7" s="406"/>
      <c r="BY7" s="410"/>
      <c r="BZ7" s="403"/>
      <c r="CA7" s="403"/>
      <c r="CB7" s="403"/>
      <c r="CC7" s="404"/>
      <c r="CD7" s="405"/>
      <c r="CE7" s="403"/>
      <c r="CF7" s="403"/>
      <c r="CG7" s="403"/>
      <c r="CH7" s="404"/>
      <c r="CI7" s="405"/>
      <c r="CJ7" s="403"/>
      <c r="CK7" s="403"/>
      <c r="CL7" s="403"/>
      <c r="CM7" s="406"/>
    </row>
    <row r="8" spans="1:121" s="41" customFormat="1" ht="25.5" customHeight="1">
      <c r="A8" s="222"/>
      <c r="B8" s="213"/>
      <c r="C8" s="213"/>
      <c r="D8" s="213"/>
      <c r="E8" s="213"/>
      <c r="F8" s="213"/>
      <c r="G8" s="213"/>
      <c r="H8" s="226"/>
      <c r="I8" s="42"/>
      <c r="J8" s="214" t="s">
        <v>29</v>
      </c>
      <c r="K8" s="320"/>
      <c r="L8" s="388"/>
      <c r="M8" s="387"/>
      <c r="N8" s="387"/>
      <c r="O8" s="387"/>
      <c r="P8" s="389"/>
      <c r="Q8" s="388"/>
      <c r="R8" s="387"/>
      <c r="S8" s="387"/>
      <c r="T8" s="387"/>
      <c r="U8" s="390"/>
      <c r="V8" s="386"/>
      <c r="W8" s="372" t="s">
        <v>93</v>
      </c>
      <c r="X8" s="372"/>
      <c r="Y8" s="372"/>
      <c r="Z8" s="373"/>
      <c r="AA8" s="374"/>
      <c r="AB8" s="372"/>
      <c r="AC8" s="372"/>
      <c r="AD8" s="372"/>
      <c r="AE8" s="371"/>
      <c r="AF8" s="375"/>
      <c r="AG8" s="372"/>
      <c r="AH8" s="372"/>
      <c r="AI8" s="372"/>
      <c r="AJ8" s="373"/>
      <c r="AK8" s="374"/>
      <c r="AL8" s="372"/>
      <c r="AM8" s="372"/>
      <c r="AN8" s="372"/>
      <c r="AO8" s="371"/>
      <c r="AP8" s="375"/>
      <c r="AQ8" s="372"/>
      <c r="AR8" s="372"/>
      <c r="AS8" s="372"/>
      <c r="AT8" s="373"/>
      <c r="AU8" s="374"/>
      <c r="AV8" s="372"/>
      <c r="AW8" s="372"/>
      <c r="AX8" s="372"/>
      <c r="AY8" s="371"/>
      <c r="AZ8" s="375"/>
      <c r="BA8" s="372"/>
      <c r="BB8" s="372"/>
      <c r="BC8" s="372"/>
      <c r="BD8" s="373"/>
      <c r="BE8" s="374"/>
      <c r="BF8" s="372"/>
      <c r="BG8" s="372"/>
      <c r="BH8" s="372"/>
      <c r="BI8" s="371"/>
      <c r="BJ8" s="375"/>
      <c r="BK8" s="372"/>
      <c r="BL8" s="372"/>
      <c r="BM8" s="372"/>
      <c r="BN8" s="373"/>
      <c r="BO8" s="374"/>
      <c r="BP8" s="372"/>
      <c r="BQ8" s="372"/>
      <c r="BR8" s="372"/>
      <c r="BS8" s="371"/>
      <c r="BT8" s="375"/>
      <c r="BU8" s="372"/>
      <c r="BV8" s="372"/>
      <c r="BW8" s="372"/>
      <c r="BX8" s="373"/>
      <c r="BY8" s="374"/>
      <c r="BZ8" s="372"/>
      <c r="CA8" s="372"/>
      <c r="CB8" s="372"/>
      <c r="CC8" s="371"/>
      <c r="CD8" s="375"/>
      <c r="CE8" s="372"/>
      <c r="CF8" s="372"/>
      <c r="CG8" s="372"/>
      <c r="CH8" s="371"/>
      <c r="CI8" s="375"/>
      <c r="CJ8" s="372"/>
      <c r="CK8" s="372"/>
      <c r="CL8" s="372"/>
      <c r="CM8" s="373"/>
    </row>
    <row r="9" spans="1:121" s="41" customFormat="1" ht="25.5" customHeight="1" thickBot="1">
      <c r="A9" s="315"/>
      <c r="B9" s="316"/>
      <c r="C9" s="316"/>
      <c r="D9" s="316"/>
      <c r="E9" s="316"/>
      <c r="F9" s="316"/>
      <c r="G9" s="316"/>
      <c r="H9" s="317"/>
      <c r="I9" s="43"/>
      <c r="J9" s="191"/>
      <c r="K9" s="44" t="s">
        <v>30</v>
      </c>
      <c r="L9" s="413"/>
      <c r="M9" s="412"/>
      <c r="N9" s="412"/>
      <c r="O9" s="412"/>
      <c r="P9" s="414"/>
      <c r="Q9" s="413"/>
      <c r="R9" s="412"/>
      <c r="S9" s="412"/>
      <c r="T9" s="412"/>
      <c r="U9" s="415"/>
      <c r="V9" s="411"/>
      <c r="W9" s="377" t="s">
        <v>93</v>
      </c>
      <c r="X9" s="377"/>
      <c r="Y9" s="377"/>
      <c r="Z9" s="378"/>
      <c r="AA9" s="379"/>
      <c r="AB9" s="377"/>
      <c r="AC9" s="377"/>
      <c r="AD9" s="377"/>
      <c r="AE9" s="376"/>
      <c r="AF9" s="380"/>
      <c r="AG9" s="377"/>
      <c r="AH9" s="377"/>
      <c r="AI9" s="377"/>
      <c r="AJ9" s="378"/>
      <c r="AK9" s="379"/>
      <c r="AL9" s="377"/>
      <c r="AM9" s="377"/>
      <c r="AN9" s="377"/>
      <c r="AO9" s="376"/>
      <c r="AP9" s="380"/>
      <c r="AQ9" s="377"/>
      <c r="AR9" s="377"/>
      <c r="AS9" s="377"/>
      <c r="AT9" s="378"/>
      <c r="AU9" s="379"/>
      <c r="AV9" s="377"/>
      <c r="AW9" s="377"/>
      <c r="AX9" s="377"/>
      <c r="AY9" s="376"/>
      <c r="AZ9" s="380"/>
      <c r="BA9" s="377"/>
      <c r="BB9" s="377"/>
      <c r="BC9" s="377"/>
      <c r="BD9" s="378"/>
      <c r="BE9" s="379"/>
      <c r="BF9" s="377"/>
      <c r="BG9" s="377"/>
      <c r="BH9" s="377"/>
      <c r="BI9" s="376"/>
      <c r="BJ9" s="380"/>
      <c r="BK9" s="377"/>
      <c r="BL9" s="377"/>
      <c r="BM9" s="377"/>
      <c r="BN9" s="378"/>
      <c r="BO9" s="379"/>
      <c r="BP9" s="377"/>
      <c r="BQ9" s="377"/>
      <c r="BR9" s="377"/>
      <c r="BS9" s="376"/>
      <c r="BT9" s="380"/>
      <c r="BU9" s="377"/>
      <c r="BV9" s="377"/>
      <c r="BW9" s="377"/>
      <c r="BX9" s="378"/>
      <c r="BY9" s="379"/>
      <c r="BZ9" s="377"/>
      <c r="CA9" s="377"/>
      <c r="CB9" s="377"/>
      <c r="CC9" s="376"/>
      <c r="CD9" s="380"/>
      <c r="CE9" s="377"/>
      <c r="CF9" s="377"/>
      <c r="CG9" s="377"/>
      <c r="CH9" s="376"/>
      <c r="CI9" s="380"/>
      <c r="CJ9" s="377"/>
      <c r="CK9" s="377"/>
      <c r="CL9" s="377"/>
      <c r="CM9" s="378"/>
    </row>
    <row r="10" spans="1:121" ht="25.5" hidden="1" customHeight="1">
      <c r="A10" s="100">
        <v>4553</v>
      </c>
      <c r="B10" s="101" t="s">
        <v>11</v>
      </c>
      <c r="C10" s="101" t="s">
        <v>44</v>
      </c>
      <c r="D10" s="101" t="s">
        <v>76</v>
      </c>
      <c r="E10" s="102" t="s">
        <v>53</v>
      </c>
      <c r="F10" s="101"/>
      <c r="G10" s="102" t="s">
        <v>1674</v>
      </c>
      <c r="H10" s="177" t="s">
        <v>54</v>
      </c>
      <c r="I10" s="104"/>
      <c r="J10" s="102"/>
      <c r="K10" s="103"/>
      <c r="L10" s="347" t="s">
        <v>78</v>
      </c>
      <c r="M10" s="342" t="s">
        <v>77</v>
      </c>
      <c r="N10" s="342"/>
      <c r="O10" s="342" t="s">
        <v>77</v>
      </c>
      <c r="P10" s="348" t="s">
        <v>77</v>
      </c>
      <c r="Q10" s="347"/>
      <c r="R10" s="342"/>
      <c r="S10" s="342"/>
      <c r="T10" s="342"/>
      <c r="U10" s="349" t="s">
        <v>80</v>
      </c>
      <c r="V10" s="341"/>
      <c r="W10" s="343"/>
      <c r="X10" s="343"/>
      <c r="Y10" s="343"/>
      <c r="Z10" s="346"/>
      <c r="AA10" s="350"/>
      <c r="AB10" s="343"/>
      <c r="AC10" s="343"/>
      <c r="AD10" s="343"/>
      <c r="AE10" s="344"/>
      <c r="AF10" s="345"/>
      <c r="AG10" s="343"/>
      <c r="AH10" s="343"/>
      <c r="AI10" s="343"/>
      <c r="AJ10" s="346"/>
      <c r="AK10" s="350"/>
      <c r="AL10" s="343"/>
      <c r="AM10" s="343"/>
      <c r="AN10" s="343"/>
      <c r="AO10" s="344"/>
      <c r="AP10" s="345"/>
      <c r="AQ10" s="343"/>
      <c r="AR10" s="343"/>
      <c r="AS10" s="343"/>
      <c r="AT10" s="346"/>
      <c r="AU10" s="350"/>
      <c r="AV10" s="343"/>
      <c r="AW10" s="343"/>
      <c r="AX10" s="343"/>
      <c r="AY10" s="344"/>
      <c r="AZ10" s="345"/>
      <c r="BA10" s="343"/>
      <c r="BB10" s="343"/>
      <c r="BC10" s="343"/>
      <c r="BD10" s="346"/>
      <c r="BE10" s="350"/>
      <c r="BF10" s="343"/>
      <c r="BG10" s="343"/>
      <c r="BH10" s="343"/>
      <c r="BI10" s="344"/>
      <c r="BJ10" s="345"/>
      <c r="BK10" s="343"/>
      <c r="BL10" s="343"/>
      <c r="BM10" s="343"/>
      <c r="BN10" s="346"/>
      <c r="BO10" s="350"/>
      <c r="BP10" s="343"/>
      <c r="BQ10" s="343"/>
      <c r="BR10" s="343"/>
      <c r="BS10" s="344"/>
      <c r="BT10" s="345"/>
      <c r="BU10" s="343"/>
      <c r="BV10" s="343"/>
      <c r="BW10" s="343"/>
      <c r="BX10" s="346"/>
      <c r="BY10" s="350"/>
      <c r="BZ10" s="343"/>
      <c r="CA10" s="343"/>
      <c r="CB10" s="343"/>
      <c r="CC10" s="344"/>
      <c r="CD10" s="345"/>
      <c r="CE10" s="343"/>
      <c r="CF10" s="343"/>
      <c r="CG10" s="343"/>
      <c r="CH10" s="344"/>
      <c r="CI10" s="345"/>
      <c r="CJ10" s="343"/>
      <c r="CK10" s="343"/>
      <c r="CL10" s="343"/>
      <c r="CM10" s="346"/>
      <c r="CN10" s="45"/>
      <c r="CO10" s="45"/>
      <c r="CP10" s="45"/>
      <c r="CQ10" s="45"/>
      <c r="CR10" s="45"/>
      <c r="CS10" s="45"/>
      <c r="CT10" s="45"/>
      <c r="CU10" s="45"/>
      <c r="CV10" s="45"/>
      <c r="CW10" s="45"/>
      <c r="CX10" s="45"/>
      <c r="CY10" s="45"/>
      <c r="CZ10" s="45"/>
      <c r="DA10" s="45"/>
      <c r="DB10" s="45"/>
      <c r="DC10" s="45"/>
      <c r="DD10" s="45"/>
      <c r="DE10" s="45"/>
      <c r="DF10" s="45"/>
      <c r="DG10" s="45"/>
      <c r="DH10" s="45"/>
      <c r="DI10" s="45"/>
      <c r="DJ10" s="45"/>
      <c r="DK10" s="45"/>
      <c r="DL10" s="45"/>
      <c r="DM10" s="45"/>
      <c r="DN10" s="45"/>
    </row>
    <row r="11" spans="1:121" ht="25.5" customHeight="1">
      <c r="A11" s="321">
        <v>4554</v>
      </c>
      <c r="B11" s="322" t="s">
        <v>11</v>
      </c>
      <c r="C11" s="322" t="s">
        <v>44</v>
      </c>
      <c r="D11" s="322" t="s">
        <v>76</v>
      </c>
      <c r="E11" s="323" t="s">
        <v>53</v>
      </c>
      <c r="F11" s="322"/>
      <c r="G11" s="323" t="s">
        <v>1676</v>
      </c>
      <c r="H11" s="324" t="s">
        <v>54</v>
      </c>
      <c r="I11" s="325"/>
      <c r="J11" s="323"/>
      <c r="K11" s="326"/>
      <c r="L11" s="327" t="s">
        <v>78</v>
      </c>
      <c r="M11" s="322" t="s">
        <v>77</v>
      </c>
      <c r="N11" s="322"/>
      <c r="O11" s="322" t="s">
        <v>77</v>
      </c>
      <c r="P11" s="328" t="s">
        <v>77</v>
      </c>
      <c r="Q11" s="327"/>
      <c r="R11" s="322"/>
      <c r="S11" s="322"/>
      <c r="T11" s="322"/>
      <c r="U11" s="329" t="s">
        <v>80</v>
      </c>
      <c r="V11" s="321"/>
      <c r="W11" s="323"/>
      <c r="X11" s="323"/>
      <c r="Y11" s="323"/>
      <c r="Z11" s="326"/>
      <c r="AA11" s="330"/>
      <c r="AB11" s="323"/>
      <c r="AC11" s="323"/>
      <c r="AD11" s="323"/>
      <c r="AE11" s="324"/>
      <c r="AF11" s="325"/>
      <c r="AG11" s="323"/>
      <c r="AH11" s="323"/>
      <c r="AI11" s="323"/>
      <c r="AJ11" s="326"/>
      <c r="AK11" s="330"/>
      <c r="AL11" s="323"/>
      <c r="AM11" s="323"/>
      <c r="AN11" s="323"/>
      <c r="AO11" s="324"/>
      <c r="AP11" s="325"/>
      <c r="AQ11" s="323"/>
      <c r="AR11" s="323"/>
      <c r="AS11" s="323"/>
      <c r="AT11" s="326"/>
      <c r="AU11" s="330"/>
      <c r="AV11" s="323"/>
      <c r="AW11" s="323"/>
      <c r="AX11" s="323"/>
      <c r="AY11" s="324"/>
      <c r="AZ11" s="325"/>
      <c r="BA11" s="323"/>
      <c r="BB11" s="323"/>
      <c r="BC11" s="323"/>
      <c r="BD11" s="326"/>
      <c r="BE11" s="330"/>
      <c r="BF11" s="323"/>
      <c r="BG11" s="323"/>
      <c r="BH11" s="323"/>
      <c r="BI11" s="324"/>
      <c r="BJ11" s="325"/>
      <c r="BK11" s="323"/>
      <c r="BL11" s="323"/>
      <c r="BM11" s="323"/>
      <c r="BN11" s="326"/>
      <c r="BO11" s="330"/>
      <c r="BP11" s="323"/>
      <c r="BQ11" s="323"/>
      <c r="BR11" s="323"/>
      <c r="BS11" s="324"/>
      <c r="BT11" s="325"/>
      <c r="BU11" s="323"/>
      <c r="BV11" s="323"/>
      <c r="BW11" s="323"/>
      <c r="BX11" s="326"/>
      <c r="BY11" s="330"/>
      <c r="BZ11" s="323"/>
      <c r="CA11" s="323"/>
      <c r="CB11" s="323"/>
      <c r="CC11" s="324"/>
      <c r="CD11" s="325"/>
      <c r="CE11" s="323"/>
      <c r="CF11" s="323"/>
      <c r="CG11" s="323"/>
      <c r="CH11" s="324"/>
      <c r="CI11" s="325"/>
      <c r="CJ11" s="323"/>
      <c r="CK11" s="323"/>
      <c r="CL11" s="323"/>
      <c r="CM11" s="326"/>
      <c r="CN11" s="46"/>
      <c r="CO11" s="45"/>
      <c r="CP11" s="45"/>
      <c r="CQ11" s="45"/>
      <c r="CR11" s="46"/>
      <c r="CS11" s="45"/>
      <c r="CT11" s="45"/>
      <c r="CU11" s="45"/>
      <c r="CV11" s="45"/>
      <c r="CW11" s="45"/>
      <c r="CX11" s="46"/>
      <c r="CY11" s="45"/>
      <c r="CZ11" s="45"/>
      <c r="DA11" s="46"/>
      <c r="DB11" s="47"/>
      <c r="DC11" s="46"/>
      <c r="DD11" s="46"/>
      <c r="DE11" s="45"/>
      <c r="DF11" s="46"/>
      <c r="DG11" s="46"/>
      <c r="DH11" s="45"/>
      <c r="DI11" s="45"/>
      <c r="DJ11" s="45"/>
      <c r="DK11" s="45"/>
      <c r="DL11" s="45"/>
      <c r="DM11" s="45"/>
      <c r="DN11" s="45"/>
    </row>
    <row r="12" spans="1:121" ht="25.5" customHeight="1">
      <c r="A12" s="321">
        <v>4555</v>
      </c>
      <c r="B12" s="322" t="s">
        <v>11</v>
      </c>
      <c r="C12" s="322" t="s">
        <v>44</v>
      </c>
      <c r="D12" s="322" t="s">
        <v>76</v>
      </c>
      <c r="E12" s="323" t="s">
        <v>53</v>
      </c>
      <c r="F12" s="322"/>
      <c r="G12" s="323" t="s">
        <v>1678</v>
      </c>
      <c r="H12" s="324" t="s">
        <v>54</v>
      </c>
      <c r="I12" s="325"/>
      <c r="J12" s="323"/>
      <c r="K12" s="326"/>
      <c r="L12" s="327" t="s">
        <v>78</v>
      </c>
      <c r="M12" s="322" t="s">
        <v>77</v>
      </c>
      <c r="N12" s="322"/>
      <c r="O12" s="322" t="s">
        <v>77</v>
      </c>
      <c r="P12" s="328" t="s">
        <v>77</v>
      </c>
      <c r="Q12" s="327"/>
      <c r="R12" s="322"/>
      <c r="S12" s="322"/>
      <c r="T12" s="322"/>
      <c r="U12" s="329" t="s">
        <v>80</v>
      </c>
      <c r="V12" s="321"/>
      <c r="W12" s="323"/>
      <c r="X12" s="323"/>
      <c r="Y12" s="323"/>
      <c r="Z12" s="326"/>
      <c r="AA12" s="330"/>
      <c r="AB12" s="323"/>
      <c r="AC12" s="323"/>
      <c r="AD12" s="323"/>
      <c r="AE12" s="324"/>
      <c r="AF12" s="325"/>
      <c r="AG12" s="323"/>
      <c r="AH12" s="323"/>
      <c r="AI12" s="323"/>
      <c r="AJ12" s="326"/>
      <c r="AK12" s="330"/>
      <c r="AL12" s="323"/>
      <c r="AM12" s="323"/>
      <c r="AN12" s="323"/>
      <c r="AO12" s="324"/>
      <c r="AP12" s="325"/>
      <c r="AQ12" s="323"/>
      <c r="AR12" s="323"/>
      <c r="AS12" s="323"/>
      <c r="AT12" s="326"/>
      <c r="AU12" s="330"/>
      <c r="AV12" s="323"/>
      <c r="AW12" s="323"/>
      <c r="AX12" s="323"/>
      <c r="AY12" s="324"/>
      <c r="AZ12" s="325"/>
      <c r="BA12" s="323"/>
      <c r="BB12" s="323"/>
      <c r="BC12" s="323"/>
      <c r="BD12" s="326"/>
      <c r="BE12" s="330"/>
      <c r="BF12" s="323"/>
      <c r="BG12" s="323"/>
      <c r="BH12" s="323"/>
      <c r="BI12" s="324"/>
      <c r="BJ12" s="325"/>
      <c r="BK12" s="323"/>
      <c r="BL12" s="323"/>
      <c r="BM12" s="323"/>
      <c r="BN12" s="326"/>
      <c r="BO12" s="330"/>
      <c r="BP12" s="323"/>
      <c r="BQ12" s="323"/>
      <c r="BR12" s="323"/>
      <c r="BS12" s="324"/>
      <c r="BT12" s="325"/>
      <c r="BU12" s="323"/>
      <c r="BV12" s="323"/>
      <c r="BW12" s="323"/>
      <c r="BX12" s="326"/>
      <c r="BY12" s="330"/>
      <c r="BZ12" s="323"/>
      <c r="CA12" s="323"/>
      <c r="CB12" s="323"/>
      <c r="CC12" s="324"/>
      <c r="CD12" s="325"/>
      <c r="CE12" s="323"/>
      <c r="CF12" s="323"/>
      <c r="CG12" s="323"/>
      <c r="CH12" s="324"/>
      <c r="CI12" s="325"/>
      <c r="CJ12" s="323"/>
      <c r="CK12" s="323"/>
      <c r="CL12" s="323"/>
      <c r="CM12" s="326"/>
      <c r="CN12" s="45"/>
      <c r="CO12" s="45"/>
      <c r="CP12" s="45"/>
      <c r="CQ12" s="45"/>
      <c r="CR12" s="45"/>
      <c r="CS12" s="45"/>
      <c r="CT12" s="45"/>
      <c r="CU12" s="45"/>
      <c r="CV12" s="45"/>
      <c r="CW12" s="45"/>
      <c r="CX12" s="46"/>
      <c r="CY12" s="45"/>
      <c r="CZ12" s="45"/>
      <c r="DA12" s="46"/>
      <c r="DB12" s="45"/>
      <c r="DC12" s="46"/>
      <c r="DD12" s="46"/>
      <c r="DE12" s="45"/>
      <c r="DF12" s="46"/>
      <c r="DG12" s="46"/>
      <c r="DH12" s="45"/>
      <c r="DI12" s="45"/>
      <c r="DJ12" s="45"/>
      <c r="DK12" s="45"/>
      <c r="DL12" s="45"/>
      <c r="DM12" s="45"/>
      <c r="DN12" s="45"/>
    </row>
    <row r="13" spans="1:121" ht="25.5" hidden="1" customHeight="1">
      <c r="A13" s="321">
        <v>4556</v>
      </c>
      <c r="B13" s="322" t="s">
        <v>11</v>
      </c>
      <c r="C13" s="322" t="s">
        <v>44</v>
      </c>
      <c r="D13" s="322" t="s">
        <v>76</v>
      </c>
      <c r="E13" s="323" t="s">
        <v>53</v>
      </c>
      <c r="F13" s="322"/>
      <c r="G13" s="323" t="s">
        <v>1680</v>
      </c>
      <c r="H13" s="324" t="s">
        <v>54</v>
      </c>
      <c r="I13" s="325"/>
      <c r="J13" s="323"/>
      <c r="K13" s="326"/>
      <c r="L13" s="327" t="s">
        <v>78</v>
      </c>
      <c r="M13" s="322" t="s">
        <v>77</v>
      </c>
      <c r="N13" s="322"/>
      <c r="O13" s="322" t="s">
        <v>77</v>
      </c>
      <c r="P13" s="328" t="s">
        <v>77</v>
      </c>
      <c r="Q13" s="327"/>
      <c r="R13" s="322"/>
      <c r="S13" s="322"/>
      <c r="T13" s="322"/>
      <c r="U13" s="329" t="s">
        <v>80</v>
      </c>
      <c r="V13" s="321"/>
      <c r="W13" s="323"/>
      <c r="X13" s="323"/>
      <c r="Y13" s="323"/>
      <c r="Z13" s="326"/>
      <c r="AA13" s="330"/>
      <c r="AB13" s="323"/>
      <c r="AC13" s="323"/>
      <c r="AD13" s="323"/>
      <c r="AE13" s="324"/>
      <c r="AF13" s="325"/>
      <c r="AG13" s="323"/>
      <c r="AH13" s="323"/>
      <c r="AI13" s="323"/>
      <c r="AJ13" s="326"/>
      <c r="AK13" s="330"/>
      <c r="AL13" s="323"/>
      <c r="AM13" s="323"/>
      <c r="AN13" s="323"/>
      <c r="AO13" s="324"/>
      <c r="AP13" s="325"/>
      <c r="AQ13" s="323"/>
      <c r="AR13" s="323"/>
      <c r="AS13" s="323"/>
      <c r="AT13" s="326"/>
      <c r="AU13" s="330"/>
      <c r="AV13" s="323"/>
      <c r="AW13" s="323"/>
      <c r="AX13" s="323"/>
      <c r="AY13" s="324"/>
      <c r="AZ13" s="325"/>
      <c r="BA13" s="323"/>
      <c r="BB13" s="323"/>
      <c r="BC13" s="323"/>
      <c r="BD13" s="326"/>
      <c r="BE13" s="330"/>
      <c r="BF13" s="323"/>
      <c r="BG13" s="323"/>
      <c r="BH13" s="323"/>
      <c r="BI13" s="324"/>
      <c r="BJ13" s="325"/>
      <c r="BK13" s="323"/>
      <c r="BL13" s="323"/>
      <c r="BM13" s="323"/>
      <c r="BN13" s="326"/>
      <c r="BO13" s="330"/>
      <c r="BP13" s="323"/>
      <c r="BQ13" s="323"/>
      <c r="BR13" s="323"/>
      <c r="BS13" s="324"/>
      <c r="BT13" s="325"/>
      <c r="BU13" s="323"/>
      <c r="BV13" s="323"/>
      <c r="BW13" s="323"/>
      <c r="BX13" s="326"/>
      <c r="BY13" s="330"/>
      <c r="BZ13" s="323"/>
      <c r="CA13" s="323"/>
      <c r="CB13" s="323"/>
      <c r="CC13" s="324"/>
      <c r="CD13" s="325"/>
      <c r="CE13" s="323"/>
      <c r="CF13" s="323"/>
      <c r="CG13" s="323"/>
      <c r="CH13" s="324"/>
      <c r="CI13" s="325"/>
      <c r="CJ13" s="323"/>
      <c r="CK13" s="323"/>
      <c r="CL13" s="323"/>
      <c r="CM13" s="326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  <c r="DA13" s="45"/>
      <c r="DB13" s="45"/>
      <c r="DC13" s="45"/>
      <c r="DD13" s="45"/>
      <c r="DE13" s="45"/>
      <c r="DF13" s="45"/>
      <c r="DG13" s="46"/>
      <c r="DH13" s="45"/>
      <c r="DI13" s="45"/>
      <c r="DJ13" s="45"/>
      <c r="DK13" s="45"/>
      <c r="DL13" s="45"/>
      <c r="DM13" s="45"/>
      <c r="DN13" s="45"/>
    </row>
    <row r="14" spans="1:121" ht="25.5" hidden="1" customHeight="1" thickBot="1">
      <c r="A14" s="331">
        <v>4557</v>
      </c>
      <c r="B14" s="332" t="s">
        <v>11</v>
      </c>
      <c r="C14" s="332" t="s">
        <v>44</v>
      </c>
      <c r="D14" s="332" t="s">
        <v>76</v>
      </c>
      <c r="E14" s="333" t="s">
        <v>53</v>
      </c>
      <c r="F14" s="332"/>
      <c r="G14" s="333" t="s">
        <v>1682</v>
      </c>
      <c r="H14" s="334" t="s">
        <v>54</v>
      </c>
      <c r="I14" s="335"/>
      <c r="J14" s="333"/>
      <c r="K14" s="336"/>
      <c r="L14" s="337" t="s">
        <v>78</v>
      </c>
      <c r="M14" s="332" t="s">
        <v>77</v>
      </c>
      <c r="N14" s="332"/>
      <c r="O14" s="332" t="s">
        <v>77</v>
      </c>
      <c r="P14" s="338" t="s">
        <v>77</v>
      </c>
      <c r="Q14" s="337"/>
      <c r="R14" s="332"/>
      <c r="S14" s="332"/>
      <c r="T14" s="332"/>
      <c r="U14" s="339" t="s">
        <v>80</v>
      </c>
      <c r="V14" s="331"/>
      <c r="W14" s="333"/>
      <c r="X14" s="333"/>
      <c r="Y14" s="333"/>
      <c r="Z14" s="336"/>
      <c r="AA14" s="340"/>
      <c r="AB14" s="333"/>
      <c r="AC14" s="333"/>
      <c r="AD14" s="333"/>
      <c r="AE14" s="334"/>
      <c r="AF14" s="335"/>
      <c r="AG14" s="333"/>
      <c r="AH14" s="333"/>
      <c r="AI14" s="333"/>
      <c r="AJ14" s="336"/>
      <c r="AK14" s="340"/>
      <c r="AL14" s="333"/>
      <c r="AM14" s="333"/>
      <c r="AN14" s="333"/>
      <c r="AO14" s="334"/>
      <c r="AP14" s="335"/>
      <c r="AQ14" s="333"/>
      <c r="AR14" s="333"/>
      <c r="AS14" s="333"/>
      <c r="AT14" s="336"/>
      <c r="AU14" s="340"/>
      <c r="AV14" s="333"/>
      <c r="AW14" s="333"/>
      <c r="AX14" s="333"/>
      <c r="AY14" s="334"/>
      <c r="AZ14" s="335"/>
      <c r="BA14" s="333"/>
      <c r="BB14" s="333"/>
      <c r="BC14" s="333"/>
      <c r="BD14" s="336"/>
      <c r="BE14" s="340"/>
      <c r="BF14" s="333"/>
      <c r="BG14" s="333"/>
      <c r="BH14" s="333"/>
      <c r="BI14" s="334"/>
      <c r="BJ14" s="335"/>
      <c r="BK14" s="333"/>
      <c r="BL14" s="333"/>
      <c r="BM14" s="333"/>
      <c r="BN14" s="336"/>
      <c r="BO14" s="340"/>
      <c r="BP14" s="333"/>
      <c r="BQ14" s="333"/>
      <c r="BR14" s="333"/>
      <c r="BS14" s="334"/>
      <c r="BT14" s="335"/>
      <c r="BU14" s="333"/>
      <c r="BV14" s="333"/>
      <c r="BW14" s="333"/>
      <c r="BX14" s="336"/>
      <c r="BY14" s="340"/>
      <c r="BZ14" s="333"/>
      <c r="CA14" s="333"/>
      <c r="CB14" s="333"/>
      <c r="CC14" s="334"/>
      <c r="CD14" s="335"/>
      <c r="CE14" s="333"/>
      <c r="CF14" s="333"/>
      <c r="CG14" s="333"/>
      <c r="CH14" s="334"/>
      <c r="CI14" s="335"/>
      <c r="CJ14" s="333"/>
      <c r="CK14" s="333"/>
      <c r="CL14" s="333"/>
      <c r="CM14" s="336"/>
      <c r="CN14" s="45"/>
      <c r="CO14" s="45"/>
      <c r="CP14" s="45"/>
      <c r="CQ14" s="45"/>
      <c r="CR14" s="45"/>
      <c r="CS14" s="45"/>
      <c r="CT14" s="45"/>
      <c r="CU14" s="45"/>
      <c r="CV14" s="45"/>
      <c r="CW14" s="45"/>
      <c r="CX14" s="45"/>
      <c r="CY14" s="45"/>
      <c r="CZ14" s="45"/>
      <c r="DA14" s="45"/>
      <c r="DB14" s="45"/>
      <c r="DC14" s="45"/>
      <c r="DD14" s="45"/>
      <c r="DE14" s="45"/>
      <c r="DF14" s="45"/>
      <c r="DG14" s="46"/>
      <c r="DH14" s="45"/>
      <c r="DI14" s="45"/>
      <c r="DJ14" s="45"/>
      <c r="DK14" s="45"/>
      <c r="DL14" s="45"/>
      <c r="DM14" s="45"/>
      <c r="DN14" s="45"/>
    </row>
    <row r="15" spans="1:121" ht="25.5" customHeight="1">
      <c r="A15" s="341">
        <v>4558</v>
      </c>
      <c r="B15" s="342" t="s">
        <v>11</v>
      </c>
      <c r="C15" s="342" t="s">
        <v>44</v>
      </c>
      <c r="D15" s="342" t="s">
        <v>76</v>
      </c>
      <c r="E15" s="343" t="s">
        <v>53</v>
      </c>
      <c r="F15" s="342"/>
      <c r="G15" s="343" t="s">
        <v>1684</v>
      </c>
      <c r="H15" s="344" t="s">
        <v>54</v>
      </c>
      <c r="I15" s="345"/>
      <c r="J15" s="343"/>
      <c r="K15" s="346"/>
      <c r="L15" s="347" t="s">
        <v>78</v>
      </c>
      <c r="M15" s="342" t="s">
        <v>77</v>
      </c>
      <c r="N15" s="342"/>
      <c r="O15" s="342" t="s">
        <v>77</v>
      </c>
      <c r="P15" s="348" t="s">
        <v>77</v>
      </c>
      <c r="Q15" s="347"/>
      <c r="R15" s="342"/>
      <c r="S15" s="342"/>
      <c r="T15" s="342"/>
      <c r="U15" s="349" t="s">
        <v>80</v>
      </c>
      <c r="V15" s="341"/>
      <c r="W15" s="343"/>
      <c r="X15" s="343"/>
      <c r="Y15" s="343"/>
      <c r="Z15" s="346"/>
      <c r="AA15" s="350"/>
      <c r="AB15" s="343"/>
      <c r="AC15" s="343"/>
      <c r="AD15" s="343"/>
      <c r="AE15" s="344"/>
      <c r="AF15" s="345"/>
      <c r="AG15" s="343"/>
      <c r="AH15" s="343"/>
      <c r="AI15" s="343"/>
      <c r="AJ15" s="346"/>
      <c r="AK15" s="350"/>
      <c r="AL15" s="343"/>
      <c r="AM15" s="343"/>
      <c r="AN15" s="343"/>
      <c r="AO15" s="344"/>
      <c r="AP15" s="345"/>
      <c r="AQ15" s="343"/>
      <c r="AR15" s="343"/>
      <c r="AS15" s="343"/>
      <c r="AT15" s="346"/>
      <c r="AU15" s="350"/>
      <c r="AV15" s="343"/>
      <c r="AW15" s="343"/>
      <c r="AX15" s="343"/>
      <c r="AY15" s="344"/>
      <c r="AZ15" s="345"/>
      <c r="BA15" s="343"/>
      <c r="BB15" s="343"/>
      <c r="BC15" s="343"/>
      <c r="BD15" s="346"/>
      <c r="BE15" s="350"/>
      <c r="BF15" s="343"/>
      <c r="BG15" s="343"/>
      <c r="BH15" s="343"/>
      <c r="BI15" s="344"/>
      <c r="BJ15" s="345"/>
      <c r="BK15" s="343"/>
      <c r="BL15" s="343"/>
      <c r="BM15" s="343"/>
      <c r="BN15" s="346"/>
      <c r="BO15" s="350"/>
      <c r="BP15" s="343"/>
      <c r="BQ15" s="343"/>
      <c r="BR15" s="343"/>
      <c r="BS15" s="344"/>
      <c r="BT15" s="345"/>
      <c r="BU15" s="343"/>
      <c r="BV15" s="343"/>
      <c r="BW15" s="343"/>
      <c r="BX15" s="346"/>
      <c r="BY15" s="350"/>
      <c r="BZ15" s="343"/>
      <c r="CA15" s="343"/>
      <c r="CB15" s="343"/>
      <c r="CC15" s="344"/>
      <c r="CD15" s="345"/>
      <c r="CE15" s="343"/>
      <c r="CF15" s="343"/>
      <c r="CG15" s="343"/>
      <c r="CH15" s="344"/>
      <c r="CI15" s="345"/>
      <c r="CJ15" s="343"/>
      <c r="CK15" s="343"/>
      <c r="CL15" s="343"/>
      <c r="CM15" s="346"/>
      <c r="CN15" s="45"/>
      <c r="CO15" s="45"/>
      <c r="CP15" s="46"/>
      <c r="CQ15" s="45"/>
      <c r="CR15" s="45"/>
      <c r="CS15" s="45"/>
      <c r="CT15" s="45"/>
      <c r="CU15" s="45"/>
      <c r="CV15" s="45"/>
      <c r="CW15" s="45"/>
      <c r="CX15" s="46"/>
      <c r="CY15" s="45"/>
      <c r="CZ15" s="45"/>
      <c r="DA15" s="46"/>
      <c r="DB15" s="45"/>
      <c r="DC15" s="46"/>
      <c r="DD15" s="46"/>
      <c r="DE15" s="45"/>
      <c r="DF15" s="46"/>
      <c r="DG15" s="46"/>
      <c r="DH15" s="45"/>
      <c r="DI15" s="46"/>
      <c r="DJ15" s="46"/>
      <c r="DK15" s="45"/>
      <c r="DL15" s="46"/>
      <c r="DM15" s="45"/>
      <c r="DN15" s="45"/>
    </row>
    <row r="16" spans="1:121" ht="25.5" customHeight="1">
      <c r="A16" s="321">
        <v>4559</v>
      </c>
      <c r="B16" s="322" t="s">
        <v>11</v>
      </c>
      <c r="C16" s="322" t="s">
        <v>44</v>
      </c>
      <c r="D16" s="322" t="s">
        <v>76</v>
      </c>
      <c r="E16" s="323" t="s">
        <v>53</v>
      </c>
      <c r="F16" s="322"/>
      <c r="G16" s="323" t="s">
        <v>1686</v>
      </c>
      <c r="H16" s="324" t="s">
        <v>54</v>
      </c>
      <c r="I16" s="325"/>
      <c r="J16" s="323"/>
      <c r="K16" s="326"/>
      <c r="L16" s="327" t="s">
        <v>78</v>
      </c>
      <c r="M16" s="322" t="s">
        <v>77</v>
      </c>
      <c r="N16" s="322"/>
      <c r="O16" s="322" t="s">
        <v>77</v>
      </c>
      <c r="P16" s="328" t="s">
        <v>77</v>
      </c>
      <c r="Q16" s="327"/>
      <c r="R16" s="322"/>
      <c r="S16" s="322"/>
      <c r="T16" s="322"/>
      <c r="U16" s="329" t="s">
        <v>80</v>
      </c>
      <c r="V16" s="321"/>
      <c r="W16" s="323"/>
      <c r="X16" s="323"/>
      <c r="Y16" s="323"/>
      <c r="Z16" s="326"/>
      <c r="AA16" s="330"/>
      <c r="AB16" s="323"/>
      <c r="AC16" s="323"/>
      <c r="AD16" s="323"/>
      <c r="AE16" s="324"/>
      <c r="AF16" s="325"/>
      <c r="AG16" s="323"/>
      <c r="AH16" s="323"/>
      <c r="AI16" s="323"/>
      <c r="AJ16" s="326"/>
      <c r="AK16" s="330"/>
      <c r="AL16" s="323"/>
      <c r="AM16" s="323"/>
      <c r="AN16" s="323"/>
      <c r="AO16" s="324"/>
      <c r="AP16" s="325"/>
      <c r="AQ16" s="323"/>
      <c r="AR16" s="323"/>
      <c r="AS16" s="323"/>
      <c r="AT16" s="326"/>
      <c r="AU16" s="330"/>
      <c r="AV16" s="323"/>
      <c r="AW16" s="323"/>
      <c r="AX16" s="323"/>
      <c r="AY16" s="324"/>
      <c r="AZ16" s="325"/>
      <c r="BA16" s="323"/>
      <c r="BB16" s="323"/>
      <c r="BC16" s="323"/>
      <c r="BD16" s="326"/>
      <c r="BE16" s="330"/>
      <c r="BF16" s="323"/>
      <c r="BG16" s="323"/>
      <c r="BH16" s="323"/>
      <c r="BI16" s="324"/>
      <c r="BJ16" s="325"/>
      <c r="BK16" s="323"/>
      <c r="BL16" s="323"/>
      <c r="BM16" s="323"/>
      <c r="BN16" s="326"/>
      <c r="BO16" s="330"/>
      <c r="BP16" s="323"/>
      <c r="BQ16" s="323"/>
      <c r="BR16" s="323"/>
      <c r="BS16" s="324"/>
      <c r="BT16" s="325"/>
      <c r="BU16" s="323"/>
      <c r="BV16" s="323"/>
      <c r="BW16" s="323"/>
      <c r="BX16" s="326"/>
      <c r="BY16" s="330"/>
      <c r="BZ16" s="323"/>
      <c r="CA16" s="323"/>
      <c r="CB16" s="323"/>
      <c r="CC16" s="324"/>
      <c r="CD16" s="325"/>
      <c r="CE16" s="323"/>
      <c r="CF16" s="323"/>
      <c r="CG16" s="323"/>
      <c r="CH16" s="324"/>
      <c r="CI16" s="325"/>
      <c r="CJ16" s="323"/>
      <c r="CK16" s="323"/>
      <c r="CL16" s="323"/>
      <c r="CM16" s="326"/>
      <c r="CN16" s="45"/>
      <c r="CO16" s="45"/>
      <c r="CP16" s="45"/>
      <c r="CQ16" s="45"/>
      <c r="CR16" s="45"/>
      <c r="CS16" s="45"/>
      <c r="CT16" s="45"/>
      <c r="CU16" s="45"/>
      <c r="CV16" s="45"/>
      <c r="CW16" s="45"/>
      <c r="CX16" s="45"/>
      <c r="CY16" s="45"/>
      <c r="CZ16" s="45"/>
      <c r="DA16" s="45"/>
      <c r="DB16" s="45"/>
      <c r="DC16" s="45"/>
      <c r="DD16" s="45"/>
      <c r="DE16" s="45"/>
      <c r="DF16" s="45"/>
      <c r="DG16" s="45"/>
      <c r="DH16" s="45"/>
      <c r="DI16" s="45"/>
      <c r="DJ16" s="45"/>
      <c r="DK16" s="45"/>
      <c r="DL16" s="45"/>
      <c r="DM16" s="45"/>
      <c r="DN16" s="45"/>
    </row>
    <row r="17" spans="1:118" ht="25.5" customHeight="1">
      <c r="A17" s="321">
        <v>4560</v>
      </c>
      <c r="B17" s="322" t="s">
        <v>11</v>
      </c>
      <c r="C17" s="322" t="s">
        <v>44</v>
      </c>
      <c r="D17" s="322" t="s">
        <v>76</v>
      </c>
      <c r="E17" s="323" t="s">
        <v>53</v>
      </c>
      <c r="F17" s="322"/>
      <c r="G17" s="323" t="s">
        <v>1688</v>
      </c>
      <c r="H17" s="324" t="s">
        <v>54</v>
      </c>
      <c r="I17" s="325"/>
      <c r="J17" s="323"/>
      <c r="K17" s="326"/>
      <c r="L17" s="327" t="s">
        <v>78</v>
      </c>
      <c r="M17" s="322" t="s">
        <v>77</v>
      </c>
      <c r="N17" s="322"/>
      <c r="O17" s="322" t="s">
        <v>77</v>
      </c>
      <c r="P17" s="328" t="s">
        <v>77</v>
      </c>
      <c r="Q17" s="327"/>
      <c r="R17" s="322"/>
      <c r="S17" s="322"/>
      <c r="T17" s="322"/>
      <c r="U17" s="329" t="s">
        <v>80</v>
      </c>
      <c r="V17" s="321"/>
      <c r="W17" s="323"/>
      <c r="X17" s="323"/>
      <c r="Y17" s="323"/>
      <c r="Z17" s="326"/>
      <c r="AA17" s="330"/>
      <c r="AB17" s="323"/>
      <c r="AC17" s="323"/>
      <c r="AD17" s="323"/>
      <c r="AE17" s="324"/>
      <c r="AF17" s="325"/>
      <c r="AG17" s="323"/>
      <c r="AH17" s="323"/>
      <c r="AI17" s="323"/>
      <c r="AJ17" s="326"/>
      <c r="AK17" s="330"/>
      <c r="AL17" s="323"/>
      <c r="AM17" s="323"/>
      <c r="AN17" s="323"/>
      <c r="AO17" s="324"/>
      <c r="AP17" s="325"/>
      <c r="AQ17" s="323"/>
      <c r="AR17" s="323"/>
      <c r="AS17" s="323"/>
      <c r="AT17" s="326"/>
      <c r="AU17" s="330"/>
      <c r="AV17" s="323"/>
      <c r="AW17" s="323"/>
      <c r="AX17" s="323"/>
      <c r="AY17" s="324"/>
      <c r="AZ17" s="325"/>
      <c r="BA17" s="323"/>
      <c r="BB17" s="323"/>
      <c r="BC17" s="323"/>
      <c r="BD17" s="326"/>
      <c r="BE17" s="330"/>
      <c r="BF17" s="323"/>
      <c r="BG17" s="323"/>
      <c r="BH17" s="323"/>
      <c r="BI17" s="324"/>
      <c r="BJ17" s="325"/>
      <c r="BK17" s="323"/>
      <c r="BL17" s="323"/>
      <c r="BM17" s="323"/>
      <c r="BN17" s="326"/>
      <c r="BO17" s="330"/>
      <c r="BP17" s="323"/>
      <c r="BQ17" s="323"/>
      <c r="BR17" s="323"/>
      <c r="BS17" s="324"/>
      <c r="BT17" s="325"/>
      <c r="BU17" s="323"/>
      <c r="BV17" s="323"/>
      <c r="BW17" s="323"/>
      <c r="BX17" s="326"/>
      <c r="BY17" s="330"/>
      <c r="BZ17" s="323"/>
      <c r="CA17" s="323"/>
      <c r="CB17" s="323"/>
      <c r="CC17" s="324"/>
      <c r="CD17" s="325"/>
      <c r="CE17" s="323"/>
      <c r="CF17" s="323"/>
      <c r="CG17" s="323"/>
      <c r="CH17" s="324"/>
      <c r="CI17" s="325"/>
      <c r="CJ17" s="323"/>
      <c r="CK17" s="323"/>
      <c r="CL17" s="323"/>
      <c r="CM17" s="326"/>
      <c r="CN17" s="45"/>
      <c r="CO17" s="45"/>
      <c r="CP17" s="45"/>
      <c r="CQ17" s="45"/>
      <c r="CR17" s="45"/>
      <c r="CS17" s="45"/>
      <c r="CT17" s="45"/>
      <c r="CU17" s="45"/>
      <c r="CV17" s="45"/>
      <c r="CW17" s="45"/>
      <c r="CX17" s="45"/>
      <c r="CY17" s="45"/>
      <c r="CZ17" s="45"/>
      <c r="DA17" s="45"/>
      <c r="DB17" s="45"/>
      <c r="DC17" s="45"/>
      <c r="DD17" s="45"/>
      <c r="DE17" s="45"/>
      <c r="DF17" s="45"/>
      <c r="DG17" s="45"/>
      <c r="DH17" s="45"/>
      <c r="DI17" s="45"/>
      <c r="DJ17" s="45"/>
      <c r="DK17" s="45"/>
      <c r="DL17" s="45"/>
      <c r="DM17" s="45"/>
      <c r="DN17" s="45"/>
    </row>
    <row r="18" spans="1:118" ht="25.5" customHeight="1">
      <c r="A18" s="321">
        <v>4561</v>
      </c>
      <c r="B18" s="322" t="s">
        <v>11</v>
      </c>
      <c r="C18" s="322" t="s">
        <v>44</v>
      </c>
      <c r="D18" s="322" t="s">
        <v>76</v>
      </c>
      <c r="E18" s="323" t="s">
        <v>53</v>
      </c>
      <c r="F18" s="322"/>
      <c r="G18" s="323" t="s">
        <v>1690</v>
      </c>
      <c r="H18" s="324" t="s">
        <v>54</v>
      </c>
      <c r="I18" s="325"/>
      <c r="J18" s="323"/>
      <c r="K18" s="326"/>
      <c r="L18" s="327" t="s">
        <v>78</v>
      </c>
      <c r="M18" s="322" t="s">
        <v>77</v>
      </c>
      <c r="N18" s="322"/>
      <c r="O18" s="322" t="s">
        <v>77</v>
      </c>
      <c r="P18" s="328" t="s">
        <v>77</v>
      </c>
      <c r="Q18" s="327"/>
      <c r="R18" s="322"/>
      <c r="S18" s="322"/>
      <c r="T18" s="322"/>
      <c r="U18" s="329" t="s">
        <v>80</v>
      </c>
      <c r="V18" s="321"/>
      <c r="W18" s="323"/>
      <c r="X18" s="323"/>
      <c r="Y18" s="323"/>
      <c r="Z18" s="326"/>
      <c r="AA18" s="330"/>
      <c r="AB18" s="323"/>
      <c r="AC18" s="323"/>
      <c r="AD18" s="323"/>
      <c r="AE18" s="324"/>
      <c r="AF18" s="325"/>
      <c r="AG18" s="323"/>
      <c r="AH18" s="323"/>
      <c r="AI18" s="323"/>
      <c r="AJ18" s="326"/>
      <c r="AK18" s="330"/>
      <c r="AL18" s="323"/>
      <c r="AM18" s="323"/>
      <c r="AN18" s="323"/>
      <c r="AO18" s="324"/>
      <c r="AP18" s="325"/>
      <c r="AQ18" s="323"/>
      <c r="AR18" s="323"/>
      <c r="AS18" s="323"/>
      <c r="AT18" s="326"/>
      <c r="AU18" s="330"/>
      <c r="AV18" s="323"/>
      <c r="AW18" s="323"/>
      <c r="AX18" s="323"/>
      <c r="AY18" s="324"/>
      <c r="AZ18" s="325"/>
      <c r="BA18" s="323"/>
      <c r="BB18" s="323"/>
      <c r="BC18" s="323"/>
      <c r="BD18" s="326"/>
      <c r="BE18" s="330"/>
      <c r="BF18" s="323"/>
      <c r="BG18" s="323"/>
      <c r="BH18" s="323"/>
      <c r="BI18" s="324"/>
      <c r="BJ18" s="325"/>
      <c r="BK18" s="323"/>
      <c r="BL18" s="323"/>
      <c r="BM18" s="323"/>
      <c r="BN18" s="326"/>
      <c r="BO18" s="330"/>
      <c r="BP18" s="323"/>
      <c r="BQ18" s="323"/>
      <c r="BR18" s="323"/>
      <c r="BS18" s="324"/>
      <c r="BT18" s="325"/>
      <c r="BU18" s="323"/>
      <c r="BV18" s="323"/>
      <c r="BW18" s="323"/>
      <c r="BX18" s="326"/>
      <c r="BY18" s="330"/>
      <c r="BZ18" s="323"/>
      <c r="CA18" s="323"/>
      <c r="CB18" s="323"/>
      <c r="CC18" s="324"/>
      <c r="CD18" s="325"/>
      <c r="CE18" s="323"/>
      <c r="CF18" s="323"/>
      <c r="CG18" s="323"/>
      <c r="CH18" s="324"/>
      <c r="CI18" s="325"/>
      <c r="CJ18" s="323"/>
      <c r="CK18" s="323"/>
      <c r="CL18" s="323"/>
      <c r="CM18" s="326"/>
      <c r="CN18" s="45"/>
      <c r="CO18" s="45"/>
      <c r="CP18" s="45"/>
      <c r="CQ18" s="45"/>
      <c r="CR18" s="45"/>
      <c r="CS18" s="45"/>
      <c r="CT18" s="45"/>
      <c r="CU18" s="45"/>
      <c r="CV18" s="45"/>
      <c r="CW18" s="45"/>
      <c r="CX18" s="45"/>
      <c r="CY18" s="45"/>
      <c r="CZ18" s="45"/>
      <c r="DA18" s="45"/>
      <c r="DB18" s="45"/>
      <c r="DC18" s="45"/>
      <c r="DD18" s="45"/>
      <c r="DE18" s="45"/>
      <c r="DF18" s="45"/>
      <c r="DG18" s="45"/>
      <c r="DH18" s="45"/>
      <c r="DI18" s="45"/>
      <c r="DJ18" s="45"/>
      <c r="DK18" s="45"/>
      <c r="DL18" s="45"/>
      <c r="DM18" s="45"/>
      <c r="DN18" s="45"/>
    </row>
    <row r="19" spans="1:118" ht="25.5" customHeight="1" thickBot="1">
      <c r="A19" s="351"/>
      <c r="B19" s="352"/>
      <c r="C19" s="352"/>
      <c r="D19" s="352"/>
      <c r="E19" s="353"/>
      <c r="F19" s="352"/>
      <c r="G19" s="353"/>
      <c r="H19" s="354"/>
      <c r="I19" s="355"/>
      <c r="J19" s="353"/>
      <c r="K19" s="356"/>
      <c r="L19" s="357"/>
      <c r="M19" s="352"/>
      <c r="N19" s="352"/>
      <c r="O19" s="352"/>
      <c r="P19" s="358"/>
      <c r="Q19" s="357"/>
      <c r="R19" s="352"/>
      <c r="S19" s="352"/>
      <c r="T19" s="352"/>
      <c r="U19" s="359"/>
      <c r="V19" s="351"/>
      <c r="W19" s="353"/>
      <c r="X19" s="353"/>
      <c r="Y19" s="353"/>
      <c r="Z19" s="356"/>
      <c r="AA19" s="360"/>
      <c r="AB19" s="353"/>
      <c r="AC19" s="353"/>
      <c r="AD19" s="353"/>
      <c r="AE19" s="354"/>
      <c r="AF19" s="355"/>
      <c r="AG19" s="353"/>
      <c r="AH19" s="353"/>
      <c r="AI19" s="353"/>
      <c r="AJ19" s="356"/>
      <c r="AK19" s="360"/>
      <c r="AL19" s="353"/>
      <c r="AM19" s="353"/>
      <c r="AN19" s="353"/>
      <c r="AO19" s="354"/>
      <c r="AP19" s="355"/>
      <c r="AQ19" s="353"/>
      <c r="AR19" s="353"/>
      <c r="AS19" s="353"/>
      <c r="AT19" s="356"/>
      <c r="AU19" s="360"/>
      <c r="AV19" s="353"/>
      <c r="AW19" s="353"/>
      <c r="AX19" s="353"/>
      <c r="AY19" s="354"/>
      <c r="AZ19" s="355"/>
      <c r="BA19" s="353"/>
      <c r="BB19" s="353"/>
      <c r="BC19" s="353"/>
      <c r="BD19" s="356"/>
      <c r="BE19" s="360"/>
      <c r="BF19" s="353"/>
      <c r="BG19" s="353"/>
      <c r="BH19" s="353"/>
      <c r="BI19" s="354"/>
      <c r="BJ19" s="355"/>
      <c r="BK19" s="353"/>
      <c r="BL19" s="353"/>
      <c r="BM19" s="353"/>
      <c r="BN19" s="356"/>
      <c r="BO19" s="360"/>
      <c r="BP19" s="353"/>
      <c r="BQ19" s="353"/>
      <c r="BR19" s="353"/>
      <c r="BS19" s="354"/>
      <c r="BT19" s="355"/>
      <c r="BU19" s="353"/>
      <c r="BV19" s="353"/>
      <c r="BW19" s="353"/>
      <c r="BX19" s="356"/>
      <c r="BY19" s="360"/>
      <c r="BZ19" s="353"/>
      <c r="CA19" s="353"/>
      <c r="CB19" s="353"/>
      <c r="CC19" s="354"/>
      <c r="CD19" s="355"/>
      <c r="CE19" s="353"/>
      <c r="CF19" s="353"/>
      <c r="CG19" s="353"/>
      <c r="CH19" s="354"/>
      <c r="CI19" s="355"/>
      <c r="CJ19" s="353"/>
      <c r="CK19" s="353"/>
      <c r="CL19" s="353"/>
      <c r="CM19" s="356"/>
      <c r="CN19" s="45"/>
      <c r="CO19" s="45"/>
      <c r="CP19" s="45"/>
      <c r="CQ19" s="45"/>
      <c r="CR19" s="45"/>
      <c r="CS19" s="45"/>
      <c r="CT19" s="45"/>
      <c r="CU19" s="45"/>
      <c r="CV19" s="45"/>
      <c r="CW19" s="45"/>
      <c r="CX19" s="45"/>
      <c r="CY19" s="45"/>
      <c r="CZ19" s="45"/>
      <c r="DA19" s="45"/>
      <c r="DB19" s="45"/>
      <c r="DC19" s="45"/>
      <c r="DD19" s="45"/>
      <c r="DE19" s="45"/>
      <c r="DF19" s="45"/>
      <c r="DG19" s="45"/>
      <c r="DH19" s="45"/>
      <c r="DI19" s="45"/>
      <c r="DJ19" s="45"/>
      <c r="DK19" s="45"/>
      <c r="DL19" s="45"/>
      <c r="DM19" s="45"/>
      <c r="DN19" s="45"/>
    </row>
    <row r="20" spans="1:118" ht="25.5" customHeight="1">
      <c r="A20" s="361"/>
      <c r="B20" s="362"/>
      <c r="C20" s="362"/>
      <c r="D20" s="362"/>
      <c r="E20" s="363"/>
      <c r="F20" s="362"/>
      <c r="G20" s="363"/>
      <c r="H20" s="364"/>
      <c r="I20" s="365"/>
      <c r="J20" s="363"/>
      <c r="K20" s="366"/>
      <c r="L20" s="367"/>
      <c r="M20" s="362"/>
      <c r="N20" s="362"/>
      <c r="O20" s="362"/>
      <c r="P20" s="368"/>
      <c r="Q20" s="367"/>
      <c r="R20" s="362"/>
      <c r="S20" s="362"/>
      <c r="T20" s="362"/>
      <c r="U20" s="369"/>
      <c r="V20" s="361"/>
      <c r="W20" s="363"/>
      <c r="X20" s="363"/>
      <c r="Y20" s="363"/>
      <c r="Z20" s="366"/>
      <c r="AA20" s="370"/>
      <c r="AB20" s="363"/>
      <c r="AC20" s="363"/>
      <c r="AD20" s="363"/>
      <c r="AE20" s="364"/>
      <c r="AF20" s="365"/>
      <c r="AG20" s="363"/>
      <c r="AH20" s="363"/>
      <c r="AI20" s="363"/>
      <c r="AJ20" s="366"/>
      <c r="AK20" s="370"/>
      <c r="AL20" s="363"/>
      <c r="AM20" s="363"/>
      <c r="AN20" s="363"/>
      <c r="AO20" s="364"/>
      <c r="AP20" s="365"/>
      <c r="AQ20" s="363"/>
      <c r="AR20" s="363"/>
      <c r="AS20" s="363"/>
      <c r="AT20" s="366"/>
      <c r="AU20" s="370"/>
      <c r="AV20" s="363"/>
      <c r="AW20" s="363"/>
      <c r="AX20" s="363"/>
      <c r="AY20" s="364"/>
      <c r="AZ20" s="365"/>
      <c r="BA20" s="363"/>
      <c r="BB20" s="363"/>
      <c r="BC20" s="363"/>
      <c r="BD20" s="366"/>
      <c r="BE20" s="370"/>
      <c r="BF20" s="363"/>
      <c r="BG20" s="363"/>
      <c r="BH20" s="363"/>
      <c r="BI20" s="364"/>
      <c r="BJ20" s="365"/>
      <c r="BK20" s="363"/>
      <c r="BL20" s="363"/>
      <c r="BM20" s="363"/>
      <c r="BN20" s="366"/>
      <c r="BO20" s="370"/>
      <c r="BP20" s="363"/>
      <c r="BQ20" s="363"/>
      <c r="BR20" s="363"/>
      <c r="BS20" s="364"/>
      <c r="BT20" s="365"/>
      <c r="BU20" s="363"/>
      <c r="BV20" s="363"/>
      <c r="BW20" s="363"/>
      <c r="BX20" s="366"/>
      <c r="BY20" s="370"/>
      <c r="BZ20" s="363"/>
      <c r="CA20" s="363"/>
      <c r="CB20" s="363"/>
      <c r="CC20" s="364"/>
      <c r="CD20" s="365"/>
      <c r="CE20" s="363"/>
      <c r="CF20" s="363"/>
      <c r="CG20" s="363"/>
      <c r="CH20" s="364"/>
      <c r="CI20" s="365"/>
      <c r="CJ20" s="363"/>
      <c r="CK20" s="363"/>
      <c r="CL20" s="363"/>
      <c r="CM20" s="366"/>
      <c r="CN20" s="45"/>
      <c r="CO20" s="45"/>
      <c r="CP20" s="45"/>
      <c r="CQ20" s="45"/>
      <c r="CR20" s="45"/>
      <c r="CS20" s="45"/>
      <c r="CT20" s="45"/>
      <c r="CU20" s="45"/>
      <c r="CV20" s="45"/>
      <c r="CW20" s="45"/>
      <c r="CX20" s="46"/>
      <c r="CY20" s="45"/>
      <c r="CZ20" s="45"/>
      <c r="DA20" s="46"/>
      <c r="DB20" s="45"/>
      <c r="DC20" s="45"/>
      <c r="DD20" s="45"/>
      <c r="DE20" s="45"/>
      <c r="DF20" s="46"/>
      <c r="DG20" s="45"/>
      <c r="DH20" s="45"/>
      <c r="DI20" s="45"/>
      <c r="DJ20" s="45"/>
      <c r="DK20" s="45"/>
      <c r="DL20" s="45"/>
      <c r="DM20" s="45"/>
      <c r="DN20" s="45"/>
    </row>
    <row r="21" spans="1:118" ht="25.5" customHeight="1">
      <c r="A21" s="321"/>
      <c r="B21" s="322"/>
      <c r="C21" s="322"/>
      <c r="D21" s="322"/>
      <c r="E21" s="323"/>
      <c r="F21" s="322"/>
      <c r="G21" s="323"/>
      <c r="H21" s="324"/>
      <c r="I21" s="325"/>
      <c r="J21" s="323"/>
      <c r="K21" s="326"/>
      <c r="L21" s="327"/>
      <c r="M21" s="322"/>
      <c r="N21" s="322"/>
      <c r="O21" s="322"/>
      <c r="P21" s="328"/>
      <c r="Q21" s="327"/>
      <c r="R21" s="322"/>
      <c r="S21" s="322"/>
      <c r="T21" s="322"/>
      <c r="U21" s="329"/>
      <c r="V21" s="321"/>
      <c r="W21" s="323"/>
      <c r="X21" s="323"/>
      <c r="Y21" s="323"/>
      <c r="Z21" s="326"/>
      <c r="AA21" s="330"/>
      <c r="AB21" s="323"/>
      <c r="AC21" s="323"/>
      <c r="AD21" s="323"/>
      <c r="AE21" s="324"/>
      <c r="AF21" s="325"/>
      <c r="AG21" s="323"/>
      <c r="AH21" s="323"/>
      <c r="AI21" s="323"/>
      <c r="AJ21" s="326"/>
      <c r="AK21" s="330"/>
      <c r="AL21" s="323"/>
      <c r="AM21" s="323"/>
      <c r="AN21" s="323"/>
      <c r="AO21" s="324"/>
      <c r="AP21" s="325"/>
      <c r="AQ21" s="323"/>
      <c r="AR21" s="323"/>
      <c r="AS21" s="323"/>
      <c r="AT21" s="326"/>
      <c r="AU21" s="330"/>
      <c r="AV21" s="323"/>
      <c r="AW21" s="323"/>
      <c r="AX21" s="323"/>
      <c r="AY21" s="324"/>
      <c r="AZ21" s="325"/>
      <c r="BA21" s="323"/>
      <c r="BB21" s="323"/>
      <c r="BC21" s="323"/>
      <c r="BD21" s="326"/>
      <c r="BE21" s="330"/>
      <c r="BF21" s="323"/>
      <c r="BG21" s="323"/>
      <c r="BH21" s="323"/>
      <c r="BI21" s="324"/>
      <c r="BJ21" s="325"/>
      <c r="BK21" s="323"/>
      <c r="BL21" s="323"/>
      <c r="BM21" s="323"/>
      <c r="BN21" s="326"/>
      <c r="BO21" s="330"/>
      <c r="BP21" s="323"/>
      <c r="BQ21" s="323"/>
      <c r="BR21" s="323"/>
      <c r="BS21" s="324"/>
      <c r="BT21" s="325"/>
      <c r="BU21" s="323"/>
      <c r="BV21" s="323"/>
      <c r="BW21" s="323"/>
      <c r="BX21" s="326"/>
      <c r="BY21" s="330"/>
      <c r="BZ21" s="323"/>
      <c r="CA21" s="323"/>
      <c r="CB21" s="323"/>
      <c r="CC21" s="324"/>
      <c r="CD21" s="325"/>
      <c r="CE21" s="323"/>
      <c r="CF21" s="323"/>
      <c r="CG21" s="323"/>
      <c r="CH21" s="324"/>
      <c r="CI21" s="325"/>
      <c r="CJ21" s="323"/>
      <c r="CK21" s="323"/>
      <c r="CL21" s="323"/>
      <c r="CM21" s="326"/>
    </row>
    <row r="22" spans="1:118" ht="25.5" customHeight="1">
      <c r="A22" s="321"/>
      <c r="B22" s="322"/>
      <c r="C22" s="322"/>
      <c r="D22" s="322"/>
      <c r="E22" s="323"/>
      <c r="F22" s="322"/>
      <c r="G22" s="323"/>
      <c r="H22" s="371"/>
      <c r="I22" s="325"/>
      <c r="J22" s="323"/>
      <c r="K22" s="326"/>
      <c r="L22" s="327"/>
      <c r="M22" s="322"/>
      <c r="N22" s="322"/>
      <c r="O22" s="322"/>
      <c r="P22" s="328"/>
      <c r="Q22" s="327"/>
      <c r="R22" s="322"/>
      <c r="S22" s="322"/>
      <c r="T22" s="322"/>
      <c r="U22" s="329"/>
      <c r="V22" s="321"/>
      <c r="W22" s="372"/>
      <c r="X22" s="372"/>
      <c r="Y22" s="372"/>
      <c r="Z22" s="373"/>
      <c r="AA22" s="374"/>
      <c r="AB22" s="372"/>
      <c r="AC22" s="372"/>
      <c r="AD22" s="372"/>
      <c r="AE22" s="371"/>
      <c r="AF22" s="375"/>
      <c r="AG22" s="372"/>
      <c r="AH22" s="372"/>
      <c r="AI22" s="372"/>
      <c r="AJ22" s="373"/>
      <c r="AK22" s="374"/>
      <c r="AL22" s="372"/>
      <c r="AM22" s="372"/>
      <c r="AN22" s="372"/>
      <c r="AO22" s="371"/>
      <c r="AP22" s="375"/>
      <c r="AQ22" s="372"/>
      <c r="AR22" s="372"/>
      <c r="AS22" s="372"/>
      <c r="AT22" s="373"/>
      <c r="AU22" s="374"/>
      <c r="AV22" s="372"/>
      <c r="AW22" s="372"/>
      <c r="AX22" s="372"/>
      <c r="AY22" s="371"/>
      <c r="AZ22" s="375"/>
      <c r="BA22" s="372"/>
      <c r="BB22" s="372"/>
      <c r="BC22" s="372"/>
      <c r="BD22" s="373"/>
      <c r="BE22" s="374"/>
      <c r="BF22" s="372"/>
      <c r="BG22" s="372"/>
      <c r="BH22" s="372"/>
      <c r="BI22" s="371"/>
      <c r="BJ22" s="375"/>
      <c r="BK22" s="372"/>
      <c r="BL22" s="372"/>
      <c r="BM22" s="372"/>
      <c r="BN22" s="373"/>
      <c r="BO22" s="374"/>
      <c r="BP22" s="372"/>
      <c r="BQ22" s="372"/>
      <c r="BR22" s="372"/>
      <c r="BS22" s="371"/>
      <c r="BT22" s="375"/>
      <c r="BU22" s="372"/>
      <c r="BV22" s="372"/>
      <c r="BW22" s="372"/>
      <c r="BX22" s="373"/>
      <c r="BY22" s="374"/>
      <c r="BZ22" s="372"/>
      <c r="CA22" s="372"/>
      <c r="CB22" s="372"/>
      <c r="CC22" s="371"/>
      <c r="CD22" s="375"/>
      <c r="CE22" s="372"/>
      <c r="CF22" s="372"/>
      <c r="CG22" s="372"/>
      <c r="CH22" s="371"/>
      <c r="CI22" s="375"/>
      <c r="CJ22" s="372"/>
      <c r="CK22" s="372"/>
      <c r="CL22" s="372"/>
      <c r="CM22" s="373"/>
    </row>
    <row r="23" spans="1:118" ht="25.5" customHeight="1">
      <c r="A23" s="321"/>
      <c r="B23" s="322"/>
      <c r="C23" s="322"/>
      <c r="D23" s="322"/>
      <c r="E23" s="323"/>
      <c r="F23" s="322"/>
      <c r="G23" s="323"/>
      <c r="H23" s="371"/>
      <c r="I23" s="325"/>
      <c r="J23" s="323"/>
      <c r="K23" s="326"/>
      <c r="L23" s="327"/>
      <c r="M23" s="322"/>
      <c r="N23" s="322"/>
      <c r="O23" s="322"/>
      <c r="P23" s="328"/>
      <c r="Q23" s="327"/>
      <c r="R23" s="322"/>
      <c r="S23" s="322"/>
      <c r="T23" s="322"/>
      <c r="U23" s="329"/>
      <c r="V23" s="321"/>
      <c r="W23" s="372"/>
      <c r="X23" s="372"/>
      <c r="Y23" s="372"/>
      <c r="Z23" s="373"/>
      <c r="AA23" s="374"/>
      <c r="AB23" s="372"/>
      <c r="AC23" s="372"/>
      <c r="AD23" s="372"/>
      <c r="AE23" s="371"/>
      <c r="AF23" s="375"/>
      <c r="AG23" s="372"/>
      <c r="AH23" s="372"/>
      <c r="AI23" s="372"/>
      <c r="AJ23" s="373"/>
      <c r="AK23" s="374"/>
      <c r="AL23" s="372"/>
      <c r="AM23" s="372"/>
      <c r="AN23" s="372"/>
      <c r="AO23" s="371"/>
      <c r="AP23" s="375"/>
      <c r="AQ23" s="372"/>
      <c r="AR23" s="372"/>
      <c r="AS23" s="372"/>
      <c r="AT23" s="373"/>
      <c r="AU23" s="374"/>
      <c r="AV23" s="372"/>
      <c r="AW23" s="372"/>
      <c r="AX23" s="372"/>
      <c r="AY23" s="371"/>
      <c r="AZ23" s="375"/>
      <c r="BA23" s="372"/>
      <c r="BB23" s="372"/>
      <c r="BC23" s="372"/>
      <c r="BD23" s="373"/>
      <c r="BE23" s="374"/>
      <c r="BF23" s="372"/>
      <c r="BG23" s="372"/>
      <c r="BH23" s="372"/>
      <c r="BI23" s="371"/>
      <c r="BJ23" s="375"/>
      <c r="BK23" s="372"/>
      <c r="BL23" s="372"/>
      <c r="BM23" s="372"/>
      <c r="BN23" s="373"/>
      <c r="BO23" s="374"/>
      <c r="BP23" s="372"/>
      <c r="BQ23" s="372"/>
      <c r="BR23" s="372"/>
      <c r="BS23" s="371"/>
      <c r="BT23" s="375"/>
      <c r="BU23" s="372"/>
      <c r="BV23" s="372"/>
      <c r="BW23" s="372"/>
      <c r="BX23" s="373"/>
      <c r="BY23" s="374"/>
      <c r="BZ23" s="372"/>
      <c r="CA23" s="372"/>
      <c r="CB23" s="372"/>
      <c r="CC23" s="371"/>
      <c r="CD23" s="375"/>
      <c r="CE23" s="372"/>
      <c r="CF23" s="372"/>
      <c r="CG23" s="372"/>
      <c r="CH23" s="371"/>
      <c r="CI23" s="375"/>
      <c r="CJ23" s="372"/>
      <c r="CK23" s="372"/>
      <c r="CL23" s="372"/>
      <c r="CM23" s="373"/>
    </row>
    <row r="24" spans="1:118" ht="25.5" customHeight="1" thickBot="1">
      <c r="A24" s="331"/>
      <c r="B24" s="332"/>
      <c r="C24" s="332"/>
      <c r="D24" s="332"/>
      <c r="E24" s="333"/>
      <c r="F24" s="332"/>
      <c r="G24" s="333"/>
      <c r="H24" s="376"/>
      <c r="I24" s="335"/>
      <c r="J24" s="333"/>
      <c r="K24" s="336"/>
      <c r="L24" s="337"/>
      <c r="M24" s="332"/>
      <c r="N24" s="332"/>
      <c r="O24" s="332"/>
      <c r="P24" s="338"/>
      <c r="Q24" s="337"/>
      <c r="R24" s="332"/>
      <c r="S24" s="332"/>
      <c r="T24" s="332"/>
      <c r="U24" s="339"/>
      <c r="V24" s="331"/>
      <c r="W24" s="377"/>
      <c r="X24" s="377"/>
      <c r="Y24" s="377"/>
      <c r="Z24" s="378"/>
      <c r="AA24" s="379"/>
      <c r="AB24" s="377"/>
      <c r="AC24" s="377"/>
      <c r="AD24" s="377"/>
      <c r="AE24" s="376"/>
      <c r="AF24" s="380"/>
      <c r="AG24" s="377"/>
      <c r="AH24" s="377"/>
      <c r="AI24" s="377"/>
      <c r="AJ24" s="378"/>
      <c r="AK24" s="379"/>
      <c r="AL24" s="377"/>
      <c r="AM24" s="377"/>
      <c r="AN24" s="377"/>
      <c r="AO24" s="376"/>
      <c r="AP24" s="380"/>
      <c r="AQ24" s="377"/>
      <c r="AR24" s="377"/>
      <c r="AS24" s="377"/>
      <c r="AT24" s="378"/>
      <c r="AU24" s="379"/>
      <c r="AV24" s="377"/>
      <c r="AW24" s="377"/>
      <c r="AX24" s="377"/>
      <c r="AY24" s="376"/>
      <c r="AZ24" s="380"/>
      <c r="BA24" s="377"/>
      <c r="BB24" s="377"/>
      <c r="BC24" s="377"/>
      <c r="BD24" s="378"/>
      <c r="BE24" s="379"/>
      <c r="BF24" s="377"/>
      <c r="BG24" s="377"/>
      <c r="BH24" s="377"/>
      <c r="BI24" s="376"/>
      <c r="BJ24" s="380"/>
      <c r="BK24" s="377"/>
      <c r="BL24" s="377"/>
      <c r="BM24" s="377"/>
      <c r="BN24" s="378"/>
      <c r="BO24" s="379"/>
      <c r="BP24" s="377"/>
      <c r="BQ24" s="377"/>
      <c r="BR24" s="377"/>
      <c r="BS24" s="376"/>
      <c r="BT24" s="380"/>
      <c r="BU24" s="377"/>
      <c r="BV24" s="377"/>
      <c r="BW24" s="377"/>
      <c r="BX24" s="378"/>
      <c r="BY24" s="379"/>
      <c r="BZ24" s="377"/>
      <c r="CA24" s="377"/>
      <c r="CB24" s="377"/>
      <c r="CC24" s="376"/>
      <c r="CD24" s="380"/>
      <c r="CE24" s="377"/>
      <c r="CF24" s="377"/>
      <c r="CG24" s="377"/>
      <c r="CH24" s="376"/>
      <c r="CI24" s="380"/>
      <c r="CJ24" s="377"/>
      <c r="CK24" s="377"/>
      <c r="CL24" s="377"/>
      <c r="CM24" s="378"/>
    </row>
    <row r="25" spans="1:118" ht="25.5" customHeight="1">
      <c r="A25" s="341"/>
      <c r="B25" s="342"/>
      <c r="C25" s="342"/>
      <c r="D25" s="342"/>
      <c r="E25" s="343"/>
      <c r="F25" s="342"/>
      <c r="G25" s="343"/>
      <c r="H25" s="344"/>
      <c r="I25" s="345"/>
      <c r="J25" s="343"/>
      <c r="K25" s="346"/>
      <c r="L25" s="347"/>
      <c r="M25" s="342"/>
      <c r="N25" s="342"/>
      <c r="O25" s="342"/>
      <c r="P25" s="348"/>
      <c r="Q25" s="347"/>
      <c r="R25" s="342"/>
      <c r="S25" s="342"/>
      <c r="T25" s="342"/>
      <c r="U25" s="349"/>
      <c r="V25" s="341"/>
      <c r="W25" s="381"/>
      <c r="X25" s="381"/>
      <c r="Y25" s="381"/>
      <c r="Z25" s="382"/>
      <c r="AA25" s="383"/>
      <c r="AB25" s="381"/>
      <c r="AC25" s="381"/>
      <c r="AD25" s="381"/>
      <c r="AE25" s="384"/>
      <c r="AF25" s="385"/>
      <c r="AG25" s="381"/>
      <c r="AH25" s="381"/>
      <c r="AI25" s="381"/>
      <c r="AJ25" s="382"/>
      <c r="AK25" s="383"/>
      <c r="AL25" s="381"/>
      <c r="AM25" s="381"/>
      <c r="AN25" s="381"/>
      <c r="AO25" s="384"/>
      <c r="AP25" s="385"/>
      <c r="AQ25" s="381"/>
      <c r="AR25" s="381"/>
      <c r="AS25" s="381"/>
      <c r="AT25" s="382"/>
      <c r="AU25" s="383"/>
      <c r="AV25" s="381"/>
      <c r="AW25" s="381"/>
      <c r="AX25" s="381"/>
      <c r="AY25" s="384"/>
      <c r="AZ25" s="385"/>
      <c r="BA25" s="381"/>
      <c r="BB25" s="381"/>
      <c r="BC25" s="381"/>
      <c r="BD25" s="382"/>
      <c r="BE25" s="383"/>
      <c r="BF25" s="381"/>
      <c r="BG25" s="381"/>
      <c r="BH25" s="381"/>
      <c r="BI25" s="384"/>
      <c r="BJ25" s="385"/>
      <c r="BK25" s="381"/>
      <c r="BL25" s="381"/>
      <c r="BM25" s="381"/>
      <c r="BN25" s="382"/>
      <c r="BO25" s="383"/>
      <c r="BP25" s="381"/>
      <c r="BQ25" s="381"/>
      <c r="BR25" s="381"/>
      <c r="BS25" s="384"/>
      <c r="BT25" s="385"/>
      <c r="BU25" s="381"/>
      <c r="BV25" s="381"/>
      <c r="BW25" s="381"/>
      <c r="BX25" s="382"/>
      <c r="BY25" s="383"/>
      <c r="BZ25" s="381"/>
      <c r="CA25" s="381"/>
      <c r="CB25" s="381"/>
      <c r="CC25" s="384"/>
      <c r="CD25" s="385"/>
      <c r="CE25" s="381"/>
      <c r="CF25" s="381"/>
      <c r="CG25" s="381"/>
      <c r="CH25" s="384"/>
      <c r="CI25" s="385"/>
      <c r="CJ25" s="381"/>
      <c r="CK25" s="381"/>
      <c r="CL25" s="381"/>
      <c r="CM25" s="382"/>
    </row>
    <row r="26" spans="1:118" ht="25.5" customHeight="1">
      <c r="A26" s="386"/>
      <c r="B26" s="387"/>
      <c r="C26" s="387"/>
      <c r="D26" s="387"/>
      <c r="E26" s="372"/>
      <c r="F26" s="387"/>
      <c r="G26" s="372"/>
      <c r="H26" s="371"/>
      <c r="I26" s="375"/>
      <c r="J26" s="372"/>
      <c r="K26" s="373"/>
      <c r="L26" s="388"/>
      <c r="M26" s="387"/>
      <c r="N26" s="387"/>
      <c r="O26" s="387"/>
      <c r="P26" s="389"/>
      <c r="Q26" s="388"/>
      <c r="R26" s="387"/>
      <c r="S26" s="387"/>
      <c r="T26" s="387"/>
      <c r="U26" s="390"/>
      <c r="V26" s="386"/>
      <c r="W26" s="372"/>
      <c r="X26" s="372"/>
      <c r="Y26" s="372"/>
      <c r="Z26" s="373"/>
      <c r="AA26" s="374"/>
      <c r="AB26" s="372"/>
      <c r="AC26" s="372"/>
      <c r="AD26" s="372"/>
      <c r="AE26" s="371"/>
      <c r="AF26" s="375"/>
      <c r="AG26" s="372"/>
      <c r="AH26" s="372"/>
      <c r="AI26" s="372"/>
      <c r="AJ26" s="373"/>
      <c r="AK26" s="374"/>
      <c r="AL26" s="372"/>
      <c r="AM26" s="372"/>
      <c r="AN26" s="372"/>
      <c r="AO26" s="371"/>
      <c r="AP26" s="375"/>
      <c r="AQ26" s="372"/>
      <c r="AR26" s="372"/>
      <c r="AS26" s="372"/>
      <c r="AT26" s="373"/>
      <c r="AU26" s="374"/>
      <c r="AV26" s="372"/>
      <c r="AW26" s="372"/>
      <c r="AX26" s="372"/>
      <c r="AY26" s="371"/>
      <c r="AZ26" s="375"/>
      <c r="BA26" s="372"/>
      <c r="BB26" s="372"/>
      <c r="BC26" s="372"/>
      <c r="BD26" s="373"/>
      <c r="BE26" s="374"/>
      <c r="BF26" s="372"/>
      <c r="BG26" s="372"/>
      <c r="BH26" s="372"/>
      <c r="BI26" s="371"/>
      <c r="BJ26" s="375"/>
      <c r="BK26" s="372"/>
      <c r="BL26" s="372"/>
      <c r="BM26" s="372"/>
      <c r="BN26" s="373"/>
      <c r="BO26" s="374"/>
      <c r="BP26" s="372"/>
      <c r="BQ26" s="372"/>
      <c r="BR26" s="372"/>
      <c r="BS26" s="371"/>
      <c r="BT26" s="375"/>
      <c r="BU26" s="372"/>
      <c r="BV26" s="372"/>
      <c r="BW26" s="372"/>
      <c r="BX26" s="373"/>
      <c r="BY26" s="374"/>
      <c r="BZ26" s="372"/>
      <c r="CA26" s="372"/>
      <c r="CB26" s="372"/>
      <c r="CC26" s="371"/>
      <c r="CD26" s="375"/>
      <c r="CE26" s="372"/>
      <c r="CF26" s="372"/>
      <c r="CG26" s="372"/>
      <c r="CH26" s="371"/>
      <c r="CI26" s="375"/>
      <c r="CJ26" s="372"/>
      <c r="CK26" s="372"/>
      <c r="CL26" s="372"/>
      <c r="CM26" s="373"/>
    </row>
    <row r="27" spans="1:118" ht="25.5" customHeight="1">
      <c r="A27" s="386"/>
      <c r="B27" s="387"/>
      <c r="C27" s="387"/>
      <c r="D27" s="387"/>
      <c r="E27" s="372"/>
      <c r="F27" s="387"/>
      <c r="G27" s="372"/>
      <c r="H27" s="371"/>
      <c r="I27" s="375"/>
      <c r="J27" s="372"/>
      <c r="K27" s="373"/>
      <c r="L27" s="388"/>
      <c r="M27" s="387"/>
      <c r="N27" s="387"/>
      <c r="O27" s="387"/>
      <c r="P27" s="389"/>
      <c r="Q27" s="388"/>
      <c r="R27" s="387"/>
      <c r="S27" s="387"/>
      <c r="T27" s="387"/>
      <c r="U27" s="390"/>
      <c r="V27" s="386"/>
      <c r="W27" s="372"/>
      <c r="X27" s="372"/>
      <c r="Y27" s="372"/>
      <c r="Z27" s="373"/>
      <c r="AA27" s="374"/>
      <c r="AB27" s="372"/>
      <c r="AC27" s="372"/>
      <c r="AD27" s="372"/>
      <c r="AE27" s="371"/>
      <c r="AF27" s="375"/>
      <c r="AG27" s="372"/>
      <c r="AH27" s="372"/>
      <c r="AI27" s="372"/>
      <c r="AJ27" s="373"/>
      <c r="AK27" s="374"/>
      <c r="AL27" s="372"/>
      <c r="AM27" s="372"/>
      <c r="AN27" s="372"/>
      <c r="AO27" s="371"/>
      <c r="AP27" s="375"/>
      <c r="AQ27" s="372"/>
      <c r="AR27" s="372"/>
      <c r="AS27" s="372"/>
      <c r="AT27" s="373"/>
      <c r="AU27" s="374"/>
      <c r="AV27" s="372"/>
      <c r="AW27" s="372"/>
      <c r="AX27" s="372"/>
      <c r="AY27" s="371"/>
      <c r="AZ27" s="375"/>
      <c r="BA27" s="372"/>
      <c r="BB27" s="372"/>
      <c r="BC27" s="372"/>
      <c r="BD27" s="373"/>
      <c r="BE27" s="374"/>
      <c r="BF27" s="372"/>
      <c r="BG27" s="372"/>
      <c r="BH27" s="372"/>
      <c r="BI27" s="371"/>
      <c r="BJ27" s="375"/>
      <c r="BK27" s="372"/>
      <c r="BL27" s="372"/>
      <c r="BM27" s="372"/>
      <c r="BN27" s="373"/>
      <c r="BO27" s="374"/>
      <c r="BP27" s="372"/>
      <c r="BQ27" s="372"/>
      <c r="BR27" s="372"/>
      <c r="BS27" s="371"/>
      <c r="BT27" s="375"/>
      <c r="BU27" s="372"/>
      <c r="BV27" s="372"/>
      <c r="BW27" s="372"/>
      <c r="BX27" s="373"/>
      <c r="BY27" s="374"/>
      <c r="BZ27" s="372"/>
      <c r="CA27" s="372"/>
      <c r="CB27" s="372"/>
      <c r="CC27" s="371"/>
      <c r="CD27" s="375"/>
      <c r="CE27" s="372"/>
      <c r="CF27" s="372"/>
      <c r="CG27" s="372"/>
      <c r="CH27" s="371"/>
      <c r="CI27" s="375"/>
      <c r="CJ27" s="372"/>
      <c r="CK27" s="372"/>
      <c r="CL27" s="372"/>
      <c r="CM27" s="373"/>
    </row>
    <row r="28" spans="1:118" ht="25.5" customHeight="1">
      <c r="A28" s="386"/>
      <c r="B28" s="387"/>
      <c r="C28" s="387"/>
      <c r="D28" s="387"/>
      <c r="E28" s="372"/>
      <c r="F28" s="387"/>
      <c r="G28" s="372"/>
      <c r="H28" s="371"/>
      <c r="I28" s="375"/>
      <c r="J28" s="372"/>
      <c r="K28" s="373"/>
      <c r="L28" s="388"/>
      <c r="M28" s="387"/>
      <c r="N28" s="387"/>
      <c r="O28" s="387"/>
      <c r="P28" s="389"/>
      <c r="Q28" s="388"/>
      <c r="R28" s="387"/>
      <c r="S28" s="387"/>
      <c r="T28" s="387"/>
      <c r="U28" s="390"/>
      <c r="V28" s="386"/>
      <c r="W28" s="372"/>
      <c r="X28" s="372"/>
      <c r="Y28" s="372"/>
      <c r="Z28" s="373"/>
      <c r="AA28" s="374"/>
      <c r="AB28" s="372"/>
      <c r="AC28" s="372"/>
      <c r="AD28" s="372"/>
      <c r="AE28" s="371"/>
      <c r="AF28" s="375"/>
      <c r="AG28" s="372"/>
      <c r="AH28" s="372"/>
      <c r="AI28" s="372"/>
      <c r="AJ28" s="373"/>
      <c r="AK28" s="374"/>
      <c r="AL28" s="372"/>
      <c r="AM28" s="372"/>
      <c r="AN28" s="372"/>
      <c r="AO28" s="371"/>
      <c r="AP28" s="375"/>
      <c r="AQ28" s="372"/>
      <c r="AR28" s="372"/>
      <c r="AS28" s="372"/>
      <c r="AT28" s="373"/>
      <c r="AU28" s="374"/>
      <c r="AV28" s="372"/>
      <c r="AW28" s="372"/>
      <c r="AX28" s="372"/>
      <c r="AY28" s="371"/>
      <c r="AZ28" s="375"/>
      <c r="BA28" s="372"/>
      <c r="BB28" s="372"/>
      <c r="BC28" s="372"/>
      <c r="BD28" s="373"/>
      <c r="BE28" s="374"/>
      <c r="BF28" s="372"/>
      <c r="BG28" s="372"/>
      <c r="BH28" s="372"/>
      <c r="BI28" s="371"/>
      <c r="BJ28" s="375"/>
      <c r="BK28" s="372"/>
      <c r="BL28" s="372"/>
      <c r="BM28" s="372"/>
      <c r="BN28" s="373"/>
      <c r="BO28" s="374"/>
      <c r="BP28" s="372"/>
      <c r="BQ28" s="372"/>
      <c r="BR28" s="372"/>
      <c r="BS28" s="371"/>
      <c r="BT28" s="375"/>
      <c r="BU28" s="372"/>
      <c r="BV28" s="372"/>
      <c r="BW28" s="372"/>
      <c r="BX28" s="373"/>
      <c r="BY28" s="374"/>
      <c r="BZ28" s="372"/>
      <c r="CA28" s="372"/>
      <c r="CB28" s="372"/>
      <c r="CC28" s="371"/>
      <c r="CD28" s="375"/>
      <c r="CE28" s="372"/>
      <c r="CF28" s="372"/>
      <c r="CG28" s="372"/>
      <c r="CH28" s="371"/>
      <c r="CI28" s="375"/>
      <c r="CJ28" s="372"/>
      <c r="CK28" s="372"/>
      <c r="CL28" s="372"/>
      <c r="CM28" s="373"/>
    </row>
    <row r="29" spans="1:118" ht="25.5" customHeight="1" thickBot="1">
      <c r="A29" s="391"/>
      <c r="B29" s="392"/>
      <c r="C29" s="392"/>
      <c r="D29" s="392"/>
      <c r="E29" s="393"/>
      <c r="F29" s="392"/>
      <c r="G29" s="393"/>
      <c r="H29" s="394"/>
      <c r="I29" s="395"/>
      <c r="J29" s="393"/>
      <c r="K29" s="396"/>
      <c r="L29" s="397"/>
      <c r="M29" s="392"/>
      <c r="N29" s="392"/>
      <c r="O29" s="392"/>
      <c r="P29" s="398"/>
      <c r="Q29" s="397"/>
      <c r="R29" s="392"/>
      <c r="S29" s="392"/>
      <c r="T29" s="392"/>
      <c r="U29" s="399"/>
      <c r="V29" s="391"/>
      <c r="W29" s="393"/>
      <c r="X29" s="393"/>
      <c r="Y29" s="393"/>
      <c r="Z29" s="396"/>
      <c r="AA29" s="400"/>
      <c r="AB29" s="393"/>
      <c r="AC29" s="393"/>
      <c r="AD29" s="393"/>
      <c r="AE29" s="394"/>
      <c r="AF29" s="395"/>
      <c r="AG29" s="393"/>
      <c r="AH29" s="393"/>
      <c r="AI29" s="393"/>
      <c r="AJ29" s="396"/>
      <c r="AK29" s="400"/>
      <c r="AL29" s="393"/>
      <c r="AM29" s="393"/>
      <c r="AN29" s="393"/>
      <c r="AO29" s="394"/>
      <c r="AP29" s="395"/>
      <c r="AQ29" s="393"/>
      <c r="AR29" s="393"/>
      <c r="AS29" s="393"/>
      <c r="AT29" s="396"/>
      <c r="AU29" s="400"/>
      <c r="AV29" s="393"/>
      <c r="AW29" s="393"/>
      <c r="AX29" s="393"/>
      <c r="AY29" s="394"/>
      <c r="AZ29" s="395"/>
      <c r="BA29" s="393"/>
      <c r="BB29" s="393"/>
      <c r="BC29" s="393"/>
      <c r="BD29" s="396"/>
      <c r="BE29" s="400"/>
      <c r="BF29" s="393"/>
      <c r="BG29" s="393"/>
      <c r="BH29" s="393"/>
      <c r="BI29" s="394"/>
      <c r="BJ29" s="395"/>
      <c r="BK29" s="393"/>
      <c r="BL29" s="393"/>
      <c r="BM29" s="393"/>
      <c r="BN29" s="396"/>
      <c r="BO29" s="400"/>
      <c r="BP29" s="393"/>
      <c r="BQ29" s="393"/>
      <c r="BR29" s="393"/>
      <c r="BS29" s="394"/>
      <c r="BT29" s="395"/>
      <c r="BU29" s="393"/>
      <c r="BV29" s="393"/>
      <c r="BW29" s="393"/>
      <c r="BX29" s="396"/>
      <c r="BY29" s="400"/>
      <c r="BZ29" s="393"/>
      <c r="CA29" s="393"/>
      <c r="CB29" s="393"/>
      <c r="CC29" s="394"/>
      <c r="CD29" s="395"/>
      <c r="CE29" s="393"/>
      <c r="CF29" s="393"/>
      <c r="CG29" s="393"/>
      <c r="CH29" s="394"/>
      <c r="CI29" s="395"/>
      <c r="CJ29" s="393"/>
      <c r="CK29" s="393"/>
      <c r="CL29" s="393"/>
      <c r="CM29" s="396"/>
    </row>
    <row r="30" spans="1:118" ht="25.5" customHeight="1">
      <c r="A30" s="401"/>
      <c r="B30" s="402"/>
      <c r="C30" s="402"/>
      <c r="D30" s="402"/>
      <c r="E30" s="403"/>
      <c r="F30" s="402"/>
      <c r="G30" s="403"/>
      <c r="H30" s="404"/>
      <c r="I30" s="405"/>
      <c r="J30" s="403"/>
      <c r="K30" s="406"/>
      <c r="L30" s="407"/>
      <c r="M30" s="402"/>
      <c r="N30" s="402"/>
      <c r="O30" s="402"/>
      <c r="P30" s="408"/>
      <c r="Q30" s="407"/>
      <c r="R30" s="402"/>
      <c r="S30" s="402"/>
      <c r="T30" s="402"/>
      <c r="U30" s="409"/>
      <c r="V30" s="401"/>
      <c r="W30" s="403"/>
      <c r="X30" s="403"/>
      <c r="Y30" s="403"/>
      <c r="Z30" s="406"/>
      <c r="AA30" s="410"/>
      <c r="AB30" s="403"/>
      <c r="AC30" s="403"/>
      <c r="AD30" s="403"/>
      <c r="AE30" s="404"/>
      <c r="AF30" s="405"/>
      <c r="AG30" s="403"/>
      <c r="AH30" s="403"/>
      <c r="AI30" s="403"/>
      <c r="AJ30" s="406"/>
      <c r="AK30" s="410"/>
      <c r="AL30" s="403"/>
      <c r="AM30" s="403"/>
      <c r="AN30" s="403"/>
      <c r="AO30" s="404"/>
      <c r="AP30" s="405"/>
      <c r="AQ30" s="403"/>
      <c r="AR30" s="403"/>
      <c r="AS30" s="403"/>
      <c r="AT30" s="406"/>
      <c r="AU30" s="410"/>
      <c r="AV30" s="403"/>
      <c r="AW30" s="403"/>
      <c r="AX30" s="403"/>
      <c r="AY30" s="404"/>
      <c r="AZ30" s="405"/>
      <c r="BA30" s="403"/>
      <c r="BB30" s="403"/>
      <c r="BC30" s="403"/>
      <c r="BD30" s="406"/>
      <c r="BE30" s="410"/>
      <c r="BF30" s="403"/>
      <c r="BG30" s="403"/>
      <c r="BH30" s="403"/>
      <c r="BI30" s="404"/>
      <c r="BJ30" s="405"/>
      <c r="BK30" s="403"/>
      <c r="BL30" s="403"/>
      <c r="BM30" s="403"/>
      <c r="BN30" s="406"/>
      <c r="BO30" s="410"/>
      <c r="BP30" s="403"/>
      <c r="BQ30" s="403"/>
      <c r="BR30" s="403"/>
      <c r="BS30" s="404"/>
      <c r="BT30" s="405"/>
      <c r="BU30" s="403"/>
      <c r="BV30" s="403"/>
      <c r="BW30" s="403"/>
      <c r="BX30" s="406"/>
      <c r="BY30" s="410"/>
      <c r="BZ30" s="403"/>
      <c r="CA30" s="403"/>
      <c r="CB30" s="403"/>
      <c r="CC30" s="404"/>
      <c r="CD30" s="405"/>
      <c r="CE30" s="403"/>
      <c r="CF30" s="403"/>
      <c r="CG30" s="403"/>
      <c r="CH30" s="404"/>
      <c r="CI30" s="405"/>
      <c r="CJ30" s="403"/>
      <c r="CK30" s="403"/>
      <c r="CL30" s="403"/>
      <c r="CM30" s="406"/>
    </row>
    <row r="31" spans="1:118" ht="25.5" customHeight="1">
      <c r="A31" s="386"/>
      <c r="B31" s="387"/>
      <c r="C31" s="387"/>
      <c r="D31" s="387"/>
      <c r="E31" s="372"/>
      <c r="F31" s="387"/>
      <c r="G31" s="372"/>
      <c r="H31" s="371"/>
      <c r="I31" s="375"/>
      <c r="J31" s="372"/>
      <c r="K31" s="373"/>
      <c r="L31" s="388"/>
      <c r="M31" s="387"/>
      <c r="N31" s="387"/>
      <c r="O31" s="387"/>
      <c r="P31" s="389"/>
      <c r="Q31" s="388"/>
      <c r="R31" s="387"/>
      <c r="S31" s="387"/>
      <c r="T31" s="387"/>
      <c r="U31" s="390"/>
      <c r="V31" s="386"/>
      <c r="W31" s="372"/>
      <c r="X31" s="372"/>
      <c r="Y31" s="372"/>
      <c r="Z31" s="373"/>
      <c r="AA31" s="374"/>
      <c r="AB31" s="372"/>
      <c r="AC31" s="372"/>
      <c r="AD31" s="372"/>
      <c r="AE31" s="371"/>
      <c r="AF31" s="375"/>
      <c r="AG31" s="372"/>
      <c r="AH31" s="372"/>
      <c r="AI31" s="372"/>
      <c r="AJ31" s="373"/>
      <c r="AK31" s="374"/>
      <c r="AL31" s="372"/>
      <c r="AM31" s="372"/>
      <c r="AN31" s="372"/>
      <c r="AO31" s="371"/>
      <c r="AP31" s="375"/>
      <c r="AQ31" s="372"/>
      <c r="AR31" s="372"/>
      <c r="AS31" s="372"/>
      <c r="AT31" s="373"/>
      <c r="AU31" s="374"/>
      <c r="AV31" s="372"/>
      <c r="AW31" s="372"/>
      <c r="AX31" s="372"/>
      <c r="AY31" s="371"/>
      <c r="AZ31" s="375"/>
      <c r="BA31" s="372"/>
      <c r="BB31" s="372"/>
      <c r="BC31" s="372"/>
      <c r="BD31" s="373"/>
      <c r="BE31" s="374"/>
      <c r="BF31" s="372"/>
      <c r="BG31" s="372"/>
      <c r="BH31" s="372"/>
      <c r="BI31" s="371"/>
      <c r="BJ31" s="375"/>
      <c r="BK31" s="372"/>
      <c r="BL31" s="372"/>
      <c r="BM31" s="372"/>
      <c r="BN31" s="373"/>
      <c r="BO31" s="374"/>
      <c r="BP31" s="372"/>
      <c r="BQ31" s="372"/>
      <c r="BR31" s="372"/>
      <c r="BS31" s="371"/>
      <c r="BT31" s="375"/>
      <c r="BU31" s="372"/>
      <c r="BV31" s="372"/>
      <c r="BW31" s="372"/>
      <c r="BX31" s="373"/>
      <c r="BY31" s="374"/>
      <c r="BZ31" s="372"/>
      <c r="CA31" s="372"/>
      <c r="CB31" s="372"/>
      <c r="CC31" s="371"/>
      <c r="CD31" s="375"/>
      <c r="CE31" s="372"/>
      <c r="CF31" s="372"/>
      <c r="CG31" s="372"/>
      <c r="CH31" s="371"/>
      <c r="CI31" s="375"/>
      <c r="CJ31" s="372"/>
      <c r="CK31" s="372"/>
      <c r="CL31" s="372"/>
      <c r="CM31" s="373"/>
    </row>
    <row r="32" spans="1:118" ht="25.5" customHeight="1">
      <c r="A32" s="386"/>
      <c r="B32" s="387"/>
      <c r="C32" s="387"/>
      <c r="D32" s="387"/>
      <c r="E32" s="372"/>
      <c r="F32" s="387"/>
      <c r="G32" s="372"/>
      <c r="H32" s="371"/>
      <c r="I32" s="375"/>
      <c r="J32" s="372"/>
      <c r="K32" s="373"/>
      <c r="L32" s="388"/>
      <c r="M32" s="387"/>
      <c r="N32" s="387"/>
      <c r="O32" s="387"/>
      <c r="P32" s="389"/>
      <c r="Q32" s="388"/>
      <c r="R32" s="387"/>
      <c r="S32" s="387"/>
      <c r="T32" s="387"/>
      <c r="U32" s="390"/>
      <c r="V32" s="386"/>
      <c r="W32" s="372"/>
      <c r="X32" s="372"/>
      <c r="Y32" s="372"/>
      <c r="Z32" s="373"/>
      <c r="AA32" s="374"/>
      <c r="AB32" s="372"/>
      <c r="AC32" s="372"/>
      <c r="AD32" s="372"/>
      <c r="AE32" s="371"/>
      <c r="AF32" s="375"/>
      <c r="AG32" s="372"/>
      <c r="AH32" s="372"/>
      <c r="AI32" s="372"/>
      <c r="AJ32" s="373"/>
      <c r="AK32" s="374"/>
      <c r="AL32" s="372"/>
      <c r="AM32" s="372"/>
      <c r="AN32" s="372"/>
      <c r="AO32" s="371"/>
      <c r="AP32" s="375"/>
      <c r="AQ32" s="372"/>
      <c r="AR32" s="372"/>
      <c r="AS32" s="372"/>
      <c r="AT32" s="373"/>
      <c r="AU32" s="374"/>
      <c r="AV32" s="372"/>
      <c r="AW32" s="372"/>
      <c r="AX32" s="372"/>
      <c r="AY32" s="371"/>
      <c r="AZ32" s="375"/>
      <c r="BA32" s="372"/>
      <c r="BB32" s="372"/>
      <c r="BC32" s="372"/>
      <c r="BD32" s="373"/>
      <c r="BE32" s="374"/>
      <c r="BF32" s="372"/>
      <c r="BG32" s="372"/>
      <c r="BH32" s="372"/>
      <c r="BI32" s="371"/>
      <c r="BJ32" s="375"/>
      <c r="BK32" s="372"/>
      <c r="BL32" s="372"/>
      <c r="BM32" s="372"/>
      <c r="BN32" s="373"/>
      <c r="BO32" s="374"/>
      <c r="BP32" s="372"/>
      <c r="BQ32" s="372"/>
      <c r="BR32" s="372"/>
      <c r="BS32" s="371"/>
      <c r="BT32" s="375"/>
      <c r="BU32" s="372"/>
      <c r="BV32" s="372"/>
      <c r="BW32" s="372"/>
      <c r="BX32" s="373"/>
      <c r="BY32" s="374"/>
      <c r="BZ32" s="372"/>
      <c r="CA32" s="372"/>
      <c r="CB32" s="372"/>
      <c r="CC32" s="371"/>
      <c r="CD32" s="375"/>
      <c r="CE32" s="372"/>
      <c r="CF32" s="372"/>
      <c r="CG32" s="372"/>
      <c r="CH32" s="371"/>
      <c r="CI32" s="375"/>
      <c r="CJ32" s="372"/>
      <c r="CK32" s="372"/>
      <c r="CL32" s="372"/>
      <c r="CM32" s="373"/>
    </row>
    <row r="33" spans="1:91" ht="25.5" customHeight="1">
      <c r="A33" s="386"/>
      <c r="B33" s="387"/>
      <c r="C33" s="387"/>
      <c r="D33" s="387"/>
      <c r="E33" s="372"/>
      <c r="F33" s="387"/>
      <c r="G33" s="372"/>
      <c r="H33" s="371"/>
      <c r="I33" s="375"/>
      <c r="J33" s="372"/>
      <c r="K33" s="373"/>
      <c r="L33" s="388"/>
      <c r="M33" s="387"/>
      <c r="N33" s="387"/>
      <c r="O33" s="387"/>
      <c r="P33" s="389"/>
      <c r="Q33" s="388"/>
      <c r="R33" s="387"/>
      <c r="S33" s="387"/>
      <c r="T33" s="387"/>
      <c r="U33" s="390"/>
      <c r="V33" s="386"/>
      <c r="W33" s="372"/>
      <c r="X33" s="372"/>
      <c r="Y33" s="372"/>
      <c r="Z33" s="373"/>
      <c r="AA33" s="374"/>
      <c r="AB33" s="372"/>
      <c r="AC33" s="372"/>
      <c r="AD33" s="372"/>
      <c r="AE33" s="371"/>
      <c r="AF33" s="375"/>
      <c r="AG33" s="372"/>
      <c r="AH33" s="372"/>
      <c r="AI33" s="372"/>
      <c r="AJ33" s="373"/>
      <c r="AK33" s="374"/>
      <c r="AL33" s="372"/>
      <c r="AM33" s="372"/>
      <c r="AN33" s="372"/>
      <c r="AO33" s="371"/>
      <c r="AP33" s="375"/>
      <c r="AQ33" s="372"/>
      <c r="AR33" s="372"/>
      <c r="AS33" s="372"/>
      <c r="AT33" s="373"/>
      <c r="AU33" s="374"/>
      <c r="AV33" s="372"/>
      <c r="AW33" s="372"/>
      <c r="AX33" s="372"/>
      <c r="AY33" s="371"/>
      <c r="AZ33" s="375"/>
      <c r="BA33" s="372"/>
      <c r="BB33" s="372"/>
      <c r="BC33" s="372"/>
      <c r="BD33" s="373"/>
      <c r="BE33" s="374"/>
      <c r="BF33" s="372"/>
      <c r="BG33" s="372"/>
      <c r="BH33" s="372"/>
      <c r="BI33" s="371"/>
      <c r="BJ33" s="375"/>
      <c r="BK33" s="372"/>
      <c r="BL33" s="372"/>
      <c r="BM33" s="372"/>
      <c r="BN33" s="373"/>
      <c r="BO33" s="374"/>
      <c r="BP33" s="372"/>
      <c r="BQ33" s="372"/>
      <c r="BR33" s="372"/>
      <c r="BS33" s="371"/>
      <c r="BT33" s="375"/>
      <c r="BU33" s="372"/>
      <c r="BV33" s="372"/>
      <c r="BW33" s="372"/>
      <c r="BX33" s="373"/>
      <c r="BY33" s="374"/>
      <c r="BZ33" s="372"/>
      <c r="CA33" s="372"/>
      <c r="CB33" s="372"/>
      <c r="CC33" s="371"/>
      <c r="CD33" s="375"/>
      <c r="CE33" s="372"/>
      <c r="CF33" s="372"/>
      <c r="CG33" s="372"/>
      <c r="CH33" s="371"/>
      <c r="CI33" s="375"/>
      <c r="CJ33" s="372"/>
      <c r="CK33" s="372"/>
      <c r="CL33" s="372"/>
      <c r="CM33" s="373"/>
    </row>
    <row r="34" spans="1:91" ht="25.5" customHeight="1" thickBot="1">
      <c r="A34" s="411"/>
      <c r="B34" s="412"/>
      <c r="C34" s="412"/>
      <c r="D34" s="412"/>
      <c r="E34" s="377"/>
      <c r="F34" s="412"/>
      <c r="G34" s="377"/>
      <c r="H34" s="376"/>
      <c r="I34" s="380"/>
      <c r="J34" s="377"/>
      <c r="K34" s="378"/>
      <c r="L34" s="413"/>
      <c r="M34" s="412"/>
      <c r="N34" s="412"/>
      <c r="O34" s="412"/>
      <c r="P34" s="414"/>
      <c r="Q34" s="413"/>
      <c r="R34" s="412"/>
      <c r="S34" s="412"/>
      <c r="T34" s="412"/>
      <c r="U34" s="415"/>
      <c r="V34" s="411"/>
      <c r="W34" s="377"/>
      <c r="X34" s="377"/>
      <c r="Y34" s="377"/>
      <c r="Z34" s="378"/>
      <c r="AA34" s="379"/>
      <c r="AB34" s="377"/>
      <c r="AC34" s="377"/>
      <c r="AD34" s="377"/>
      <c r="AE34" s="376"/>
      <c r="AF34" s="380"/>
      <c r="AG34" s="377"/>
      <c r="AH34" s="377"/>
      <c r="AI34" s="377"/>
      <c r="AJ34" s="378"/>
      <c r="AK34" s="379"/>
      <c r="AL34" s="377"/>
      <c r="AM34" s="377"/>
      <c r="AN34" s="377"/>
      <c r="AO34" s="376"/>
      <c r="AP34" s="380"/>
      <c r="AQ34" s="377"/>
      <c r="AR34" s="377"/>
      <c r="AS34" s="377"/>
      <c r="AT34" s="378"/>
      <c r="AU34" s="379"/>
      <c r="AV34" s="377"/>
      <c r="AW34" s="377"/>
      <c r="AX34" s="377"/>
      <c r="AY34" s="376"/>
      <c r="AZ34" s="380"/>
      <c r="BA34" s="377"/>
      <c r="BB34" s="377"/>
      <c r="BC34" s="377"/>
      <c r="BD34" s="378"/>
      <c r="BE34" s="379"/>
      <c r="BF34" s="377"/>
      <c r="BG34" s="377"/>
      <c r="BH34" s="377"/>
      <c r="BI34" s="376"/>
      <c r="BJ34" s="380"/>
      <c r="BK34" s="377"/>
      <c r="BL34" s="377"/>
      <c r="BM34" s="377"/>
      <c r="BN34" s="378"/>
      <c r="BO34" s="379"/>
      <c r="BP34" s="377"/>
      <c r="BQ34" s="377"/>
      <c r="BR34" s="377"/>
      <c r="BS34" s="376"/>
      <c r="BT34" s="380"/>
      <c r="BU34" s="377"/>
      <c r="BV34" s="377"/>
      <c r="BW34" s="377"/>
      <c r="BX34" s="378"/>
      <c r="BY34" s="379"/>
      <c r="BZ34" s="377"/>
      <c r="CA34" s="377"/>
      <c r="CB34" s="377"/>
      <c r="CC34" s="376"/>
      <c r="CD34" s="380"/>
      <c r="CE34" s="377"/>
      <c r="CF34" s="377"/>
      <c r="CG34" s="377"/>
      <c r="CH34" s="376"/>
      <c r="CI34" s="380"/>
      <c r="CJ34" s="377"/>
      <c r="CK34" s="377"/>
      <c r="CL34" s="377"/>
      <c r="CM34" s="378"/>
    </row>
    <row r="35" spans="1:91" ht="25.5" customHeight="1">
      <c r="A35" s="416"/>
      <c r="B35" s="417"/>
      <c r="C35" s="417"/>
      <c r="D35" s="417"/>
      <c r="E35" s="381"/>
      <c r="F35" s="417"/>
      <c r="G35" s="381"/>
      <c r="H35" s="384"/>
      <c r="I35" s="385"/>
      <c r="J35" s="381"/>
      <c r="K35" s="382"/>
      <c r="L35" s="418"/>
      <c r="M35" s="417"/>
      <c r="N35" s="417"/>
      <c r="O35" s="417"/>
      <c r="P35" s="419"/>
      <c r="Q35" s="418"/>
      <c r="R35" s="417"/>
      <c r="S35" s="417"/>
      <c r="T35" s="417"/>
      <c r="U35" s="420"/>
      <c r="V35" s="416"/>
      <c r="W35" s="381"/>
      <c r="X35" s="381"/>
      <c r="Y35" s="381"/>
      <c r="Z35" s="382"/>
      <c r="AA35" s="383"/>
      <c r="AB35" s="381"/>
      <c r="AC35" s="381"/>
      <c r="AD35" s="381"/>
      <c r="AE35" s="384"/>
      <c r="AF35" s="385"/>
      <c r="AG35" s="381"/>
      <c r="AH35" s="381"/>
      <c r="AI35" s="381"/>
      <c r="AJ35" s="382"/>
      <c r="AK35" s="383"/>
      <c r="AL35" s="381"/>
      <c r="AM35" s="381"/>
      <c r="AN35" s="381"/>
      <c r="AO35" s="384"/>
      <c r="AP35" s="385"/>
      <c r="AQ35" s="381"/>
      <c r="AR35" s="381"/>
      <c r="AS35" s="381"/>
      <c r="AT35" s="382"/>
      <c r="AU35" s="383"/>
      <c r="AV35" s="381"/>
      <c r="AW35" s="381"/>
      <c r="AX35" s="381"/>
      <c r="AY35" s="384"/>
      <c r="AZ35" s="385"/>
      <c r="BA35" s="381"/>
      <c r="BB35" s="381"/>
      <c r="BC35" s="381"/>
      <c r="BD35" s="382"/>
      <c r="BE35" s="383"/>
      <c r="BF35" s="381"/>
      <c r="BG35" s="381"/>
      <c r="BH35" s="381"/>
      <c r="BI35" s="384"/>
      <c r="BJ35" s="385"/>
      <c r="BK35" s="381"/>
      <c r="BL35" s="381"/>
      <c r="BM35" s="381"/>
      <c r="BN35" s="382"/>
      <c r="BO35" s="383"/>
      <c r="BP35" s="381"/>
      <c r="BQ35" s="381"/>
      <c r="BR35" s="381"/>
      <c r="BS35" s="384"/>
      <c r="BT35" s="385"/>
      <c r="BU35" s="381"/>
      <c r="BV35" s="381"/>
      <c r="BW35" s="381"/>
      <c r="BX35" s="382"/>
      <c r="BY35" s="383"/>
      <c r="BZ35" s="381"/>
      <c r="CA35" s="381"/>
      <c r="CB35" s="381"/>
      <c r="CC35" s="384"/>
      <c r="CD35" s="385"/>
      <c r="CE35" s="381"/>
      <c r="CF35" s="381"/>
      <c r="CG35" s="381"/>
      <c r="CH35" s="384"/>
      <c r="CI35" s="385"/>
      <c r="CJ35" s="381"/>
      <c r="CK35" s="381"/>
      <c r="CL35" s="381"/>
      <c r="CM35" s="382"/>
    </row>
    <row r="36" spans="1:91" ht="25.5" customHeight="1">
      <c r="A36" s="386"/>
      <c r="B36" s="387"/>
      <c r="C36" s="387"/>
      <c r="D36" s="387"/>
      <c r="E36" s="372"/>
      <c r="F36" s="387"/>
      <c r="G36" s="372"/>
      <c r="H36" s="371"/>
      <c r="I36" s="375"/>
      <c r="J36" s="372"/>
      <c r="K36" s="373"/>
      <c r="L36" s="388"/>
      <c r="M36" s="387"/>
      <c r="N36" s="387"/>
      <c r="O36" s="387"/>
      <c r="P36" s="389"/>
      <c r="Q36" s="388"/>
      <c r="R36" s="387"/>
      <c r="S36" s="387"/>
      <c r="T36" s="387"/>
      <c r="U36" s="390"/>
      <c r="V36" s="386"/>
      <c r="W36" s="372"/>
      <c r="X36" s="372"/>
      <c r="Y36" s="372"/>
      <c r="Z36" s="373"/>
      <c r="AA36" s="374"/>
      <c r="AB36" s="372"/>
      <c r="AC36" s="372"/>
      <c r="AD36" s="372"/>
      <c r="AE36" s="371"/>
      <c r="AF36" s="375"/>
      <c r="AG36" s="372"/>
      <c r="AH36" s="372"/>
      <c r="AI36" s="372"/>
      <c r="AJ36" s="373"/>
      <c r="AK36" s="374"/>
      <c r="AL36" s="372"/>
      <c r="AM36" s="372"/>
      <c r="AN36" s="372"/>
      <c r="AO36" s="371"/>
      <c r="AP36" s="375"/>
      <c r="AQ36" s="372"/>
      <c r="AR36" s="372"/>
      <c r="AS36" s="372"/>
      <c r="AT36" s="373"/>
      <c r="AU36" s="374"/>
      <c r="AV36" s="372"/>
      <c r="AW36" s="372"/>
      <c r="AX36" s="372"/>
      <c r="AY36" s="371"/>
      <c r="AZ36" s="375"/>
      <c r="BA36" s="372"/>
      <c r="BB36" s="372"/>
      <c r="BC36" s="372"/>
      <c r="BD36" s="373"/>
      <c r="BE36" s="374"/>
      <c r="BF36" s="372"/>
      <c r="BG36" s="372"/>
      <c r="BH36" s="372"/>
      <c r="BI36" s="371"/>
      <c r="BJ36" s="375"/>
      <c r="BK36" s="372"/>
      <c r="BL36" s="372"/>
      <c r="BM36" s="372"/>
      <c r="BN36" s="373"/>
      <c r="BO36" s="374"/>
      <c r="BP36" s="372"/>
      <c r="BQ36" s="372"/>
      <c r="BR36" s="372"/>
      <c r="BS36" s="371"/>
      <c r="BT36" s="375"/>
      <c r="BU36" s="372"/>
      <c r="BV36" s="372"/>
      <c r="BW36" s="372"/>
      <c r="BX36" s="373"/>
      <c r="BY36" s="374"/>
      <c r="BZ36" s="372"/>
      <c r="CA36" s="372"/>
      <c r="CB36" s="372"/>
      <c r="CC36" s="371"/>
      <c r="CD36" s="375"/>
      <c r="CE36" s="372"/>
      <c r="CF36" s="372"/>
      <c r="CG36" s="372"/>
      <c r="CH36" s="371"/>
      <c r="CI36" s="375"/>
      <c r="CJ36" s="372"/>
      <c r="CK36" s="372"/>
      <c r="CL36" s="372"/>
      <c r="CM36" s="373"/>
    </row>
    <row r="37" spans="1:91" ht="25.5" customHeight="1">
      <c r="A37" s="386"/>
      <c r="B37" s="387"/>
      <c r="C37" s="387"/>
      <c r="D37" s="387"/>
      <c r="E37" s="372"/>
      <c r="F37" s="387"/>
      <c r="G37" s="372"/>
      <c r="H37" s="371"/>
      <c r="I37" s="375"/>
      <c r="J37" s="372"/>
      <c r="K37" s="373"/>
      <c r="L37" s="388"/>
      <c r="M37" s="387"/>
      <c r="N37" s="387"/>
      <c r="O37" s="387"/>
      <c r="P37" s="389"/>
      <c r="Q37" s="388"/>
      <c r="R37" s="387"/>
      <c r="S37" s="387"/>
      <c r="T37" s="387"/>
      <c r="U37" s="390"/>
      <c r="V37" s="386"/>
      <c r="W37" s="372"/>
      <c r="X37" s="372"/>
      <c r="Y37" s="372"/>
      <c r="Z37" s="373"/>
      <c r="AA37" s="374"/>
      <c r="AB37" s="372"/>
      <c r="AC37" s="372"/>
      <c r="AD37" s="372"/>
      <c r="AE37" s="371"/>
      <c r="AF37" s="375"/>
      <c r="AG37" s="372"/>
      <c r="AH37" s="372"/>
      <c r="AI37" s="372"/>
      <c r="AJ37" s="373"/>
      <c r="AK37" s="374"/>
      <c r="AL37" s="372"/>
      <c r="AM37" s="372"/>
      <c r="AN37" s="372"/>
      <c r="AO37" s="371"/>
      <c r="AP37" s="375"/>
      <c r="AQ37" s="372"/>
      <c r="AR37" s="372"/>
      <c r="AS37" s="372"/>
      <c r="AT37" s="373"/>
      <c r="AU37" s="374"/>
      <c r="AV37" s="372"/>
      <c r="AW37" s="372"/>
      <c r="AX37" s="372"/>
      <c r="AY37" s="371"/>
      <c r="AZ37" s="375"/>
      <c r="BA37" s="372"/>
      <c r="BB37" s="372"/>
      <c r="BC37" s="372"/>
      <c r="BD37" s="373"/>
      <c r="BE37" s="374"/>
      <c r="BF37" s="372"/>
      <c r="BG37" s="372"/>
      <c r="BH37" s="372"/>
      <c r="BI37" s="371"/>
      <c r="BJ37" s="375"/>
      <c r="BK37" s="372"/>
      <c r="BL37" s="372"/>
      <c r="BM37" s="372"/>
      <c r="BN37" s="373"/>
      <c r="BO37" s="374"/>
      <c r="BP37" s="372"/>
      <c r="BQ37" s="372"/>
      <c r="BR37" s="372"/>
      <c r="BS37" s="371"/>
      <c r="BT37" s="375"/>
      <c r="BU37" s="372"/>
      <c r="BV37" s="372"/>
      <c r="BW37" s="372"/>
      <c r="BX37" s="373"/>
      <c r="BY37" s="374"/>
      <c r="BZ37" s="372"/>
      <c r="CA37" s="372"/>
      <c r="CB37" s="372"/>
      <c r="CC37" s="371"/>
      <c r="CD37" s="375"/>
      <c r="CE37" s="372"/>
      <c r="CF37" s="372"/>
      <c r="CG37" s="372"/>
      <c r="CH37" s="371"/>
      <c r="CI37" s="375"/>
      <c r="CJ37" s="372"/>
      <c r="CK37" s="372"/>
      <c r="CL37" s="372"/>
      <c r="CM37" s="373"/>
    </row>
    <row r="38" spans="1:91" ht="25.5" customHeight="1">
      <c r="A38" s="386"/>
      <c r="B38" s="387"/>
      <c r="C38" s="387"/>
      <c r="D38" s="387"/>
      <c r="E38" s="372"/>
      <c r="F38" s="387"/>
      <c r="G38" s="372"/>
      <c r="H38" s="371"/>
      <c r="I38" s="375"/>
      <c r="J38" s="372"/>
      <c r="K38" s="373"/>
      <c r="L38" s="388"/>
      <c r="M38" s="387"/>
      <c r="N38" s="387"/>
      <c r="O38" s="387"/>
      <c r="P38" s="389"/>
      <c r="Q38" s="388"/>
      <c r="R38" s="387"/>
      <c r="S38" s="387"/>
      <c r="T38" s="387"/>
      <c r="U38" s="390"/>
      <c r="V38" s="386"/>
      <c r="W38" s="372"/>
      <c r="X38" s="372"/>
      <c r="Y38" s="372"/>
      <c r="Z38" s="373"/>
      <c r="AA38" s="374"/>
      <c r="AB38" s="372"/>
      <c r="AC38" s="372"/>
      <c r="AD38" s="372"/>
      <c r="AE38" s="371"/>
      <c r="AF38" s="375"/>
      <c r="AG38" s="372"/>
      <c r="AH38" s="372"/>
      <c r="AI38" s="372"/>
      <c r="AJ38" s="373"/>
      <c r="AK38" s="374"/>
      <c r="AL38" s="372"/>
      <c r="AM38" s="372"/>
      <c r="AN38" s="372"/>
      <c r="AO38" s="371"/>
      <c r="AP38" s="375"/>
      <c r="AQ38" s="372"/>
      <c r="AR38" s="372"/>
      <c r="AS38" s="372"/>
      <c r="AT38" s="373"/>
      <c r="AU38" s="374"/>
      <c r="AV38" s="372"/>
      <c r="AW38" s="372"/>
      <c r="AX38" s="372"/>
      <c r="AY38" s="371"/>
      <c r="AZ38" s="375"/>
      <c r="BA38" s="372"/>
      <c r="BB38" s="372"/>
      <c r="BC38" s="372"/>
      <c r="BD38" s="373"/>
      <c r="BE38" s="374"/>
      <c r="BF38" s="372"/>
      <c r="BG38" s="372"/>
      <c r="BH38" s="372"/>
      <c r="BI38" s="371"/>
      <c r="BJ38" s="375"/>
      <c r="BK38" s="372"/>
      <c r="BL38" s="372"/>
      <c r="BM38" s="372"/>
      <c r="BN38" s="373"/>
      <c r="BO38" s="374"/>
      <c r="BP38" s="372"/>
      <c r="BQ38" s="372"/>
      <c r="BR38" s="372"/>
      <c r="BS38" s="371"/>
      <c r="BT38" s="375"/>
      <c r="BU38" s="372"/>
      <c r="BV38" s="372"/>
      <c r="BW38" s="372"/>
      <c r="BX38" s="373"/>
      <c r="BY38" s="374"/>
      <c r="BZ38" s="372"/>
      <c r="CA38" s="372"/>
      <c r="CB38" s="372"/>
      <c r="CC38" s="371"/>
      <c r="CD38" s="375"/>
      <c r="CE38" s="372"/>
      <c r="CF38" s="372"/>
      <c r="CG38" s="372"/>
      <c r="CH38" s="371"/>
      <c r="CI38" s="375"/>
      <c r="CJ38" s="372"/>
      <c r="CK38" s="372"/>
      <c r="CL38" s="372"/>
      <c r="CM38" s="373"/>
    </row>
    <row r="39" spans="1:91" ht="25.5" customHeight="1" thickBot="1">
      <c r="A39" s="391"/>
      <c r="B39" s="392"/>
      <c r="C39" s="392"/>
      <c r="D39" s="392"/>
      <c r="E39" s="393"/>
      <c r="F39" s="392"/>
      <c r="G39" s="393"/>
      <c r="H39" s="394"/>
      <c r="I39" s="395"/>
      <c r="J39" s="393"/>
      <c r="K39" s="396"/>
      <c r="L39" s="397"/>
      <c r="M39" s="392"/>
      <c r="N39" s="392"/>
      <c r="O39" s="392"/>
      <c r="P39" s="398"/>
      <c r="Q39" s="397"/>
      <c r="R39" s="392"/>
      <c r="S39" s="392"/>
      <c r="T39" s="392"/>
      <c r="U39" s="399"/>
      <c r="V39" s="391"/>
      <c r="W39" s="393"/>
      <c r="X39" s="393"/>
      <c r="Y39" s="393"/>
      <c r="Z39" s="396"/>
      <c r="AA39" s="400"/>
      <c r="AB39" s="393"/>
      <c r="AC39" s="393"/>
      <c r="AD39" s="393"/>
      <c r="AE39" s="394"/>
      <c r="AF39" s="395"/>
      <c r="AG39" s="393"/>
      <c r="AH39" s="393"/>
      <c r="AI39" s="393"/>
      <c r="AJ39" s="396"/>
      <c r="AK39" s="400"/>
      <c r="AL39" s="393"/>
      <c r="AM39" s="393"/>
      <c r="AN39" s="393"/>
      <c r="AO39" s="394"/>
      <c r="AP39" s="395"/>
      <c r="AQ39" s="393"/>
      <c r="AR39" s="393"/>
      <c r="AS39" s="393"/>
      <c r="AT39" s="396"/>
      <c r="AU39" s="400"/>
      <c r="AV39" s="393"/>
      <c r="AW39" s="393"/>
      <c r="AX39" s="393"/>
      <c r="AY39" s="394"/>
      <c r="AZ39" s="395"/>
      <c r="BA39" s="393"/>
      <c r="BB39" s="393"/>
      <c r="BC39" s="393"/>
      <c r="BD39" s="396"/>
      <c r="BE39" s="400"/>
      <c r="BF39" s="393"/>
      <c r="BG39" s="393"/>
      <c r="BH39" s="393"/>
      <c r="BI39" s="394"/>
      <c r="BJ39" s="395"/>
      <c r="BK39" s="393"/>
      <c r="BL39" s="393"/>
      <c r="BM39" s="393"/>
      <c r="BN39" s="396"/>
      <c r="BO39" s="400"/>
      <c r="BP39" s="393"/>
      <c r="BQ39" s="393"/>
      <c r="BR39" s="393"/>
      <c r="BS39" s="394"/>
      <c r="BT39" s="395"/>
      <c r="BU39" s="393"/>
      <c r="BV39" s="393"/>
      <c r="BW39" s="393"/>
      <c r="BX39" s="396"/>
      <c r="BY39" s="400"/>
      <c r="BZ39" s="393"/>
      <c r="CA39" s="393"/>
      <c r="CB39" s="393"/>
      <c r="CC39" s="394"/>
      <c r="CD39" s="395"/>
      <c r="CE39" s="393"/>
      <c r="CF39" s="393"/>
      <c r="CG39" s="393"/>
      <c r="CH39" s="394"/>
      <c r="CI39" s="395"/>
      <c r="CJ39" s="393"/>
      <c r="CK39" s="393"/>
      <c r="CL39" s="393"/>
      <c r="CM39" s="396"/>
    </row>
    <row r="40" spans="1:91" ht="25.5" customHeight="1">
      <c r="A40" s="401"/>
      <c r="B40" s="402"/>
      <c r="C40" s="402"/>
      <c r="D40" s="402"/>
      <c r="E40" s="403"/>
      <c r="F40" s="402"/>
      <c r="G40" s="403"/>
      <c r="H40" s="404"/>
      <c r="I40" s="405"/>
      <c r="J40" s="403"/>
      <c r="K40" s="406"/>
      <c r="L40" s="407"/>
      <c r="M40" s="402"/>
      <c r="N40" s="402"/>
      <c r="O40" s="402"/>
      <c r="P40" s="408"/>
      <c r="Q40" s="407"/>
      <c r="R40" s="402"/>
      <c r="S40" s="402"/>
      <c r="T40" s="402"/>
      <c r="U40" s="409"/>
      <c r="V40" s="401"/>
      <c r="W40" s="403"/>
      <c r="X40" s="403"/>
      <c r="Y40" s="403"/>
      <c r="Z40" s="406"/>
      <c r="AA40" s="410"/>
      <c r="AB40" s="403"/>
      <c r="AC40" s="403"/>
      <c r="AD40" s="403"/>
      <c r="AE40" s="404"/>
      <c r="AF40" s="405"/>
      <c r="AG40" s="403"/>
      <c r="AH40" s="403"/>
      <c r="AI40" s="403"/>
      <c r="AJ40" s="406"/>
      <c r="AK40" s="410"/>
      <c r="AL40" s="403"/>
      <c r="AM40" s="403"/>
      <c r="AN40" s="403"/>
      <c r="AO40" s="404"/>
      <c r="AP40" s="405"/>
      <c r="AQ40" s="403"/>
      <c r="AR40" s="403"/>
      <c r="AS40" s="403"/>
      <c r="AT40" s="406"/>
      <c r="AU40" s="410"/>
      <c r="AV40" s="403"/>
      <c r="AW40" s="403"/>
      <c r="AX40" s="403"/>
      <c r="AY40" s="404"/>
      <c r="AZ40" s="405"/>
      <c r="BA40" s="403"/>
      <c r="BB40" s="403"/>
      <c r="BC40" s="403"/>
      <c r="BD40" s="406"/>
      <c r="BE40" s="410"/>
      <c r="BF40" s="403"/>
      <c r="BG40" s="403"/>
      <c r="BH40" s="403"/>
      <c r="BI40" s="404"/>
      <c r="BJ40" s="405"/>
      <c r="BK40" s="403"/>
      <c r="BL40" s="403"/>
      <c r="BM40" s="403"/>
      <c r="BN40" s="406"/>
      <c r="BO40" s="410"/>
      <c r="BP40" s="403"/>
      <c r="BQ40" s="403"/>
      <c r="BR40" s="403"/>
      <c r="BS40" s="404"/>
      <c r="BT40" s="405"/>
      <c r="BU40" s="403"/>
      <c r="BV40" s="403"/>
      <c r="BW40" s="403"/>
      <c r="BX40" s="406"/>
      <c r="BY40" s="410"/>
      <c r="BZ40" s="403"/>
      <c r="CA40" s="403"/>
      <c r="CB40" s="403"/>
      <c r="CC40" s="404"/>
      <c r="CD40" s="405"/>
      <c r="CE40" s="403"/>
      <c r="CF40" s="403"/>
      <c r="CG40" s="403"/>
      <c r="CH40" s="404"/>
      <c r="CI40" s="405"/>
      <c r="CJ40" s="403"/>
      <c r="CK40" s="403"/>
      <c r="CL40" s="403"/>
      <c r="CM40" s="406"/>
    </row>
    <row r="41" spans="1:91" ht="25.5" customHeight="1">
      <c r="A41" s="386"/>
      <c r="B41" s="387"/>
      <c r="C41" s="387"/>
      <c r="D41" s="387"/>
      <c r="E41" s="372"/>
      <c r="F41" s="387"/>
      <c r="G41" s="372"/>
      <c r="H41" s="371"/>
      <c r="I41" s="375"/>
      <c r="J41" s="372"/>
      <c r="K41" s="373"/>
      <c r="L41" s="388"/>
      <c r="M41" s="387"/>
      <c r="N41" s="387"/>
      <c r="O41" s="387"/>
      <c r="P41" s="389"/>
      <c r="Q41" s="388"/>
      <c r="R41" s="387"/>
      <c r="S41" s="387"/>
      <c r="T41" s="387"/>
      <c r="U41" s="390"/>
      <c r="V41" s="386"/>
      <c r="W41" s="372"/>
      <c r="X41" s="372"/>
      <c r="Y41" s="372"/>
      <c r="Z41" s="373"/>
      <c r="AA41" s="374"/>
      <c r="AB41" s="372"/>
      <c r="AC41" s="372"/>
      <c r="AD41" s="372"/>
      <c r="AE41" s="371"/>
      <c r="AF41" s="375"/>
      <c r="AG41" s="372"/>
      <c r="AH41" s="372"/>
      <c r="AI41" s="372"/>
      <c r="AJ41" s="373"/>
      <c r="AK41" s="374"/>
      <c r="AL41" s="372"/>
      <c r="AM41" s="372"/>
      <c r="AN41" s="372"/>
      <c r="AO41" s="371"/>
      <c r="AP41" s="375"/>
      <c r="AQ41" s="372"/>
      <c r="AR41" s="372"/>
      <c r="AS41" s="372"/>
      <c r="AT41" s="373"/>
      <c r="AU41" s="374"/>
      <c r="AV41" s="372"/>
      <c r="AW41" s="372"/>
      <c r="AX41" s="372"/>
      <c r="AY41" s="371"/>
      <c r="AZ41" s="375"/>
      <c r="BA41" s="372"/>
      <c r="BB41" s="372"/>
      <c r="BC41" s="372"/>
      <c r="BD41" s="373"/>
      <c r="BE41" s="374"/>
      <c r="BF41" s="372"/>
      <c r="BG41" s="372"/>
      <c r="BH41" s="372"/>
      <c r="BI41" s="371"/>
      <c r="BJ41" s="375"/>
      <c r="BK41" s="372"/>
      <c r="BL41" s="372"/>
      <c r="BM41" s="372"/>
      <c r="BN41" s="373"/>
      <c r="BO41" s="374"/>
      <c r="BP41" s="372"/>
      <c r="BQ41" s="372"/>
      <c r="BR41" s="372"/>
      <c r="BS41" s="371"/>
      <c r="BT41" s="375"/>
      <c r="BU41" s="372"/>
      <c r="BV41" s="372"/>
      <c r="BW41" s="372"/>
      <c r="BX41" s="373"/>
      <c r="BY41" s="374"/>
      <c r="BZ41" s="372"/>
      <c r="CA41" s="372"/>
      <c r="CB41" s="372"/>
      <c r="CC41" s="371"/>
      <c r="CD41" s="375"/>
      <c r="CE41" s="372"/>
      <c r="CF41" s="372"/>
      <c r="CG41" s="372"/>
      <c r="CH41" s="371"/>
      <c r="CI41" s="375"/>
      <c r="CJ41" s="372"/>
      <c r="CK41" s="372"/>
      <c r="CL41" s="372"/>
      <c r="CM41" s="373"/>
    </row>
    <row r="42" spans="1:91" ht="25.5" customHeight="1">
      <c r="A42" s="386"/>
      <c r="B42" s="387"/>
      <c r="C42" s="387"/>
      <c r="D42" s="387"/>
      <c r="E42" s="372"/>
      <c r="F42" s="387"/>
      <c r="G42" s="372"/>
      <c r="H42" s="371"/>
      <c r="I42" s="375"/>
      <c r="J42" s="372"/>
      <c r="K42" s="373"/>
      <c r="L42" s="388"/>
      <c r="M42" s="387"/>
      <c r="N42" s="387"/>
      <c r="O42" s="387"/>
      <c r="P42" s="389"/>
      <c r="Q42" s="388"/>
      <c r="R42" s="387"/>
      <c r="S42" s="387"/>
      <c r="T42" s="387"/>
      <c r="U42" s="390"/>
      <c r="V42" s="386"/>
      <c r="W42" s="372"/>
      <c r="X42" s="372"/>
      <c r="Y42" s="372"/>
      <c r="Z42" s="373"/>
      <c r="AA42" s="374"/>
      <c r="AB42" s="372"/>
      <c r="AC42" s="372"/>
      <c r="AD42" s="372"/>
      <c r="AE42" s="371"/>
      <c r="AF42" s="375"/>
      <c r="AG42" s="372"/>
      <c r="AH42" s="372"/>
      <c r="AI42" s="372"/>
      <c r="AJ42" s="373"/>
      <c r="AK42" s="374"/>
      <c r="AL42" s="372"/>
      <c r="AM42" s="372"/>
      <c r="AN42" s="372"/>
      <c r="AO42" s="371"/>
      <c r="AP42" s="375"/>
      <c r="AQ42" s="372"/>
      <c r="AR42" s="372"/>
      <c r="AS42" s="372"/>
      <c r="AT42" s="373"/>
      <c r="AU42" s="374"/>
      <c r="AV42" s="372"/>
      <c r="AW42" s="372"/>
      <c r="AX42" s="372"/>
      <c r="AY42" s="371"/>
      <c r="AZ42" s="375"/>
      <c r="BA42" s="372"/>
      <c r="BB42" s="372"/>
      <c r="BC42" s="372"/>
      <c r="BD42" s="373"/>
      <c r="BE42" s="374"/>
      <c r="BF42" s="372"/>
      <c r="BG42" s="372"/>
      <c r="BH42" s="372"/>
      <c r="BI42" s="371"/>
      <c r="BJ42" s="375"/>
      <c r="BK42" s="372"/>
      <c r="BL42" s="372"/>
      <c r="BM42" s="372"/>
      <c r="BN42" s="373"/>
      <c r="BO42" s="374"/>
      <c r="BP42" s="372"/>
      <c r="BQ42" s="372"/>
      <c r="BR42" s="372"/>
      <c r="BS42" s="371"/>
      <c r="BT42" s="375"/>
      <c r="BU42" s="372"/>
      <c r="BV42" s="372"/>
      <c r="BW42" s="372"/>
      <c r="BX42" s="373"/>
      <c r="BY42" s="374"/>
      <c r="BZ42" s="372"/>
      <c r="CA42" s="372"/>
      <c r="CB42" s="372"/>
      <c r="CC42" s="371"/>
      <c r="CD42" s="375"/>
      <c r="CE42" s="372"/>
      <c r="CF42" s="372"/>
      <c r="CG42" s="372"/>
      <c r="CH42" s="371"/>
      <c r="CI42" s="375"/>
      <c r="CJ42" s="372"/>
      <c r="CK42" s="372"/>
      <c r="CL42" s="372"/>
      <c r="CM42" s="373"/>
    </row>
    <row r="43" spans="1:91" ht="25.5" customHeight="1">
      <c r="A43" s="386"/>
      <c r="B43" s="387"/>
      <c r="C43" s="387"/>
      <c r="D43" s="387"/>
      <c r="E43" s="372"/>
      <c r="F43" s="387"/>
      <c r="G43" s="372"/>
      <c r="H43" s="371"/>
      <c r="I43" s="375"/>
      <c r="J43" s="372"/>
      <c r="K43" s="373"/>
      <c r="L43" s="388"/>
      <c r="M43" s="387"/>
      <c r="N43" s="387"/>
      <c r="O43" s="387"/>
      <c r="P43" s="389"/>
      <c r="Q43" s="388"/>
      <c r="R43" s="387"/>
      <c r="S43" s="387"/>
      <c r="T43" s="387"/>
      <c r="U43" s="390"/>
      <c r="V43" s="386"/>
      <c r="W43" s="372"/>
      <c r="X43" s="372"/>
      <c r="Y43" s="372"/>
      <c r="Z43" s="373"/>
      <c r="AA43" s="374"/>
      <c r="AB43" s="372"/>
      <c r="AC43" s="372"/>
      <c r="AD43" s="372"/>
      <c r="AE43" s="371"/>
      <c r="AF43" s="375"/>
      <c r="AG43" s="372"/>
      <c r="AH43" s="372"/>
      <c r="AI43" s="372"/>
      <c r="AJ43" s="373"/>
      <c r="AK43" s="374"/>
      <c r="AL43" s="372"/>
      <c r="AM43" s="372"/>
      <c r="AN43" s="372"/>
      <c r="AO43" s="371"/>
      <c r="AP43" s="375"/>
      <c r="AQ43" s="372"/>
      <c r="AR43" s="372"/>
      <c r="AS43" s="372"/>
      <c r="AT43" s="373"/>
      <c r="AU43" s="374"/>
      <c r="AV43" s="372"/>
      <c r="AW43" s="372"/>
      <c r="AX43" s="372"/>
      <c r="AY43" s="371"/>
      <c r="AZ43" s="375"/>
      <c r="BA43" s="372"/>
      <c r="BB43" s="372"/>
      <c r="BC43" s="372"/>
      <c r="BD43" s="373"/>
      <c r="BE43" s="374"/>
      <c r="BF43" s="372"/>
      <c r="BG43" s="372"/>
      <c r="BH43" s="372"/>
      <c r="BI43" s="371"/>
      <c r="BJ43" s="375"/>
      <c r="BK43" s="372"/>
      <c r="BL43" s="372"/>
      <c r="BM43" s="372"/>
      <c r="BN43" s="373"/>
      <c r="BO43" s="374"/>
      <c r="BP43" s="372"/>
      <c r="BQ43" s="372"/>
      <c r="BR43" s="372"/>
      <c r="BS43" s="371"/>
      <c r="BT43" s="375"/>
      <c r="BU43" s="372"/>
      <c r="BV43" s="372"/>
      <c r="BW43" s="372"/>
      <c r="BX43" s="373"/>
      <c r="BY43" s="374"/>
      <c r="BZ43" s="372"/>
      <c r="CA43" s="372"/>
      <c r="CB43" s="372"/>
      <c r="CC43" s="371"/>
      <c r="CD43" s="375"/>
      <c r="CE43" s="372"/>
      <c r="CF43" s="372"/>
      <c r="CG43" s="372"/>
      <c r="CH43" s="371"/>
      <c r="CI43" s="375"/>
      <c r="CJ43" s="372"/>
      <c r="CK43" s="372"/>
      <c r="CL43" s="372"/>
      <c r="CM43" s="373"/>
    </row>
    <row r="44" spans="1:91" ht="25.5" customHeight="1" thickBot="1">
      <c r="A44" s="411"/>
      <c r="B44" s="412"/>
      <c r="C44" s="412"/>
      <c r="D44" s="412"/>
      <c r="E44" s="377"/>
      <c r="F44" s="412"/>
      <c r="G44" s="377"/>
      <c r="H44" s="376"/>
      <c r="I44" s="380"/>
      <c r="J44" s="377"/>
      <c r="K44" s="378"/>
      <c r="L44" s="413"/>
      <c r="M44" s="412"/>
      <c r="N44" s="412"/>
      <c r="O44" s="412"/>
      <c r="P44" s="414"/>
      <c r="Q44" s="413"/>
      <c r="R44" s="412"/>
      <c r="S44" s="412"/>
      <c r="T44" s="412"/>
      <c r="U44" s="415"/>
      <c r="V44" s="411"/>
      <c r="W44" s="377"/>
      <c r="X44" s="377"/>
      <c r="Y44" s="377"/>
      <c r="Z44" s="378"/>
      <c r="AA44" s="379"/>
      <c r="AB44" s="377"/>
      <c r="AC44" s="377"/>
      <c r="AD44" s="377"/>
      <c r="AE44" s="376"/>
      <c r="AF44" s="380"/>
      <c r="AG44" s="377"/>
      <c r="AH44" s="377"/>
      <c r="AI44" s="377"/>
      <c r="AJ44" s="378"/>
      <c r="AK44" s="379"/>
      <c r="AL44" s="377"/>
      <c r="AM44" s="377"/>
      <c r="AN44" s="377"/>
      <c r="AO44" s="376"/>
      <c r="AP44" s="380"/>
      <c r="AQ44" s="377"/>
      <c r="AR44" s="377"/>
      <c r="AS44" s="377"/>
      <c r="AT44" s="378"/>
      <c r="AU44" s="379"/>
      <c r="AV44" s="377"/>
      <c r="AW44" s="377"/>
      <c r="AX44" s="377"/>
      <c r="AY44" s="376"/>
      <c r="AZ44" s="380"/>
      <c r="BA44" s="377"/>
      <c r="BB44" s="377"/>
      <c r="BC44" s="377"/>
      <c r="BD44" s="378"/>
      <c r="BE44" s="379"/>
      <c r="BF44" s="377"/>
      <c r="BG44" s="377"/>
      <c r="BH44" s="377"/>
      <c r="BI44" s="376"/>
      <c r="BJ44" s="380"/>
      <c r="BK44" s="377"/>
      <c r="BL44" s="377"/>
      <c r="BM44" s="377"/>
      <c r="BN44" s="378"/>
      <c r="BO44" s="379"/>
      <c r="BP44" s="377"/>
      <c r="BQ44" s="377"/>
      <c r="BR44" s="377"/>
      <c r="BS44" s="376"/>
      <c r="BT44" s="380"/>
      <c r="BU44" s="377"/>
      <c r="BV44" s="377"/>
      <c r="BW44" s="377"/>
      <c r="BX44" s="378"/>
      <c r="BY44" s="379"/>
      <c r="BZ44" s="377"/>
      <c r="CA44" s="377"/>
      <c r="CB44" s="377"/>
      <c r="CC44" s="376"/>
      <c r="CD44" s="380"/>
      <c r="CE44" s="377"/>
      <c r="CF44" s="377"/>
      <c r="CG44" s="377"/>
      <c r="CH44" s="376"/>
      <c r="CI44" s="380"/>
      <c r="CJ44" s="377"/>
      <c r="CK44" s="377"/>
      <c r="CL44" s="377"/>
      <c r="CM44" s="378"/>
    </row>
    <row r="45" spans="1:91" ht="25.5" customHeight="1">
      <c r="A45" s="416"/>
      <c r="B45" s="417"/>
      <c r="C45" s="417"/>
      <c r="D45" s="417"/>
      <c r="E45" s="381"/>
      <c r="F45" s="417"/>
      <c r="G45" s="381"/>
      <c r="H45" s="384"/>
      <c r="I45" s="385"/>
      <c r="J45" s="381"/>
      <c r="K45" s="382"/>
      <c r="L45" s="418"/>
      <c r="M45" s="417"/>
      <c r="N45" s="417"/>
      <c r="O45" s="417"/>
      <c r="P45" s="419"/>
      <c r="Q45" s="418"/>
      <c r="R45" s="417"/>
      <c r="S45" s="417"/>
      <c r="T45" s="417"/>
      <c r="U45" s="420"/>
      <c r="V45" s="416"/>
      <c r="W45" s="381"/>
      <c r="X45" s="381"/>
      <c r="Y45" s="381"/>
      <c r="Z45" s="382"/>
      <c r="AA45" s="383"/>
      <c r="AB45" s="381"/>
      <c r="AC45" s="381"/>
      <c r="AD45" s="381"/>
      <c r="AE45" s="384"/>
      <c r="AF45" s="385"/>
      <c r="AG45" s="381"/>
      <c r="AH45" s="381"/>
      <c r="AI45" s="381"/>
      <c r="AJ45" s="382"/>
      <c r="AK45" s="383"/>
      <c r="AL45" s="381"/>
      <c r="AM45" s="381"/>
      <c r="AN45" s="381"/>
      <c r="AO45" s="384"/>
      <c r="AP45" s="385"/>
      <c r="AQ45" s="381"/>
      <c r="AR45" s="381"/>
      <c r="AS45" s="381"/>
      <c r="AT45" s="382"/>
      <c r="AU45" s="383"/>
      <c r="AV45" s="381"/>
      <c r="AW45" s="381"/>
      <c r="AX45" s="381"/>
      <c r="AY45" s="384"/>
      <c r="AZ45" s="385"/>
      <c r="BA45" s="381"/>
      <c r="BB45" s="381"/>
      <c r="BC45" s="381"/>
      <c r="BD45" s="382"/>
      <c r="BE45" s="383"/>
      <c r="BF45" s="381"/>
      <c r="BG45" s="381"/>
      <c r="BH45" s="381"/>
      <c r="BI45" s="384"/>
      <c r="BJ45" s="385"/>
      <c r="BK45" s="381"/>
      <c r="BL45" s="381"/>
      <c r="BM45" s="381"/>
      <c r="BN45" s="382"/>
      <c r="BO45" s="383"/>
      <c r="BP45" s="381"/>
      <c r="BQ45" s="381"/>
      <c r="BR45" s="381"/>
      <c r="BS45" s="384"/>
      <c r="BT45" s="385"/>
      <c r="BU45" s="381"/>
      <c r="BV45" s="381"/>
      <c r="BW45" s="381"/>
      <c r="BX45" s="382"/>
      <c r="BY45" s="383"/>
      <c r="BZ45" s="381"/>
      <c r="CA45" s="381"/>
      <c r="CB45" s="381"/>
      <c r="CC45" s="384"/>
      <c r="CD45" s="385"/>
      <c r="CE45" s="381"/>
      <c r="CF45" s="381"/>
      <c r="CG45" s="381"/>
      <c r="CH45" s="384"/>
      <c r="CI45" s="385"/>
      <c r="CJ45" s="381"/>
      <c r="CK45" s="381"/>
      <c r="CL45" s="381"/>
      <c r="CM45" s="382"/>
    </row>
    <row r="46" spans="1:91" ht="25.5" customHeight="1">
      <c r="A46" s="386"/>
      <c r="B46" s="387"/>
      <c r="C46" s="387"/>
      <c r="D46" s="387"/>
      <c r="E46" s="372"/>
      <c r="F46" s="387"/>
      <c r="G46" s="372"/>
      <c r="H46" s="371"/>
      <c r="I46" s="375"/>
      <c r="J46" s="372"/>
      <c r="K46" s="373"/>
      <c r="L46" s="388"/>
      <c r="M46" s="387"/>
      <c r="N46" s="387"/>
      <c r="O46" s="387"/>
      <c r="P46" s="389"/>
      <c r="Q46" s="388"/>
      <c r="R46" s="387"/>
      <c r="S46" s="387"/>
      <c r="T46" s="387"/>
      <c r="U46" s="390"/>
      <c r="V46" s="386"/>
      <c r="W46" s="372"/>
      <c r="X46" s="372"/>
      <c r="Y46" s="372"/>
      <c r="Z46" s="373"/>
      <c r="AA46" s="374"/>
      <c r="AB46" s="372"/>
      <c r="AC46" s="372"/>
      <c r="AD46" s="372"/>
      <c r="AE46" s="371"/>
      <c r="AF46" s="375"/>
      <c r="AG46" s="372"/>
      <c r="AH46" s="372"/>
      <c r="AI46" s="372"/>
      <c r="AJ46" s="373"/>
      <c r="AK46" s="374"/>
      <c r="AL46" s="372"/>
      <c r="AM46" s="372"/>
      <c r="AN46" s="372"/>
      <c r="AO46" s="371"/>
      <c r="AP46" s="375"/>
      <c r="AQ46" s="372"/>
      <c r="AR46" s="372"/>
      <c r="AS46" s="372"/>
      <c r="AT46" s="373"/>
      <c r="AU46" s="374"/>
      <c r="AV46" s="372"/>
      <c r="AW46" s="372"/>
      <c r="AX46" s="372"/>
      <c r="AY46" s="371"/>
      <c r="AZ46" s="375"/>
      <c r="BA46" s="372"/>
      <c r="BB46" s="372"/>
      <c r="BC46" s="372"/>
      <c r="BD46" s="373"/>
      <c r="BE46" s="374"/>
      <c r="BF46" s="372"/>
      <c r="BG46" s="372"/>
      <c r="BH46" s="372"/>
      <c r="BI46" s="371"/>
      <c r="BJ46" s="375"/>
      <c r="BK46" s="372"/>
      <c r="BL46" s="372"/>
      <c r="BM46" s="372"/>
      <c r="BN46" s="373"/>
      <c r="BO46" s="374"/>
      <c r="BP46" s="372"/>
      <c r="BQ46" s="372"/>
      <c r="BR46" s="372"/>
      <c r="BS46" s="371"/>
      <c r="BT46" s="375"/>
      <c r="BU46" s="372"/>
      <c r="BV46" s="372"/>
      <c r="BW46" s="372"/>
      <c r="BX46" s="373"/>
      <c r="BY46" s="374"/>
      <c r="BZ46" s="372"/>
      <c r="CA46" s="372"/>
      <c r="CB46" s="372"/>
      <c r="CC46" s="371"/>
      <c r="CD46" s="375"/>
      <c r="CE46" s="372"/>
      <c r="CF46" s="372"/>
      <c r="CG46" s="372"/>
      <c r="CH46" s="371"/>
      <c r="CI46" s="375"/>
      <c r="CJ46" s="372"/>
      <c r="CK46" s="372"/>
      <c r="CL46" s="372"/>
      <c r="CM46" s="373"/>
    </row>
    <row r="47" spans="1:91" ht="25.5" customHeight="1">
      <c r="A47" s="386"/>
      <c r="B47" s="387"/>
      <c r="C47" s="387"/>
      <c r="D47" s="387"/>
      <c r="E47" s="372"/>
      <c r="F47" s="387"/>
      <c r="G47" s="372"/>
      <c r="H47" s="371"/>
      <c r="I47" s="375"/>
      <c r="J47" s="372"/>
      <c r="K47" s="373"/>
      <c r="L47" s="388"/>
      <c r="M47" s="387"/>
      <c r="N47" s="387"/>
      <c r="O47" s="387"/>
      <c r="P47" s="389"/>
      <c r="Q47" s="388"/>
      <c r="R47" s="387"/>
      <c r="S47" s="387"/>
      <c r="T47" s="387"/>
      <c r="U47" s="390"/>
      <c r="V47" s="386"/>
      <c r="W47" s="372"/>
      <c r="X47" s="372"/>
      <c r="Y47" s="372"/>
      <c r="Z47" s="373"/>
      <c r="AA47" s="374"/>
      <c r="AB47" s="372"/>
      <c r="AC47" s="372"/>
      <c r="AD47" s="372"/>
      <c r="AE47" s="371"/>
      <c r="AF47" s="375"/>
      <c r="AG47" s="372"/>
      <c r="AH47" s="372"/>
      <c r="AI47" s="372"/>
      <c r="AJ47" s="373"/>
      <c r="AK47" s="374"/>
      <c r="AL47" s="372"/>
      <c r="AM47" s="372"/>
      <c r="AN47" s="372"/>
      <c r="AO47" s="371"/>
      <c r="AP47" s="375"/>
      <c r="AQ47" s="372"/>
      <c r="AR47" s="372"/>
      <c r="AS47" s="372"/>
      <c r="AT47" s="373"/>
      <c r="AU47" s="374"/>
      <c r="AV47" s="372"/>
      <c r="AW47" s="372"/>
      <c r="AX47" s="372"/>
      <c r="AY47" s="371"/>
      <c r="AZ47" s="375"/>
      <c r="BA47" s="372"/>
      <c r="BB47" s="372"/>
      <c r="BC47" s="372"/>
      <c r="BD47" s="373"/>
      <c r="BE47" s="374"/>
      <c r="BF47" s="372"/>
      <c r="BG47" s="372"/>
      <c r="BH47" s="372"/>
      <c r="BI47" s="371"/>
      <c r="BJ47" s="375"/>
      <c r="BK47" s="372"/>
      <c r="BL47" s="372"/>
      <c r="BM47" s="372"/>
      <c r="BN47" s="373"/>
      <c r="BO47" s="374"/>
      <c r="BP47" s="372"/>
      <c r="BQ47" s="372"/>
      <c r="BR47" s="372"/>
      <c r="BS47" s="371"/>
      <c r="BT47" s="375"/>
      <c r="BU47" s="372"/>
      <c r="BV47" s="372"/>
      <c r="BW47" s="372"/>
      <c r="BX47" s="373"/>
      <c r="BY47" s="374"/>
      <c r="BZ47" s="372"/>
      <c r="CA47" s="372"/>
      <c r="CB47" s="372"/>
      <c r="CC47" s="371"/>
      <c r="CD47" s="375"/>
      <c r="CE47" s="372"/>
      <c r="CF47" s="372"/>
      <c r="CG47" s="372"/>
      <c r="CH47" s="371"/>
      <c r="CI47" s="375"/>
      <c r="CJ47" s="372"/>
      <c r="CK47" s="372"/>
      <c r="CL47" s="372"/>
      <c r="CM47" s="373"/>
    </row>
    <row r="48" spans="1:91" ht="25.5" customHeight="1">
      <c r="A48" s="386"/>
      <c r="B48" s="387"/>
      <c r="C48" s="387"/>
      <c r="D48" s="387"/>
      <c r="E48" s="372"/>
      <c r="F48" s="387"/>
      <c r="G48" s="372"/>
      <c r="H48" s="371"/>
      <c r="I48" s="375"/>
      <c r="J48" s="372"/>
      <c r="K48" s="373"/>
      <c r="L48" s="388"/>
      <c r="M48" s="387"/>
      <c r="N48" s="387"/>
      <c r="O48" s="387"/>
      <c r="P48" s="389"/>
      <c r="Q48" s="388"/>
      <c r="R48" s="387"/>
      <c r="S48" s="387"/>
      <c r="T48" s="387"/>
      <c r="U48" s="390"/>
      <c r="V48" s="386"/>
      <c r="W48" s="372"/>
      <c r="X48" s="372"/>
      <c r="Y48" s="372"/>
      <c r="Z48" s="373"/>
      <c r="AA48" s="374"/>
      <c r="AB48" s="372"/>
      <c r="AC48" s="372"/>
      <c r="AD48" s="372"/>
      <c r="AE48" s="371"/>
      <c r="AF48" s="375"/>
      <c r="AG48" s="372"/>
      <c r="AH48" s="372"/>
      <c r="AI48" s="372"/>
      <c r="AJ48" s="373"/>
      <c r="AK48" s="374"/>
      <c r="AL48" s="372"/>
      <c r="AM48" s="372"/>
      <c r="AN48" s="372"/>
      <c r="AO48" s="371"/>
      <c r="AP48" s="375"/>
      <c r="AQ48" s="372"/>
      <c r="AR48" s="372"/>
      <c r="AS48" s="372"/>
      <c r="AT48" s="373"/>
      <c r="AU48" s="374"/>
      <c r="AV48" s="372"/>
      <c r="AW48" s="372"/>
      <c r="AX48" s="372"/>
      <c r="AY48" s="371"/>
      <c r="AZ48" s="375"/>
      <c r="BA48" s="372"/>
      <c r="BB48" s="372"/>
      <c r="BC48" s="372"/>
      <c r="BD48" s="373"/>
      <c r="BE48" s="374"/>
      <c r="BF48" s="372"/>
      <c r="BG48" s="372"/>
      <c r="BH48" s="372"/>
      <c r="BI48" s="371"/>
      <c r="BJ48" s="375"/>
      <c r="BK48" s="372"/>
      <c r="BL48" s="372"/>
      <c r="BM48" s="372"/>
      <c r="BN48" s="373"/>
      <c r="BO48" s="374"/>
      <c r="BP48" s="372"/>
      <c r="BQ48" s="372"/>
      <c r="BR48" s="372"/>
      <c r="BS48" s="371"/>
      <c r="BT48" s="375"/>
      <c r="BU48" s="372"/>
      <c r="BV48" s="372"/>
      <c r="BW48" s="372"/>
      <c r="BX48" s="373"/>
      <c r="BY48" s="374"/>
      <c r="BZ48" s="372"/>
      <c r="CA48" s="372"/>
      <c r="CB48" s="372"/>
      <c r="CC48" s="371"/>
      <c r="CD48" s="375"/>
      <c r="CE48" s="372"/>
      <c r="CF48" s="372"/>
      <c r="CG48" s="372"/>
      <c r="CH48" s="371"/>
      <c r="CI48" s="375"/>
      <c r="CJ48" s="372"/>
      <c r="CK48" s="372"/>
      <c r="CL48" s="372"/>
      <c r="CM48" s="373"/>
    </row>
    <row r="49" spans="1:91" ht="25.5" customHeight="1" thickBot="1">
      <c r="A49" s="391"/>
      <c r="B49" s="392"/>
      <c r="C49" s="392"/>
      <c r="D49" s="392"/>
      <c r="E49" s="393"/>
      <c r="F49" s="392"/>
      <c r="G49" s="393"/>
      <c r="H49" s="394"/>
      <c r="I49" s="395"/>
      <c r="J49" s="393"/>
      <c r="K49" s="396"/>
      <c r="L49" s="397"/>
      <c r="M49" s="392"/>
      <c r="N49" s="392"/>
      <c r="O49" s="392"/>
      <c r="P49" s="398"/>
      <c r="Q49" s="397"/>
      <c r="R49" s="392"/>
      <c r="S49" s="392"/>
      <c r="T49" s="392"/>
      <c r="U49" s="399"/>
      <c r="V49" s="391"/>
      <c r="W49" s="393"/>
      <c r="X49" s="393"/>
      <c r="Y49" s="393"/>
      <c r="Z49" s="396"/>
      <c r="AA49" s="400"/>
      <c r="AB49" s="393"/>
      <c r="AC49" s="393"/>
      <c r="AD49" s="393"/>
      <c r="AE49" s="394"/>
      <c r="AF49" s="395"/>
      <c r="AG49" s="393"/>
      <c r="AH49" s="393"/>
      <c r="AI49" s="393"/>
      <c r="AJ49" s="396"/>
      <c r="AK49" s="400"/>
      <c r="AL49" s="393"/>
      <c r="AM49" s="393"/>
      <c r="AN49" s="393"/>
      <c r="AO49" s="394"/>
      <c r="AP49" s="395"/>
      <c r="AQ49" s="393"/>
      <c r="AR49" s="393"/>
      <c r="AS49" s="393"/>
      <c r="AT49" s="396"/>
      <c r="AU49" s="400"/>
      <c r="AV49" s="393"/>
      <c r="AW49" s="393"/>
      <c r="AX49" s="393"/>
      <c r="AY49" s="394"/>
      <c r="AZ49" s="395"/>
      <c r="BA49" s="393"/>
      <c r="BB49" s="393"/>
      <c r="BC49" s="393"/>
      <c r="BD49" s="396"/>
      <c r="BE49" s="400"/>
      <c r="BF49" s="393"/>
      <c r="BG49" s="393"/>
      <c r="BH49" s="393"/>
      <c r="BI49" s="394"/>
      <c r="BJ49" s="395"/>
      <c r="BK49" s="393"/>
      <c r="BL49" s="393"/>
      <c r="BM49" s="393"/>
      <c r="BN49" s="396"/>
      <c r="BO49" s="400"/>
      <c r="BP49" s="393"/>
      <c r="BQ49" s="393"/>
      <c r="BR49" s="393"/>
      <c r="BS49" s="394"/>
      <c r="BT49" s="395"/>
      <c r="BU49" s="393"/>
      <c r="BV49" s="393"/>
      <c r="BW49" s="393"/>
      <c r="BX49" s="396"/>
      <c r="BY49" s="400"/>
      <c r="BZ49" s="393"/>
      <c r="CA49" s="393"/>
      <c r="CB49" s="393"/>
      <c r="CC49" s="394"/>
      <c r="CD49" s="395"/>
      <c r="CE49" s="393"/>
      <c r="CF49" s="393"/>
      <c r="CG49" s="393"/>
      <c r="CH49" s="394"/>
      <c r="CI49" s="395"/>
      <c r="CJ49" s="393"/>
      <c r="CK49" s="393"/>
      <c r="CL49" s="393"/>
      <c r="CM49" s="396"/>
    </row>
    <row r="50" spans="1:91" ht="25.5" customHeight="1">
      <c r="A50" s="401"/>
      <c r="B50" s="402"/>
      <c r="C50" s="402"/>
      <c r="D50" s="402"/>
      <c r="E50" s="403"/>
      <c r="F50" s="402"/>
      <c r="G50" s="403"/>
      <c r="H50" s="404"/>
      <c r="I50" s="405"/>
      <c r="J50" s="403"/>
      <c r="K50" s="406"/>
      <c r="L50" s="407"/>
      <c r="M50" s="402"/>
      <c r="N50" s="402"/>
      <c r="O50" s="402"/>
      <c r="P50" s="408"/>
      <c r="Q50" s="407"/>
      <c r="R50" s="402"/>
      <c r="S50" s="402"/>
      <c r="T50" s="402"/>
      <c r="U50" s="409"/>
      <c r="V50" s="401"/>
      <c r="W50" s="403"/>
      <c r="X50" s="403"/>
      <c r="Y50" s="403"/>
      <c r="Z50" s="406"/>
      <c r="AA50" s="410"/>
      <c r="AB50" s="403"/>
      <c r="AC50" s="403"/>
      <c r="AD50" s="403"/>
      <c r="AE50" s="404"/>
      <c r="AF50" s="405"/>
      <c r="AG50" s="403"/>
      <c r="AH50" s="403"/>
      <c r="AI50" s="403"/>
      <c r="AJ50" s="406"/>
      <c r="AK50" s="410"/>
      <c r="AL50" s="403"/>
      <c r="AM50" s="403"/>
      <c r="AN50" s="403"/>
      <c r="AO50" s="404"/>
      <c r="AP50" s="405"/>
      <c r="AQ50" s="403"/>
      <c r="AR50" s="403"/>
      <c r="AS50" s="403"/>
      <c r="AT50" s="406"/>
      <c r="AU50" s="410"/>
      <c r="AV50" s="403"/>
      <c r="AW50" s="403"/>
      <c r="AX50" s="403"/>
      <c r="AY50" s="404"/>
      <c r="AZ50" s="405"/>
      <c r="BA50" s="403"/>
      <c r="BB50" s="403"/>
      <c r="BC50" s="403"/>
      <c r="BD50" s="406"/>
      <c r="BE50" s="410"/>
      <c r="BF50" s="403"/>
      <c r="BG50" s="403"/>
      <c r="BH50" s="403"/>
      <c r="BI50" s="404"/>
      <c r="BJ50" s="405"/>
      <c r="BK50" s="403"/>
      <c r="BL50" s="403"/>
      <c r="BM50" s="403"/>
      <c r="BN50" s="406"/>
      <c r="BO50" s="410"/>
      <c r="BP50" s="403"/>
      <c r="BQ50" s="403"/>
      <c r="BR50" s="403"/>
      <c r="BS50" s="404"/>
      <c r="BT50" s="405"/>
      <c r="BU50" s="403"/>
      <c r="BV50" s="403"/>
      <c r="BW50" s="403"/>
      <c r="BX50" s="406"/>
      <c r="BY50" s="410"/>
      <c r="BZ50" s="403"/>
      <c r="CA50" s="403"/>
      <c r="CB50" s="403"/>
      <c r="CC50" s="404"/>
      <c r="CD50" s="405"/>
      <c r="CE50" s="403"/>
      <c r="CF50" s="403"/>
      <c r="CG50" s="403"/>
      <c r="CH50" s="404"/>
      <c r="CI50" s="405"/>
      <c r="CJ50" s="403"/>
      <c r="CK50" s="403"/>
      <c r="CL50" s="403"/>
      <c r="CM50" s="406"/>
    </row>
    <row r="51" spans="1:91" ht="25.5" customHeight="1">
      <c r="A51" s="386"/>
      <c r="B51" s="387"/>
      <c r="C51" s="387"/>
      <c r="D51" s="387"/>
      <c r="E51" s="372"/>
      <c r="F51" s="387"/>
      <c r="G51" s="372"/>
      <c r="H51" s="371"/>
      <c r="I51" s="375"/>
      <c r="J51" s="372"/>
      <c r="K51" s="373"/>
      <c r="L51" s="388"/>
      <c r="M51" s="387"/>
      <c r="N51" s="387"/>
      <c r="O51" s="387"/>
      <c r="P51" s="389"/>
      <c r="Q51" s="388"/>
      <c r="R51" s="387"/>
      <c r="S51" s="387"/>
      <c r="T51" s="387"/>
      <c r="U51" s="390"/>
      <c r="V51" s="386"/>
      <c r="W51" s="372"/>
      <c r="X51" s="372"/>
      <c r="Y51" s="372"/>
      <c r="Z51" s="373"/>
      <c r="AA51" s="374"/>
      <c r="AB51" s="372"/>
      <c r="AC51" s="372"/>
      <c r="AD51" s="372"/>
      <c r="AE51" s="371"/>
      <c r="AF51" s="375"/>
      <c r="AG51" s="372"/>
      <c r="AH51" s="372"/>
      <c r="AI51" s="372"/>
      <c r="AJ51" s="373"/>
      <c r="AK51" s="374"/>
      <c r="AL51" s="372"/>
      <c r="AM51" s="372"/>
      <c r="AN51" s="372"/>
      <c r="AO51" s="371"/>
      <c r="AP51" s="375"/>
      <c r="AQ51" s="372"/>
      <c r="AR51" s="372"/>
      <c r="AS51" s="372"/>
      <c r="AT51" s="373"/>
      <c r="AU51" s="374"/>
      <c r="AV51" s="372"/>
      <c r="AW51" s="372"/>
      <c r="AX51" s="372"/>
      <c r="AY51" s="371"/>
      <c r="AZ51" s="375"/>
      <c r="BA51" s="372"/>
      <c r="BB51" s="372"/>
      <c r="BC51" s="372"/>
      <c r="BD51" s="373"/>
      <c r="BE51" s="374"/>
      <c r="BF51" s="372"/>
      <c r="BG51" s="372"/>
      <c r="BH51" s="372"/>
      <c r="BI51" s="371"/>
      <c r="BJ51" s="375"/>
      <c r="BK51" s="372"/>
      <c r="BL51" s="372"/>
      <c r="BM51" s="372"/>
      <c r="BN51" s="373"/>
      <c r="BO51" s="374"/>
      <c r="BP51" s="372"/>
      <c r="BQ51" s="372"/>
      <c r="BR51" s="372"/>
      <c r="BS51" s="371"/>
      <c r="BT51" s="375"/>
      <c r="BU51" s="372"/>
      <c r="BV51" s="372"/>
      <c r="BW51" s="372"/>
      <c r="BX51" s="373"/>
      <c r="BY51" s="374"/>
      <c r="BZ51" s="372"/>
      <c r="CA51" s="372"/>
      <c r="CB51" s="372"/>
      <c r="CC51" s="371"/>
      <c r="CD51" s="375"/>
      <c r="CE51" s="372"/>
      <c r="CF51" s="372"/>
      <c r="CG51" s="372"/>
      <c r="CH51" s="371"/>
      <c r="CI51" s="375"/>
      <c r="CJ51" s="372"/>
      <c r="CK51" s="372"/>
      <c r="CL51" s="372"/>
      <c r="CM51" s="373"/>
    </row>
    <row r="52" spans="1:91" ht="25.5" customHeight="1">
      <c r="A52" s="386"/>
      <c r="B52" s="387"/>
      <c r="C52" s="387"/>
      <c r="D52" s="387"/>
      <c r="E52" s="372"/>
      <c r="F52" s="387"/>
      <c r="G52" s="372"/>
      <c r="H52" s="371"/>
      <c r="I52" s="375"/>
      <c r="J52" s="372"/>
      <c r="K52" s="373"/>
      <c r="L52" s="388"/>
      <c r="M52" s="387"/>
      <c r="N52" s="387"/>
      <c r="O52" s="387"/>
      <c r="P52" s="389"/>
      <c r="Q52" s="388"/>
      <c r="R52" s="387"/>
      <c r="S52" s="387"/>
      <c r="T52" s="387"/>
      <c r="U52" s="390"/>
      <c r="V52" s="386"/>
      <c r="W52" s="372"/>
      <c r="X52" s="372"/>
      <c r="Y52" s="372"/>
      <c r="Z52" s="373"/>
      <c r="AA52" s="374"/>
      <c r="AB52" s="372"/>
      <c r="AC52" s="372"/>
      <c r="AD52" s="372"/>
      <c r="AE52" s="371"/>
      <c r="AF52" s="375"/>
      <c r="AG52" s="372"/>
      <c r="AH52" s="372"/>
      <c r="AI52" s="372"/>
      <c r="AJ52" s="373"/>
      <c r="AK52" s="374"/>
      <c r="AL52" s="372"/>
      <c r="AM52" s="372"/>
      <c r="AN52" s="372"/>
      <c r="AO52" s="371"/>
      <c r="AP52" s="375"/>
      <c r="AQ52" s="372"/>
      <c r="AR52" s="372"/>
      <c r="AS52" s="372"/>
      <c r="AT52" s="373"/>
      <c r="AU52" s="374"/>
      <c r="AV52" s="372"/>
      <c r="AW52" s="372"/>
      <c r="AX52" s="372"/>
      <c r="AY52" s="371"/>
      <c r="AZ52" s="375"/>
      <c r="BA52" s="372"/>
      <c r="BB52" s="372"/>
      <c r="BC52" s="372"/>
      <c r="BD52" s="373"/>
      <c r="BE52" s="374"/>
      <c r="BF52" s="372"/>
      <c r="BG52" s="372"/>
      <c r="BH52" s="372"/>
      <c r="BI52" s="371"/>
      <c r="BJ52" s="375"/>
      <c r="BK52" s="372"/>
      <c r="BL52" s="372"/>
      <c r="BM52" s="372"/>
      <c r="BN52" s="373"/>
      <c r="BO52" s="374"/>
      <c r="BP52" s="372"/>
      <c r="BQ52" s="372"/>
      <c r="BR52" s="372"/>
      <c r="BS52" s="371"/>
      <c r="BT52" s="375"/>
      <c r="BU52" s="372"/>
      <c r="BV52" s="372"/>
      <c r="BW52" s="372"/>
      <c r="BX52" s="373"/>
      <c r="BY52" s="374"/>
      <c r="BZ52" s="372"/>
      <c r="CA52" s="372"/>
      <c r="CB52" s="372"/>
      <c r="CC52" s="371"/>
      <c r="CD52" s="375"/>
      <c r="CE52" s="372"/>
      <c r="CF52" s="372"/>
      <c r="CG52" s="372"/>
      <c r="CH52" s="371"/>
      <c r="CI52" s="375"/>
      <c r="CJ52" s="372"/>
      <c r="CK52" s="372"/>
      <c r="CL52" s="372"/>
      <c r="CM52" s="373"/>
    </row>
    <row r="53" spans="1:91" ht="25.5" customHeight="1">
      <c r="A53" s="386"/>
      <c r="B53" s="387"/>
      <c r="C53" s="387"/>
      <c r="D53" s="387"/>
      <c r="E53" s="372"/>
      <c r="F53" s="387"/>
      <c r="G53" s="372"/>
      <c r="H53" s="371"/>
      <c r="I53" s="375"/>
      <c r="J53" s="372"/>
      <c r="K53" s="373"/>
      <c r="L53" s="388"/>
      <c r="M53" s="387"/>
      <c r="N53" s="387"/>
      <c r="O53" s="387"/>
      <c r="P53" s="389"/>
      <c r="Q53" s="388"/>
      <c r="R53" s="387"/>
      <c r="S53" s="387"/>
      <c r="T53" s="387"/>
      <c r="U53" s="390"/>
      <c r="V53" s="386"/>
      <c r="W53" s="372"/>
      <c r="X53" s="372"/>
      <c r="Y53" s="372"/>
      <c r="Z53" s="373"/>
      <c r="AA53" s="374"/>
      <c r="AB53" s="372"/>
      <c r="AC53" s="372"/>
      <c r="AD53" s="372"/>
      <c r="AE53" s="371"/>
      <c r="AF53" s="375"/>
      <c r="AG53" s="372"/>
      <c r="AH53" s="372"/>
      <c r="AI53" s="372"/>
      <c r="AJ53" s="373"/>
      <c r="AK53" s="374"/>
      <c r="AL53" s="372"/>
      <c r="AM53" s="372"/>
      <c r="AN53" s="372"/>
      <c r="AO53" s="371"/>
      <c r="AP53" s="375"/>
      <c r="AQ53" s="372"/>
      <c r="AR53" s="372"/>
      <c r="AS53" s="372"/>
      <c r="AT53" s="373"/>
      <c r="AU53" s="374"/>
      <c r="AV53" s="372"/>
      <c r="AW53" s="372"/>
      <c r="AX53" s="372"/>
      <c r="AY53" s="371"/>
      <c r="AZ53" s="375"/>
      <c r="BA53" s="372"/>
      <c r="BB53" s="372"/>
      <c r="BC53" s="372"/>
      <c r="BD53" s="373"/>
      <c r="BE53" s="374"/>
      <c r="BF53" s="372"/>
      <c r="BG53" s="372"/>
      <c r="BH53" s="372"/>
      <c r="BI53" s="371"/>
      <c r="BJ53" s="375"/>
      <c r="BK53" s="372"/>
      <c r="BL53" s="372"/>
      <c r="BM53" s="372"/>
      <c r="BN53" s="373"/>
      <c r="BO53" s="374"/>
      <c r="BP53" s="372"/>
      <c r="BQ53" s="372"/>
      <c r="BR53" s="372"/>
      <c r="BS53" s="371"/>
      <c r="BT53" s="375"/>
      <c r="BU53" s="372"/>
      <c r="BV53" s="372"/>
      <c r="BW53" s="372"/>
      <c r="BX53" s="373"/>
      <c r="BY53" s="374"/>
      <c r="BZ53" s="372"/>
      <c r="CA53" s="372"/>
      <c r="CB53" s="372"/>
      <c r="CC53" s="371"/>
      <c r="CD53" s="375"/>
      <c r="CE53" s="372"/>
      <c r="CF53" s="372"/>
      <c r="CG53" s="372"/>
      <c r="CH53" s="371"/>
      <c r="CI53" s="375"/>
      <c r="CJ53" s="372"/>
      <c r="CK53" s="372"/>
      <c r="CL53" s="372"/>
      <c r="CM53" s="373"/>
    </row>
    <row r="54" spans="1:91" ht="25.5" customHeight="1" thickBot="1">
      <c r="A54" s="411"/>
      <c r="B54" s="412"/>
      <c r="C54" s="412"/>
      <c r="D54" s="412"/>
      <c r="E54" s="377"/>
      <c r="F54" s="412"/>
      <c r="G54" s="377"/>
      <c r="H54" s="376"/>
      <c r="I54" s="380"/>
      <c r="J54" s="377"/>
      <c r="K54" s="378"/>
      <c r="L54" s="413"/>
      <c r="M54" s="412"/>
      <c r="N54" s="412"/>
      <c r="O54" s="412"/>
      <c r="P54" s="414"/>
      <c r="Q54" s="413"/>
      <c r="R54" s="412"/>
      <c r="S54" s="412"/>
      <c r="T54" s="412"/>
      <c r="U54" s="415"/>
      <c r="V54" s="411"/>
      <c r="W54" s="377"/>
      <c r="X54" s="377"/>
      <c r="Y54" s="377"/>
      <c r="Z54" s="378"/>
      <c r="AA54" s="379"/>
      <c r="AB54" s="377"/>
      <c r="AC54" s="377"/>
      <c r="AD54" s="377"/>
      <c r="AE54" s="376"/>
      <c r="AF54" s="380"/>
      <c r="AG54" s="377"/>
      <c r="AH54" s="377"/>
      <c r="AI54" s="377"/>
      <c r="AJ54" s="378"/>
      <c r="AK54" s="379"/>
      <c r="AL54" s="377"/>
      <c r="AM54" s="377"/>
      <c r="AN54" s="377"/>
      <c r="AO54" s="376"/>
      <c r="AP54" s="380"/>
      <c r="AQ54" s="377"/>
      <c r="AR54" s="377"/>
      <c r="AS54" s="377"/>
      <c r="AT54" s="378"/>
      <c r="AU54" s="379"/>
      <c r="AV54" s="377"/>
      <c r="AW54" s="377"/>
      <c r="AX54" s="377"/>
      <c r="AY54" s="376"/>
      <c r="AZ54" s="380"/>
      <c r="BA54" s="377"/>
      <c r="BB54" s="377"/>
      <c r="BC54" s="377"/>
      <c r="BD54" s="378"/>
      <c r="BE54" s="379"/>
      <c r="BF54" s="377"/>
      <c r="BG54" s="377"/>
      <c r="BH54" s="377"/>
      <c r="BI54" s="376"/>
      <c r="BJ54" s="380"/>
      <c r="BK54" s="377"/>
      <c r="BL54" s="377"/>
      <c r="BM54" s="377"/>
      <c r="BN54" s="378"/>
      <c r="BO54" s="379"/>
      <c r="BP54" s="377"/>
      <c r="BQ54" s="377"/>
      <c r="BR54" s="377"/>
      <c r="BS54" s="376"/>
      <c r="BT54" s="380"/>
      <c r="BU54" s="377"/>
      <c r="BV54" s="377"/>
      <c r="BW54" s="377"/>
      <c r="BX54" s="378"/>
      <c r="BY54" s="379"/>
      <c r="BZ54" s="377"/>
      <c r="CA54" s="377"/>
      <c r="CB54" s="377"/>
      <c r="CC54" s="376"/>
      <c r="CD54" s="380"/>
      <c r="CE54" s="377"/>
      <c r="CF54" s="377"/>
      <c r="CG54" s="377"/>
      <c r="CH54" s="376"/>
      <c r="CI54" s="380"/>
      <c r="CJ54" s="377"/>
      <c r="CK54" s="377"/>
      <c r="CL54" s="377"/>
      <c r="CM54" s="378"/>
    </row>
    <row r="55" spans="1:91" ht="25.5" customHeight="1">
      <c r="A55" s="416"/>
      <c r="B55" s="417"/>
      <c r="C55" s="417"/>
      <c r="D55" s="417"/>
      <c r="E55" s="381"/>
      <c r="F55" s="417"/>
      <c r="G55" s="381"/>
      <c r="H55" s="384"/>
      <c r="I55" s="385"/>
      <c r="J55" s="381"/>
      <c r="K55" s="382"/>
      <c r="L55" s="418"/>
      <c r="M55" s="417"/>
      <c r="N55" s="417"/>
      <c r="O55" s="417"/>
      <c r="P55" s="419"/>
      <c r="Q55" s="418"/>
      <c r="R55" s="417"/>
      <c r="S55" s="417"/>
      <c r="T55" s="417"/>
      <c r="U55" s="420"/>
      <c r="V55" s="416"/>
      <c r="W55" s="381"/>
      <c r="X55" s="381"/>
      <c r="Y55" s="381"/>
      <c r="Z55" s="382"/>
      <c r="AA55" s="383"/>
      <c r="AB55" s="381"/>
      <c r="AC55" s="381"/>
      <c r="AD55" s="381"/>
      <c r="AE55" s="384"/>
      <c r="AF55" s="385"/>
      <c r="AG55" s="381"/>
      <c r="AH55" s="381"/>
      <c r="AI55" s="381"/>
      <c r="AJ55" s="382"/>
      <c r="AK55" s="383"/>
      <c r="AL55" s="381"/>
      <c r="AM55" s="381"/>
      <c r="AN55" s="381"/>
      <c r="AO55" s="384"/>
      <c r="AP55" s="385"/>
      <c r="AQ55" s="381"/>
      <c r="AR55" s="381"/>
      <c r="AS55" s="381"/>
      <c r="AT55" s="382"/>
      <c r="AU55" s="383"/>
      <c r="AV55" s="381"/>
      <c r="AW55" s="381"/>
      <c r="AX55" s="381"/>
      <c r="AY55" s="384"/>
      <c r="AZ55" s="385"/>
      <c r="BA55" s="381"/>
      <c r="BB55" s="381"/>
      <c r="BC55" s="381"/>
      <c r="BD55" s="382"/>
      <c r="BE55" s="383"/>
      <c r="BF55" s="381"/>
      <c r="BG55" s="381"/>
      <c r="BH55" s="381"/>
      <c r="BI55" s="384"/>
      <c r="BJ55" s="385"/>
      <c r="BK55" s="381"/>
      <c r="BL55" s="381"/>
      <c r="BM55" s="381"/>
      <c r="BN55" s="382"/>
      <c r="BO55" s="383"/>
      <c r="BP55" s="381"/>
      <c r="BQ55" s="381"/>
      <c r="BR55" s="381"/>
      <c r="BS55" s="384"/>
      <c r="BT55" s="385"/>
      <c r="BU55" s="381"/>
      <c r="BV55" s="381"/>
      <c r="BW55" s="381"/>
      <c r="BX55" s="382"/>
      <c r="BY55" s="383"/>
      <c r="BZ55" s="381"/>
      <c r="CA55" s="381"/>
      <c r="CB55" s="381"/>
      <c r="CC55" s="384"/>
      <c r="CD55" s="385"/>
      <c r="CE55" s="381"/>
      <c r="CF55" s="381"/>
      <c r="CG55" s="381"/>
      <c r="CH55" s="384"/>
      <c r="CI55" s="385"/>
      <c r="CJ55" s="381"/>
      <c r="CK55" s="381"/>
      <c r="CL55" s="381"/>
      <c r="CM55" s="382"/>
    </row>
    <row r="56" spans="1:91" ht="25.5" customHeight="1">
      <c r="A56" s="386"/>
      <c r="B56" s="387"/>
      <c r="C56" s="387"/>
      <c r="D56" s="387"/>
      <c r="E56" s="372"/>
      <c r="F56" s="387"/>
      <c r="G56" s="372"/>
      <c r="H56" s="371"/>
      <c r="I56" s="375"/>
      <c r="J56" s="372"/>
      <c r="K56" s="373"/>
      <c r="L56" s="388"/>
      <c r="M56" s="387"/>
      <c r="N56" s="387"/>
      <c r="O56" s="387"/>
      <c r="P56" s="389"/>
      <c r="Q56" s="388"/>
      <c r="R56" s="387"/>
      <c r="S56" s="387"/>
      <c r="T56" s="387"/>
      <c r="U56" s="390"/>
      <c r="V56" s="386"/>
      <c r="W56" s="372"/>
      <c r="X56" s="372"/>
      <c r="Y56" s="372"/>
      <c r="Z56" s="373"/>
      <c r="AA56" s="374"/>
      <c r="AB56" s="372"/>
      <c r="AC56" s="372"/>
      <c r="AD56" s="372"/>
      <c r="AE56" s="371"/>
      <c r="AF56" s="375"/>
      <c r="AG56" s="372"/>
      <c r="AH56" s="372"/>
      <c r="AI56" s="372"/>
      <c r="AJ56" s="373"/>
      <c r="AK56" s="374"/>
      <c r="AL56" s="372"/>
      <c r="AM56" s="372"/>
      <c r="AN56" s="372"/>
      <c r="AO56" s="371"/>
      <c r="AP56" s="375"/>
      <c r="AQ56" s="372"/>
      <c r="AR56" s="372"/>
      <c r="AS56" s="372"/>
      <c r="AT56" s="373"/>
      <c r="AU56" s="374"/>
      <c r="AV56" s="372"/>
      <c r="AW56" s="372"/>
      <c r="AX56" s="372"/>
      <c r="AY56" s="371"/>
      <c r="AZ56" s="375"/>
      <c r="BA56" s="372"/>
      <c r="BB56" s="372"/>
      <c r="BC56" s="372"/>
      <c r="BD56" s="373"/>
      <c r="BE56" s="374"/>
      <c r="BF56" s="372"/>
      <c r="BG56" s="372"/>
      <c r="BH56" s="372"/>
      <c r="BI56" s="371"/>
      <c r="BJ56" s="375"/>
      <c r="BK56" s="372"/>
      <c r="BL56" s="372"/>
      <c r="BM56" s="372"/>
      <c r="BN56" s="373"/>
      <c r="BO56" s="374"/>
      <c r="BP56" s="372"/>
      <c r="BQ56" s="372"/>
      <c r="BR56" s="372"/>
      <c r="BS56" s="371"/>
      <c r="BT56" s="375"/>
      <c r="BU56" s="372"/>
      <c r="BV56" s="372"/>
      <c r="BW56" s="372"/>
      <c r="BX56" s="373"/>
      <c r="BY56" s="374"/>
      <c r="BZ56" s="372"/>
      <c r="CA56" s="372"/>
      <c r="CB56" s="372"/>
      <c r="CC56" s="371"/>
      <c r="CD56" s="375"/>
      <c r="CE56" s="372"/>
      <c r="CF56" s="372"/>
      <c r="CG56" s="372"/>
      <c r="CH56" s="371"/>
      <c r="CI56" s="375"/>
      <c r="CJ56" s="372"/>
      <c r="CK56" s="372"/>
      <c r="CL56" s="372"/>
      <c r="CM56" s="373"/>
    </row>
    <row r="57" spans="1:91" ht="25.5" customHeight="1">
      <c r="A57" s="386"/>
      <c r="B57" s="387"/>
      <c r="C57" s="387"/>
      <c r="D57" s="387"/>
      <c r="E57" s="372"/>
      <c r="F57" s="387"/>
      <c r="G57" s="372"/>
      <c r="H57" s="371"/>
      <c r="I57" s="375"/>
      <c r="J57" s="372"/>
      <c r="K57" s="373"/>
      <c r="L57" s="388"/>
      <c r="M57" s="387"/>
      <c r="N57" s="387"/>
      <c r="O57" s="387"/>
      <c r="P57" s="389"/>
      <c r="Q57" s="388"/>
      <c r="R57" s="387"/>
      <c r="S57" s="387"/>
      <c r="T57" s="387"/>
      <c r="U57" s="390"/>
      <c r="V57" s="386"/>
      <c r="W57" s="372"/>
      <c r="X57" s="372"/>
      <c r="Y57" s="372"/>
      <c r="Z57" s="373"/>
      <c r="AA57" s="374"/>
      <c r="AB57" s="372"/>
      <c r="AC57" s="372"/>
      <c r="AD57" s="372"/>
      <c r="AE57" s="371"/>
      <c r="AF57" s="375"/>
      <c r="AG57" s="372"/>
      <c r="AH57" s="372"/>
      <c r="AI57" s="372"/>
      <c r="AJ57" s="373"/>
      <c r="AK57" s="374"/>
      <c r="AL57" s="372"/>
      <c r="AM57" s="372"/>
      <c r="AN57" s="372"/>
      <c r="AO57" s="371"/>
      <c r="AP57" s="375"/>
      <c r="AQ57" s="372"/>
      <c r="AR57" s="372"/>
      <c r="AS57" s="372"/>
      <c r="AT57" s="373"/>
      <c r="AU57" s="374"/>
      <c r="AV57" s="372"/>
      <c r="AW57" s="372"/>
      <c r="AX57" s="372"/>
      <c r="AY57" s="371"/>
      <c r="AZ57" s="375"/>
      <c r="BA57" s="372"/>
      <c r="BB57" s="372"/>
      <c r="BC57" s="372"/>
      <c r="BD57" s="373"/>
      <c r="BE57" s="374"/>
      <c r="BF57" s="372"/>
      <c r="BG57" s="372"/>
      <c r="BH57" s="372"/>
      <c r="BI57" s="371"/>
      <c r="BJ57" s="375"/>
      <c r="BK57" s="372"/>
      <c r="BL57" s="372"/>
      <c r="BM57" s="372"/>
      <c r="BN57" s="373"/>
      <c r="BO57" s="374"/>
      <c r="BP57" s="372"/>
      <c r="BQ57" s="372"/>
      <c r="BR57" s="372"/>
      <c r="BS57" s="371"/>
      <c r="BT57" s="375"/>
      <c r="BU57" s="372"/>
      <c r="BV57" s="372"/>
      <c r="BW57" s="372"/>
      <c r="BX57" s="373"/>
      <c r="BY57" s="374"/>
      <c r="BZ57" s="372"/>
      <c r="CA57" s="372"/>
      <c r="CB57" s="372"/>
      <c r="CC57" s="371"/>
      <c r="CD57" s="375"/>
      <c r="CE57" s="372"/>
      <c r="CF57" s="372"/>
      <c r="CG57" s="372"/>
      <c r="CH57" s="371"/>
      <c r="CI57" s="375"/>
      <c r="CJ57" s="372"/>
      <c r="CK57" s="372"/>
      <c r="CL57" s="372"/>
      <c r="CM57" s="373"/>
    </row>
    <row r="58" spans="1:91" ht="25.5" customHeight="1">
      <c r="A58" s="386"/>
      <c r="B58" s="387"/>
      <c r="C58" s="387"/>
      <c r="D58" s="387"/>
      <c r="E58" s="372"/>
      <c r="F58" s="387"/>
      <c r="G58" s="372"/>
      <c r="H58" s="371"/>
      <c r="I58" s="375"/>
      <c r="J58" s="372"/>
      <c r="K58" s="373"/>
      <c r="L58" s="388"/>
      <c r="M58" s="387"/>
      <c r="N58" s="387"/>
      <c r="O58" s="387"/>
      <c r="P58" s="389"/>
      <c r="Q58" s="388"/>
      <c r="R58" s="387"/>
      <c r="S58" s="387"/>
      <c r="T58" s="387"/>
      <c r="U58" s="390"/>
      <c r="V58" s="386"/>
      <c r="W58" s="372"/>
      <c r="X58" s="372"/>
      <c r="Y58" s="372"/>
      <c r="Z58" s="373"/>
      <c r="AA58" s="374"/>
      <c r="AB58" s="372"/>
      <c r="AC58" s="372"/>
      <c r="AD58" s="372"/>
      <c r="AE58" s="371"/>
      <c r="AF58" s="375"/>
      <c r="AG58" s="372"/>
      <c r="AH58" s="372"/>
      <c r="AI58" s="372"/>
      <c r="AJ58" s="373"/>
      <c r="AK58" s="374"/>
      <c r="AL58" s="372"/>
      <c r="AM58" s="372"/>
      <c r="AN58" s="372"/>
      <c r="AO58" s="371"/>
      <c r="AP58" s="375"/>
      <c r="AQ58" s="372"/>
      <c r="AR58" s="372"/>
      <c r="AS58" s="372"/>
      <c r="AT58" s="373"/>
      <c r="AU58" s="374"/>
      <c r="AV58" s="372"/>
      <c r="AW58" s="372"/>
      <c r="AX58" s="372"/>
      <c r="AY58" s="371"/>
      <c r="AZ58" s="375"/>
      <c r="BA58" s="372"/>
      <c r="BB58" s="372"/>
      <c r="BC58" s="372"/>
      <c r="BD58" s="373"/>
      <c r="BE58" s="374"/>
      <c r="BF58" s="372"/>
      <c r="BG58" s="372"/>
      <c r="BH58" s="372"/>
      <c r="BI58" s="371"/>
      <c r="BJ58" s="375"/>
      <c r="BK58" s="372"/>
      <c r="BL58" s="372"/>
      <c r="BM58" s="372"/>
      <c r="BN58" s="373"/>
      <c r="BO58" s="374"/>
      <c r="BP58" s="372"/>
      <c r="BQ58" s="372"/>
      <c r="BR58" s="372"/>
      <c r="BS58" s="371"/>
      <c r="BT58" s="375"/>
      <c r="BU58" s="372"/>
      <c r="BV58" s="372"/>
      <c r="BW58" s="372"/>
      <c r="BX58" s="373"/>
      <c r="BY58" s="374"/>
      <c r="BZ58" s="372"/>
      <c r="CA58" s="372"/>
      <c r="CB58" s="372"/>
      <c r="CC58" s="371"/>
      <c r="CD58" s="375"/>
      <c r="CE58" s="372"/>
      <c r="CF58" s="372"/>
      <c r="CG58" s="372"/>
      <c r="CH58" s="371"/>
      <c r="CI58" s="375"/>
      <c r="CJ58" s="372"/>
      <c r="CK58" s="372"/>
      <c r="CL58" s="372"/>
      <c r="CM58" s="373"/>
    </row>
    <row r="59" spans="1:91" ht="25.5" customHeight="1" thickBot="1">
      <c r="A59" s="411"/>
      <c r="B59" s="412"/>
      <c r="C59" s="412"/>
      <c r="D59" s="412"/>
      <c r="E59" s="377"/>
      <c r="F59" s="412"/>
      <c r="G59" s="377"/>
      <c r="H59" s="376"/>
      <c r="I59" s="380"/>
      <c r="J59" s="377"/>
      <c r="K59" s="378"/>
      <c r="L59" s="413"/>
      <c r="M59" s="412"/>
      <c r="N59" s="412"/>
      <c r="O59" s="412"/>
      <c r="P59" s="414"/>
      <c r="Q59" s="413"/>
      <c r="R59" s="412"/>
      <c r="S59" s="412"/>
      <c r="T59" s="412"/>
      <c r="U59" s="415"/>
      <c r="V59" s="411"/>
      <c r="W59" s="377"/>
      <c r="X59" s="377"/>
      <c r="Y59" s="377"/>
      <c r="Z59" s="378"/>
      <c r="AA59" s="379"/>
      <c r="AB59" s="377"/>
      <c r="AC59" s="377"/>
      <c r="AD59" s="377"/>
      <c r="AE59" s="376"/>
      <c r="AF59" s="380"/>
      <c r="AG59" s="377"/>
      <c r="AH59" s="377"/>
      <c r="AI59" s="377"/>
      <c r="AJ59" s="378"/>
      <c r="AK59" s="379"/>
      <c r="AL59" s="377"/>
      <c r="AM59" s="377"/>
      <c r="AN59" s="377"/>
      <c r="AO59" s="376"/>
      <c r="AP59" s="380"/>
      <c r="AQ59" s="377"/>
      <c r="AR59" s="377"/>
      <c r="AS59" s="377"/>
      <c r="AT59" s="378"/>
      <c r="AU59" s="379"/>
      <c r="AV59" s="377"/>
      <c r="AW59" s="377"/>
      <c r="AX59" s="377"/>
      <c r="AY59" s="376"/>
      <c r="AZ59" s="380"/>
      <c r="BA59" s="377"/>
      <c r="BB59" s="377"/>
      <c r="BC59" s="377"/>
      <c r="BD59" s="378"/>
      <c r="BE59" s="379"/>
      <c r="BF59" s="377"/>
      <c r="BG59" s="377"/>
      <c r="BH59" s="377"/>
      <c r="BI59" s="376"/>
      <c r="BJ59" s="380"/>
      <c r="BK59" s="377"/>
      <c r="BL59" s="377"/>
      <c r="BM59" s="377"/>
      <c r="BN59" s="378"/>
      <c r="BO59" s="379"/>
      <c r="BP59" s="377"/>
      <c r="BQ59" s="377"/>
      <c r="BR59" s="377"/>
      <c r="BS59" s="376"/>
      <c r="BT59" s="380"/>
      <c r="BU59" s="377"/>
      <c r="BV59" s="377"/>
      <c r="BW59" s="377"/>
      <c r="BX59" s="378"/>
      <c r="BY59" s="379"/>
      <c r="BZ59" s="377"/>
      <c r="CA59" s="377"/>
      <c r="CB59" s="377"/>
      <c r="CC59" s="376"/>
      <c r="CD59" s="380"/>
      <c r="CE59" s="377"/>
      <c r="CF59" s="377"/>
      <c r="CG59" s="377"/>
      <c r="CH59" s="376"/>
      <c r="CI59" s="380"/>
      <c r="CJ59" s="377"/>
      <c r="CK59" s="377"/>
      <c r="CL59" s="377"/>
      <c r="CM59" s="378"/>
    </row>
    <row r="60" spans="1:91" ht="15" customHeight="1" thickBot="1">
      <c r="A60" s="48"/>
      <c r="B60" s="179"/>
      <c r="C60" s="180"/>
      <c r="D60" s="181"/>
      <c r="E60" s="17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50"/>
      <c r="CH60" s="50"/>
      <c r="CI60" s="50"/>
      <c r="CJ60" s="50"/>
      <c r="CK60" s="50"/>
      <c r="CL60" s="50"/>
      <c r="CM60" s="51"/>
    </row>
    <row r="61" spans="1:91" ht="25.5" customHeight="1" thickBot="1">
      <c r="A61" s="275" t="s">
        <v>31</v>
      </c>
      <c r="B61" s="276"/>
      <c r="C61" s="277"/>
      <c r="D61" s="192"/>
      <c r="E61" s="278" t="s">
        <v>32</v>
      </c>
      <c r="F61" s="276"/>
      <c r="G61" s="277"/>
      <c r="H61" s="193" t="s">
        <v>8</v>
      </c>
      <c r="I61" s="192" t="s">
        <v>9</v>
      </c>
      <c r="J61" s="192" t="s">
        <v>33</v>
      </c>
      <c r="K61" s="192" t="s">
        <v>10</v>
      </c>
      <c r="L61" s="291"/>
      <c r="M61" s="292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  <c r="AA61" s="292"/>
      <c r="AB61" s="292"/>
      <c r="AC61" s="292"/>
      <c r="AD61" s="292"/>
      <c r="AE61" s="292"/>
      <c r="AF61" s="292"/>
      <c r="AG61" s="292"/>
      <c r="AH61" s="292"/>
      <c r="AI61" s="292"/>
      <c r="AJ61" s="292"/>
      <c r="AK61" s="292"/>
      <c r="AL61" s="292"/>
      <c r="AM61" s="292"/>
      <c r="AN61" s="292"/>
      <c r="AO61" s="292"/>
      <c r="AP61" s="292"/>
      <c r="AQ61" s="292"/>
      <c r="AR61" s="292"/>
      <c r="AS61" s="292"/>
      <c r="AT61" s="292"/>
      <c r="AU61" s="292"/>
      <c r="AV61" s="292"/>
      <c r="AW61" s="292"/>
      <c r="AX61" s="292"/>
      <c r="AY61" s="292"/>
      <c r="AZ61" s="292"/>
      <c r="BA61" s="292"/>
      <c r="BB61" s="292"/>
      <c r="BC61" s="292"/>
      <c r="BD61" s="292"/>
      <c r="BE61" s="293"/>
      <c r="BF61" s="300"/>
      <c r="BG61" s="300"/>
      <c r="BH61" s="300"/>
      <c r="BI61" s="300"/>
      <c r="BJ61" s="300"/>
      <c r="BK61" s="300"/>
      <c r="BL61" s="300"/>
      <c r="BM61" s="300"/>
      <c r="BN61" s="300"/>
      <c r="BO61" s="300"/>
      <c r="BP61" s="300"/>
      <c r="BQ61" s="300"/>
      <c r="BR61" s="300"/>
      <c r="BS61" s="300"/>
      <c r="BT61" s="300"/>
      <c r="BU61" s="301"/>
      <c r="BV61" s="291"/>
      <c r="BW61" s="247"/>
      <c r="BX61" s="247"/>
      <c r="BY61" s="247"/>
      <c r="BZ61" s="247"/>
      <c r="CA61" s="247"/>
      <c r="CB61" s="247"/>
      <c r="CC61" s="247"/>
      <c r="CD61" s="247"/>
      <c r="CE61" s="247"/>
      <c r="CF61" s="247"/>
      <c r="CG61" s="247"/>
      <c r="CH61" s="247"/>
      <c r="CI61" s="247"/>
      <c r="CJ61" s="247"/>
      <c r="CK61" s="247"/>
      <c r="CL61" s="247"/>
      <c r="CM61" s="248"/>
    </row>
    <row r="62" spans="1:91" ht="25.5" customHeight="1">
      <c r="A62" s="288"/>
      <c r="B62" s="289"/>
      <c r="C62" s="289"/>
      <c r="D62" s="52"/>
      <c r="E62" s="290"/>
      <c r="F62" s="290"/>
      <c r="G62" s="290"/>
      <c r="H62" s="53"/>
      <c r="I62" s="53"/>
      <c r="J62" s="53"/>
      <c r="K62" s="54"/>
      <c r="L62" s="294"/>
      <c r="M62" s="295"/>
      <c r="N62" s="295"/>
      <c r="O62" s="295"/>
      <c r="P62" s="295"/>
      <c r="Q62" s="295"/>
      <c r="R62" s="295"/>
      <c r="S62" s="295"/>
      <c r="T62" s="295"/>
      <c r="U62" s="295"/>
      <c r="V62" s="295"/>
      <c r="W62" s="295"/>
      <c r="X62" s="295"/>
      <c r="Y62" s="295"/>
      <c r="Z62" s="295"/>
      <c r="AA62" s="295"/>
      <c r="AB62" s="295"/>
      <c r="AC62" s="295"/>
      <c r="AD62" s="295"/>
      <c r="AE62" s="295"/>
      <c r="AF62" s="295"/>
      <c r="AG62" s="295"/>
      <c r="AH62" s="295"/>
      <c r="AI62" s="295"/>
      <c r="AJ62" s="295"/>
      <c r="AK62" s="295"/>
      <c r="AL62" s="295"/>
      <c r="AM62" s="295"/>
      <c r="AN62" s="295"/>
      <c r="AO62" s="295"/>
      <c r="AP62" s="295"/>
      <c r="AQ62" s="295"/>
      <c r="AR62" s="295"/>
      <c r="AS62" s="295"/>
      <c r="AT62" s="295"/>
      <c r="AU62" s="295"/>
      <c r="AV62" s="295"/>
      <c r="AW62" s="295"/>
      <c r="AX62" s="295"/>
      <c r="AY62" s="295"/>
      <c r="AZ62" s="295"/>
      <c r="BA62" s="295"/>
      <c r="BB62" s="295"/>
      <c r="BC62" s="295"/>
      <c r="BD62" s="295"/>
      <c r="BE62" s="296"/>
      <c r="BF62" s="302"/>
      <c r="BG62" s="302"/>
      <c r="BH62" s="302"/>
      <c r="BI62" s="302"/>
      <c r="BJ62" s="302"/>
      <c r="BK62" s="302"/>
      <c r="BL62" s="302"/>
      <c r="BM62" s="302"/>
      <c r="BN62" s="302"/>
      <c r="BO62" s="302"/>
      <c r="BP62" s="302"/>
      <c r="BQ62" s="302"/>
      <c r="BR62" s="302"/>
      <c r="BS62" s="302"/>
      <c r="BT62" s="302"/>
      <c r="BU62" s="303"/>
      <c r="BV62" s="306"/>
      <c r="BW62" s="249"/>
      <c r="BX62" s="249"/>
      <c r="BY62" s="249"/>
      <c r="BZ62" s="249"/>
      <c r="CA62" s="249"/>
      <c r="CB62" s="249"/>
      <c r="CC62" s="249"/>
      <c r="CD62" s="249"/>
      <c r="CE62" s="249"/>
      <c r="CF62" s="249"/>
      <c r="CG62" s="249"/>
      <c r="CH62" s="249"/>
      <c r="CI62" s="249"/>
      <c r="CJ62" s="249"/>
      <c r="CK62" s="249"/>
      <c r="CL62" s="249"/>
      <c r="CM62" s="250"/>
    </row>
    <row r="63" spans="1:91" ht="25.5" customHeight="1" thickBot="1">
      <c r="A63" s="288"/>
      <c r="B63" s="289"/>
      <c r="C63" s="289"/>
      <c r="D63" s="52"/>
      <c r="E63" s="290"/>
      <c r="F63" s="290"/>
      <c r="G63" s="290"/>
      <c r="H63" s="53"/>
      <c r="I63" s="53"/>
      <c r="J63" s="53"/>
      <c r="K63" s="54"/>
      <c r="L63" s="294"/>
      <c r="M63" s="295"/>
      <c r="N63" s="295"/>
      <c r="O63" s="295"/>
      <c r="P63" s="295"/>
      <c r="Q63" s="295"/>
      <c r="R63" s="295"/>
      <c r="S63" s="295"/>
      <c r="T63" s="295"/>
      <c r="U63" s="295"/>
      <c r="V63" s="295"/>
      <c r="W63" s="295"/>
      <c r="X63" s="295"/>
      <c r="Y63" s="295"/>
      <c r="Z63" s="295"/>
      <c r="AA63" s="295"/>
      <c r="AB63" s="295"/>
      <c r="AC63" s="295"/>
      <c r="AD63" s="295"/>
      <c r="AE63" s="295"/>
      <c r="AF63" s="295"/>
      <c r="AG63" s="295"/>
      <c r="AH63" s="295"/>
      <c r="AI63" s="295"/>
      <c r="AJ63" s="295"/>
      <c r="AK63" s="295"/>
      <c r="AL63" s="295"/>
      <c r="AM63" s="295"/>
      <c r="AN63" s="295"/>
      <c r="AO63" s="295"/>
      <c r="AP63" s="295"/>
      <c r="AQ63" s="295"/>
      <c r="AR63" s="295"/>
      <c r="AS63" s="295"/>
      <c r="AT63" s="295"/>
      <c r="AU63" s="295"/>
      <c r="AV63" s="295"/>
      <c r="AW63" s="295"/>
      <c r="AX63" s="295"/>
      <c r="AY63" s="295"/>
      <c r="AZ63" s="295"/>
      <c r="BA63" s="295"/>
      <c r="BB63" s="295"/>
      <c r="BC63" s="295"/>
      <c r="BD63" s="295"/>
      <c r="BE63" s="296"/>
      <c r="BF63" s="304"/>
      <c r="BG63" s="304"/>
      <c r="BH63" s="304"/>
      <c r="BI63" s="304"/>
      <c r="BJ63" s="304"/>
      <c r="BK63" s="304"/>
      <c r="BL63" s="304"/>
      <c r="BM63" s="304"/>
      <c r="BN63" s="304"/>
      <c r="BO63" s="304"/>
      <c r="BP63" s="304"/>
      <c r="BQ63" s="304"/>
      <c r="BR63" s="304"/>
      <c r="BS63" s="304"/>
      <c r="BT63" s="304"/>
      <c r="BU63" s="305"/>
      <c r="BV63" s="263"/>
      <c r="BW63" s="251"/>
      <c r="BX63" s="251"/>
      <c r="BY63" s="251"/>
      <c r="BZ63" s="251"/>
      <c r="CA63" s="251"/>
      <c r="CB63" s="251"/>
      <c r="CC63" s="251"/>
      <c r="CD63" s="251"/>
      <c r="CE63" s="251"/>
      <c r="CF63" s="251"/>
      <c r="CG63" s="251"/>
      <c r="CH63" s="251"/>
      <c r="CI63" s="251"/>
      <c r="CJ63" s="251"/>
      <c r="CK63" s="251"/>
      <c r="CL63" s="251"/>
      <c r="CM63" s="252"/>
    </row>
    <row r="64" spans="1:91" ht="27" customHeight="1">
      <c r="A64" s="288"/>
      <c r="B64" s="289"/>
      <c r="C64" s="289"/>
      <c r="D64" s="52"/>
      <c r="E64" s="290"/>
      <c r="F64" s="290"/>
      <c r="G64" s="290"/>
      <c r="H64" s="53"/>
      <c r="I64" s="53"/>
      <c r="J64" s="53"/>
      <c r="K64" s="54"/>
      <c r="L64" s="294"/>
      <c r="M64" s="295"/>
      <c r="N64" s="295"/>
      <c r="O64" s="295"/>
      <c r="P64" s="295"/>
      <c r="Q64" s="295"/>
      <c r="R64" s="295"/>
      <c r="S64" s="295"/>
      <c r="T64" s="295"/>
      <c r="U64" s="295"/>
      <c r="V64" s="295"/>
      <c r="W64" s="295"/>
      <c r="X64" s="295"/>
      <c r="Y64" s="295"/>
      <c r="Z64" s="295"/>
      <c r="AA64" s="295"/>
      <c r="AB64" s="295"/>
      <c r="AC64" s="295"/>
      <c r="AD64" s="295"/>
      <c r="AE64" s="295"/>
      <c r="AF64" s="295"/>
      <c r="AG64" s="295"/>
      <c r="AH64" s="295"/>
      <c r="AI64" s="295"/>
      <c r="AJ64" s="295"/>
      <c r="AK64" s="295"/>
      <c r="AL64" s="295"/>
      <c r="AM64" s="295"/>
      <c r="AN64" s="295"/>
      <c r="AO64" s="295"/>
      <c r="AP64" s="295"/>
      <c r="AQ64" s="295"/>
      <c r="AR64" s="295"/>
      <c r="AS64" s="295"/>
      <c r="AT64" s="295"/>
      <c r="AU64" s="295"/>
      <c r="AV64" s="295"/>
      <c r="AW64" s="295"/>
      <c r="AX64" s="295"/>
      <c r="AY64" s="295"/>
      <c r="AZ64" s="295"/>
      <c r="BA64" s="295"/>
      <c r="BB64" s="295"/>
      <c r="BC64" s="295"/>
      <c r="BD64" s="295"/>
      <c r="BE64" s="296"/>
      <c r="BF64" s="247" t="s">
        <v>89</v>
      </c>
      <c r="BG64" s="247"/>
      <c r="BH64" s="247"/>
      <c r="BI64" s="247"/>
      <c r="BJ64" s="247"/>
      <c r="BK64" s="247"/>
      <c r="BL64" s="247"/>
      <c r="BM64" s="247"/>
      <c r="BN64" s="247"/>
      <c r="BO64" s="247"/>
      <c r="BP64" s="247"/>
      <c r="BQ64" s="247"/>
      <c r="BR64" s="247"/>
      <c r="BS64" s="247"/>
      <c r="BT64" s="247"/>
      <c r="BU64" s="248"/>
      <c r="BV64" s="279" t="s">
        <v>90</v>
      </c>
      <c r="BW64" s="280"/>
      <c r="BX64" s="280"/>
      <c r="BY64" s="280"/>
      <c r="BZ64" s="280"/>
      <c r="CA64" s="280"/>
      <c r="CB64" s="280"/>
      <c r="CC64" s="280"/>
      <c r="CD64" s="280"/>
      <c r="CE64" s="280"/>
      <c r="CF64" s="280"/>
      <c r="CG64" s="280"/>
      <c r="CH64" s="280"/>
      <c r="CI64" s="280"/>
      <c r="CJ64" s="280"/>
      <c r="CK64" s="280"/>
      <c r="CL64" s="280"/>
      <c r="CM64" s="281"/>
    </row>
    <row r="65" spans="1:91" ht="25.5" customHeight="1">
      <c r="A65" s="288"/>
      <c r="B65" s="289"/>
      <c r="C65" s="289"/>
      <c r="D65" s="52"/>
      <c r="E65" s="290"/>
      <c r="F65" s="290"/>
      <c r="G65" s="290"/>
      <c r="H65" s="53"/>
      <c r="I65" s="53"/>
      <c r="J65" s="53"/>
      <c r="K65" s="54"/>
      <c r="L65" s="294"/>
      <c r="M65" s="295"/>
      <c r="N65" s="295"/>
      <c r="O65" s="295"/>
      <c r="P65" s="295"/>
      <c r="Q65" s="295"/>
      <c r="R65" s="295"/>
      <c r="S65" s="295"/>
      <c r="T65" s="295"/>
      <c r="U65" s="295"/>
      <c r="V65" s="295"/>
      <c r="W65" s="295"/>
      <c r="X65" s="295"/>
      <c r="Y65" s="295"/>
      <c r="Z65" s="295"/>
      <c r="AA65" s="295"/>
      <c r="AB65" s="295"/>
      <c r="AC65" s="295"/>
      <c r="AD65" s="295"/>
      <c r="AE65" s="295"/>
      <c r="AF65" s="295"/>
      <c r="AG65" s="295"/>
      <c r="AH65" s="295"/>
      <c r="AI65" s="295"/>
      <c r="AJ65" s="295"/>
      <c r="AK65" s="295"/>
      <c r="AL65" s="295"/>
      <c r="AM65" s="295"/>
      <c r="AN65" s="295"/>
      <c r="AO65" s="295"/>
      <c r="AP65" s="295"/>
      <c r="AQ65" s="295"/>
      <c r="AR65" s="295"/>
      <c r="AS65" s="295"/>
      <c r="AT65" s="295"/>
      <c r="AU65" s="295"/>
      <c r="AV65" s="295"/>
      <c r="AW65" s="295"/>
      <c r="AX65" s="295"/>
      <c r="AY65" s="295"/>
      <c r="AZ65" s="295"/>
      <c r="BA65" s="295"/>
      <c r="BB65" s="295"/>
      <c r="BC65" s="295"/>
      <c r="BD65" s="295"/>
      <c r="BE65" s="296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50"/>
      <c r="BV65" s="282"/>
      <c r="BW65" s="283"/>
      <c r="BX65" s="283"/>
      <c r="BY65" s="283"/>
      <c r="BZ65" s="283"/>
      <c r="CA65" s="283"/>
      <c r="CB65" s="283"/>
      <c r="CC65" s="283"/>
      <c r="CD65" s="283"/>
      <c r="CE65" s="283"/>
      <c r="CF65" s="283"/>
      <c r="CG65" s="283"/>
      <c r="CH65" s="283"/>
      <c r="CI65" s="283"/>
      <c r="CJ65" s="283"/>
      <c r="CK65" s="283"/>
      <c r="CL65" s="283"/>
      <c r="CM65" s="284"/>
    </row>
    <row r="66" spans="1:91" ht="25.5" customHeight="1" thickBot="1">
      <c r="A66" s="288"/>
      <c r="B66" s="289"/>
      <c r="C66" s="289"/>
      <c r="D66" s="52"/>
      <c r="E66" s="290"/>
      <c r="F66" s="290"/>
      <c r="G66" s="290"/>
      <c r="H66" s="53"/>
      <c r="I66" s="53"/>
      <c r="J66" s="53"/>
      <c r="K66" s="54"/>
      <c r="L66" s="294"/>
      <c r="M66" s="295"/>
      <c r="N66" s="295"/>
      <c r="O66" s="295"/>
      <c r="P66" s="295"/>
      <c r="Q66" s="295"/>
      <c r="R66" s="295"/>
      <c r="S66" s="295"/>
      <c r="T66" s="295"/>
      <c r="U66" s="295"/>
      <c r="V66" s="295"/>
      <c r="W66" s="295"/>
      <c r="X66" s="295"/>
      <c r="Y66" s="295"/>
      <c r="Z66" s="295"/>
      <c r="AA66" s="295"/>
      <c r="AB66" s="295"/>
      <c r="AC66" s="295"/>
      <c r="AD66" s="295"/>
      <c r="AE66" s="295"/>
      <c r="AF66" s="295"/>
      <c r="AG66" s="295"/>
      <c r="AH66" s="295"/>
      <c r="AI66" s="295"/>
      <c r="AJ66" s="295"/>
      <c r="AK66" s="295"/>
      <c r="AL66" s="295"/>
      <c r="AM66" s="295"/>
      <c r="AN66" s="295"/>
      <c r="AO66" s="295"/>
      <c r="AP66" s="295"/>
      <c r="AQ66" s="295"/>
      <c r="AR66" s="295"/>
      <c r="AS66" s="295"/>
      <c r="AT66" s="295"/>
      <c r="AU66" s="295"/>
      <c r="AV66" s="295"/>
      <c r="AW66" s="295"/>
      <c r="AX66" s="295"/>
      <c r="AY66" s="295"/>
      <c r="AZ66" s="295"/>
      <c r="BA66" s="295"/>
      <c r="BB66" s="295"/>
      <c r="BC66" s="295"/>
      <c r="BD66" s="295"/>
      <c r="BE66" s="296"/>
      <c r="BF66" s="251"/>
      <c r="BG66" s="251"/>
      <c r="BH66" s="251"/>
      <c r="BI66" s="251"/>
      <c r="BJ66" s="251"/>
      <c r="BK66" s="251"/>
      <c r="BL66" s="251"/>
      <c r="BM66" s="251"/>
      <c r="BN66" s="251"/>
      <c r="BO66" s="251"/>
      <c r="BP66" s="251"/>
      <c r="BQ66" s="251"/>
      <c r="BR66" s="251"/>
      <c r="BS66" s="251"/>
      <c r="BT66" s="251"/>
      <c r="BU66" s="252"/>
      <c r="BV66" s="285"/>
      <c r="BW66" s="286"/>
      <c r="BX66" s="286"/>
      <c r="BY66" s="286"/>
      <c r="BZ66" s="286"/>
      <c r="CA66" s="286"/>
      <c r="CB66" s="286"/>
      <c r="CC66" s="286"/>
      <c r="CD66" s="286"/>
      <c r="CE66" s="286"/>
      <c r="CF66" s="286"/>
      <c r="CG66" s="286"/>
      <c r="CH66" s="286"/>
      <c r="CI66" s="286"/>
      <c r="CJ66" s="286"/>
      <c r="CK66" s="286"/>
      <c r="CL66" s="286"/>
      <c r="CM66" s="287"/>
    </row>
    <row r="67" spans="1:91" ht="25.5" customHeight="1">
      <c r="A67" s="255" t="e">
        <f>IF(#REF!&lt;&gt;"",#REF!,"")</f>
        <v>#REF!</v>
      </c>
      <c r="B67" s="256"/>
      <c r="C67" s="256"/>
      <c r="D67" s="185"/>
      <c r="E67" s="257" t="e">
        <f>IF(#REF!&lt;&gt;"",#REF!,"")</f>
        <v>#REF!</v>
      </c>
      <c r="F67" s="257"/>
      <c r="G67" s="257"/>
      <c r="H67" s="186" t="e">
        <f>IF(#REF!&lt;&gt;"",#REF!,"")</f>
        <v>#REF!</v>
      </c>
      <c r="I67" s="186" t="e">
        <f>IF(#REF!&lt;&gt;"",#REF!,"")</f>
        <v>#REF!</v>
      </c>
      <c r="J67" s="186" t="e">
        <f>IF(#REF!&lt;&gt;"",#REF!,"")</f>
        <v>#REF!</v>
      </c>
      <c r="K67" s="187" t="e">
        <f>IF(#REF!&lt;&gt;"",#REF!,"")</f>
        <v>#REF!</v>
      </c>
      <c r="L67" s="294"/>
      <c r="M67" s="295"/>
      <c r="N67" s="295"/>
      <c r="O67" s="295"/>
      <c r="P67" s="295"/>
      <c r="Q67" s="295"/>
      <c r="R67" s="295"/>
      <c r="S67" s="295"/>
      <c r="T67" s="295"/>
      <c r="U67" s="295"/>
      <c r="V67" s="295"/>
      <c r="W67" s="295"/>
      <c r="X67" s="295"/>
      <c r="Y67" s="295"/>
      <c r="Z67" s="295"/>
      <c r="AA67" s="295"/>
      <c r="AB67" s="295"/>
      <c r="AC67" s="295"/>
      <c r="AD67" s="295"/>
      <c r="AE67" s="295"/>
      <c r="AF67" s="295"/>
      <c r="AG67" s="295"/>
      <c r="AH67" s="295"/>
      <c r="AI67" s="295"/>
      <c r="AJ67" s="295"/>
      <c r="AK67" s="295"/>
      <c r="AL67" s="295"/>
      <c r="AM67" s="295"/>
      <c r="AN67" s="295"/>
      <c r="AO67" s="295"/>
      <c r="AP67" s="295"/>
      <c r="AQ67" s="295"/>
      <c r="AR67" s="295"/>
      <c r="AS67" s="295"/>
      <c r="AT67" s="295"/>
      <c r="AU67" s="295"/>
      <c r="AV67" s="295"/>
      <c r="AW67" s="295"/>
      <c r="AX67" s="295"/>
      <c r="AY67" s="295"/>
      <c r="AZ67" s="295"/>
      <c r="BA67" s="295"/>
      <c r="BB67" s="295"/>
      <c r="BC67" s="295"/>
      <c r="BD67" s="295"/>
      <c r="BE67" s="296"/>
      <c r="BF67" s="272" t="s">
        <v>34</v>
      </c>
      <c r="BG67" s="272"/>
      <c r="BH67" s="272"/>
      <c r="BI67" s="272"/>
      <c r="BJ67" s="272"/>
      <c r="BK67" s="272"/>
      <c r="BL67" s="272"/>
      <c r="BM67" s="272"/>
      <c r="BN67" s="272"/>
      <c r="BO67" s="272"/>
      <c r="BP67" s="272"/>
      <c r="BQ67" s="272"/>
      <c r="BR67" s="272"/>
      <c r="BS67" s="272"/>
      <c r="BT67" s="272"/>
      <c r="BU67" s="254"/>
      <c r="BV67" s="273" t="s">
        <v>35</v>
      </c>
      <c r="BW67" s="272"/>
      <c r="BX67" s="274"/>
      <c r="BY67" s="253" t="s">
        <v>36</v>
      </c>
      <c r="BZ67" s="272"/>
      <c r="CA67" s="272"/>
      <c r="CB67" s="272"/>
      <c r="CC67" s="272"/>
      <c r="CD67" s="272"/>
      <c r="CE67" s="272"/>
      <c r="CF67" s="272"/>
      <c r="CG67" s="272"/>
      <c r="CH67" s="272"/>
      <c r="CI67" s="272"/>
      <c r="CJ67" s="272"/>
      <c r="CK67" s="274"/>
      <c r="CL67" s="253" t="s">
        <v>37</v>
      </c>
      <c r="CM67" s="254"/>
    </row>
    <row r="68" spans="1:91" ht="25.5" customHeight="1">
      <c r="A68" s="255" t="e">
        <f>IF(#REF!&lt;&gt;"",#REF!,"")</f>
        <v>#REF!</v>
      </c>
      <c r="B68" s="256"/>
      <c r="C68" s="256"/>
      <c r="D68" s="185"/>
      <c r="E68" s="257" t="e">
        <f>IF(#REF!&lt;&gt;"",#REF!,"")</f>
        <v>#REF!</v>
      </c>
      <c r="F68" s="257"/>
      <c r="G68" s="257"/>
      <c r="H68" s="186" t="e">
        <f>IF(#REF!&lt;&gt;"",#REF!,"")</f>
        <v>#REF!</v>
      </c>
      <c r="I68" s="186" t="e">
        <f>IF(#REF!&lt;&gt;"",#REF!,"")</f>
        <v>#REF!</v>
      </c>
      <c r="J68" s="186" t="e">
        <f>IF(#REF!&lt;&gt;"",#REF!,"")</f>
        <v>#REF!</v>
      </c>
      <c r="K68" s="187" t="e">
        <f>IF(#REF!&lt;&gt;"",#REF!,"")</f>
        <v>#REF!</v>
      </c>
      <c r="L68" s="294"/>
      <c r="M68" s="295"/>
      <c r="N68" s="295"/>
      <c r="O68" s="295"/>
      <c r="P68" s="295"/>
      <c r="Q68" s="295"/>
      <c r="R68" s="295"/>
      <c r="S68" s="295"/>
      <c r="T68" s="295"/>
      <c r="U68" s="295"/>
      <c r="V68" s="295"/>
      <c r="W68" s="295"/>
      <c r="X68" s="295"/>
      <c r="Y68" s="295"/>
      <c r="Z68" s="295"/>
      <c r="AA68" s="295"/>
      <c r="AB68" s="295"/>
      <c r="AC68" s="295"/>
      <c r="AD68" s="295"/>
      <c r="AE68" s="295"/>
      <c r="AF68" s="295"/>
      <c r="AG68" s="295"/>
      <c r="AH68" s="295"/>
      <c r="AI68" s="295"/>
      <c r="AJ68" s="295"/>
      <c r="AK68" s="295"/>
      <c r="AL68" s="295"/>
      <c r="AM68" s="295"/>
      <c r="AN68" s="295"/>
      <c r="AO68" s="295"/>
      <c r="AP68" s="295"/>
      <c r="AQ68" s="295"/>
      <c r="AR68" s="295"/>
      <c r="AS68" s="295"/>
      <c r="AT68" s="295"/>
      <c r="AU68" s="295"/>
      <c r="AV68" s="295"/>
      <c r="AW68" s="295"/>
      <c r="AX68" s="295"/>
      <c r="AY68" s="295"/>
      <c r="AZ68" s="295"/>
      <c r="BA68" s="295"/>
      <c r="BB68" s="295"/>
      <c r="BC68" s="295"/>
      <c r="BD68" s="295"/>
      <c r="BE68" s="296"/>
      <c r="BF68" s="258" t="s">
        <v>5</v>
      </c>
      <c r="BG68" s="259"/>
      <c r="BH68" s="259"/>
      <c r="BI68" s="259"/>
      <c r="BJ68" s="259"/>
      <c r="BK68" s="259"/>
      <c r="BL68" s="259"/>
      <c r="BM68" s="259"/>
      <c r="BN68" s="259"/>
      <c r="BO68" s="259"/>
      <c r="BP68" s="259"/>
      <c r="BQ68" s="259"/>
      <c r="BR68" s="259"/>
      <c r="BS68" s="259"/>
      <c r="BT68" s="259"/>
      <c r="BU68" s="260"/>
      <c r="BV68" s="261" t="s">
        <v>12</v>
      </c>
      <c r="BW68" s="259"/>
      <c r="BX68" s="262"/>
      <c r="BY68" s="265" t="s">
        <v>1706</v>
      </c>
      <c r="BZ68" s="266"/>
      <c r="CA68" s="266"/>
      <c r="CB68" s="266"/>
      <c r="CC68" s="266"/>
      <c r="CD68" s="266"/>
      <c r="CE68" s="266"/>
      <c r="CF68" s="266"/>
      <c r="CG68" s="266"/>
      <c r="CH68" s="266"/>
      <c r="CI68" s="266"/>
      <c r="CJ68" s="266"/>
      <c r="CK68" s="267"/>
      <c r="CL68" s="227" t="s">
        <v>11</v>
      </c>
      <c r="CM68" s="260"/>
    </row>
    <row r="69" spans="1:91" ht="25.5" customHeight="1" thickBot="1">
      <c r="A69" s="255" t="e">
        <f>IF(#REF!&lt;&gt;"",#REF!,"")</f>
        <v>#REF!</v>
      </c>
      <c r="B69" s="256"/>
      <c r="C69" s="256"/>
      <c r="D69" s="185"/>
      <c r="E69" s="257" t="e">
        <f>IF(#REF!&lt;&gt;"",#REF!,"")</f>
        <v>#REF!</v>
      </c>
      <c r="F69" s="257"/>
      <c r="G69" s="257"/>
      <c r="H69" s="186" t="e">
        <f>IF(#REF!&lt;&gt;"",#REF!,"")</f>
        <v>#REF!</v>
      </c>
      <c r="I69" s="186" t="e">
        <f>IF(#REF!&lt;&gt;"",#REF!,"")</f>
        <v>#REF!</v>
      </c>
      <c r="J69" s="186" t="e">
        <f>IF(#REF!&lt;&gt;"",#REF!,"")</f>
        <v>#REF!</v>
      </c>
      <c r="K69" s="187" t="e">
        <f>IF(#REF!&lt;&gt;"",#REF!,"")</f>
        <v>#REF!</v>
      </c>
      <c r="L69" s="297"/>
      <c r="M69" s="298"/>
      <c r="N69" s="298"/>
      <c r="O69" s="298"/>
      <c r="P69" s="298"/>
      <c r="Q69" s="298"/>
      <c r="R69" s="298"/>
      <c r="S69" s="298"/>
      <c r="T69" s="298"/>
      <c r="U69" s="298"/>
      <c r="V69" s="298"/>
      <c r="W69" s="298"/>
      <c r="X69" s="298"/>
      <c r="Y69" s="298"/>
      <c r="Z69" s="298"/>
      <c r="AA69" s="298"/>
      <c r="AB69" s="298"/>
      <c r="AC69" s="298"/>
      <c r="AD69" s="298"/>
      <c r="AE69" s="298"/>
      <c r="AF69" s="298"/>
      <c r="AG69" s="298"/>
      <c r="AH69" s="298"/>
      <c r="AI69" s="298"/>
      <c r="AJ69" s="298"/>
      <c r="AK69" s="298"/>
      <c r="AL69" s="298"/>
      <c r="AM69" s="298"/>
      <c r="AN69" s="298"/>
      <c r="AO69" s="298"/>
      <c r="AP69" s="298"/>
      <c r="AQ69" s="298"/>
      <c r="AR69" s="298"/>
      <c r="AS69" s="298"/>
      <c r="AT69" s="298"/>
      <c r="AU69" s="298"/>
      <c r="AV69" s="298"/>
      <c r="AW69" s="298"/>
      <c r="AX69" s="298"/>
      <c r="AY69" s="298"/>
      <c r="AZ69" s="298"/>
      <c r="BA69" s="298"/>
      <c r="BB69" s="298"/>
      <c r="BC69" s="298"/>
      <c r="BD69" s="298"/>
      <c r="BE69" s="299"/>
      <c r="BF69" s="251"/>
      <c r="BG69" s="251"/>
      <c r="BH69" s="251"/>
      <c r="BI69" s="251"/>
      <c r="BJ69" s="251"/>
      <c r="BK69" s="251"/>
      <c r="BL69" s="251"/>
      <c r="BM69" s="251"/>
      <c r="BN69" s="251"/>
      <c r="BO69" s="251"/>
      <c r="BP69" s="251"/>
      <c r="BQ69" s="251"/>
      <c r="BR69" s="251"/>
      <c r="BS69" s="251"/>
      <c r="BT69" s="251"/>
      <c r="BU69" s="252"/>
      <c r="BV69" s="263"/>
      <c r="BW69" s="251"/>
      <c r="BX69" s="264"/>
      <c r="BY69" s="268"/>
      <c r="BZ69" s="269"/>
      <c r="CA69" s="269"/>
      <c r="CB69" s="269"/>
      <c r="CC69" s="269"/>
      <c r="CD69" s="269"/>
      <c r="CE69" s="269"/>
      <c r="CF69" s="269"/>
      <c r="CG69" s="269"/>
      <c r="CH69" s="269"/>
      <c r="CI69" s="269"/>
      <c r="CJ69" s="269"/>
      <c r="CK69" s="270"/>
      <c r="CL69" s="271"/>
      <c r="CM69" s="252"/>
    </row>
    <row r="70" spans="1:91" ht="12" customHeight="1">
      <c r="A70" s="55"/>
      <c r="B70" s="56"/>
      <c r="C70" s="56"/>
      <c r="D70" s="56"/>
      <c r="E70" s="57"/>
      <c r="F70" s="58"/>
      <c r="G70" s="58"/>
      <c r="H70" s="58"/>
      <c r="I70" s="59"/>
      <c r="BL70" s="17"/>
      <c r="BM70" s="17"/>
      <c r="BN70" s="17"/>
      <c r="BO70" s="17"/>
      <c r="BP70" s="17"/>
      <c r="BQ70" s="17"/>
      <c r="BR70" s="17"/>
      <c r="BS70" s="17"/>
      <c r="BT70" s="61"/>
      <c r="CD70" s="57"/>
      <c r="CE70" s="57"/>
      <c r="CF70" s="57"/>
      <c r="CG70" s="57"/>
      <c r="CH70" s="57"/>
      <c r="CI70" s="57"/>
      <c r="CJ70" s="57"/>
      <c r="CK70" s="57"/>
      <c r="CL70" s="57"/>
      <c r="CM70" s="57"/>
    </row>
  </sheetData>
  <mergeCells count="45"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BV64:CM66"/>
    <mergeCell ref="A65:C65"/>
    <mergeCell ref="E65:G65"/>
    <mergeCell ref="A66:C66"/>
    <mergeCell ref="E66:G66"/>
    <mergeCell ref="A67:C67"/>
    <mergeCell ref="E67:G67"/>
    <mergeCell ref="BF67:BU67"/>
    <mergeCell ref="BV67:BX67"/>
    <mergeCell ref="BY67:CK67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BF64:BU66"/>
    <mergeCell ref="G7:G9"/>
    <mergeCell ref="H7:H9"/>
    <mergeCell ref="I7:K7"/>
    <mergeCell ref="J8:K8"/>
    <mergeCell ref="A61:C61"/>
    <mergeCell ref="E61:G61"/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29" orientation="landscape" r:id="rId1"/>
  <headerFooter alignWithMargins="0">
    <oddFooter xml:space="preserve">&amp;L&amp;Z&amp;F&amp;C&amp;D&amp;RConcise DesignShutdown Key 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18</vt:i4>
      </vt:variant>
    </vt:vector>
  </HeadingPairs>
  <TitlesOfParts>
    <vt:vector size="38" baseType="lpstr">
      <vt:lpstr>Settings</vt:lpstr>
      <vt:lpstr>Source</vt:lpstr>
      <vt:lpstr>Title Page</vt:lpstr>
      <vt:lpstr>SD Key Page 1</vt:lpstr>
      <vt:lpstr>SD Key Page 2</vt:lpstr>
      <vt:lpstr>SD Key Page 3</vt:lpstr>
      <vt:lpstr>SD Key Page 4</vt:lpstr>
      <vt:lpstr>SD Key Page 5</vt:lpstr>
      <vt:lpstr>SD Key Page 6</vt:lpstr>
      <vt:lpstr>SD Key Page 7</vt:lpstr>
      <vt:lpstr>SD Key Page 8</vt:lpstr>
      <vt:lpstr>SD Key Page 9</vt:lpstr>
      <vt:lpstr>SD Key Page 10</vt:lpstr>
      <vt:lpstr>SD Key Page 11</vt:lpstr>
      <vt:lpstr>SD Key Page 12</vt:lpstr>
      <vt:lpstr>SD Key Page 13</vt:lpstr>
      <vt:lpstr>SD Key Page 14</vt:lpstr>
      <vt:lpstr>SD Key Page 15</vt:lpstr>
      <vt:lpstr>SD Key Page 16</vt:lpstr>
      <vt:lpstr>SD Key Page 17</vt:lpstr>
      <vt:lpstr>'SD Key Page 1'!Print_Area</vt:lpstr>
      <vt:lpstr>'SD Key Page 10'!Print_Area</vt:lpstr>
      <vt:lpstr>'SD Key Page 11'!Print_Area</vt:lpstr>
      <vt:lpstr>'SD Key Page 12'!Print_Area</vt:lpstr>
      <vt:lpstr>'SD Key Page 13'!Print_Area</vt:lpstr>
      <vt:lpstr>'SD Key Page 14'!Print_Area</vt:lpstr>
      <vt:lpstr>'SD Key Page 15'!Print_Area</vt:lpstr>
      <vt:lpstr>'SD Key Page 16'!Print_Area</vt:lpstr>
      <vt:lpstr>'SD Key Page 17'!Print_Area</vt:lpstr>
      <vt:lpstr>'SD Key Page 2'!Print_Area</vt:lpstr>
      <vt:lpstr>'SD Key Page 3'!Print_Area</vt:lpstr>
      <vt:lpstr>'SD Key Page 4'!Print_Area</vt:lpstr>
      <vt:lpstr>'SD Key Page 5'!Print_Area</vt:lpstr>
      <vt:lpstr>'SD Key Page 6'!Print_Area</vt:lpstr>
      <vt:lpstr>'SD Key Page 7'!Print_Area</vt:lpstr>
      <vt:lpstr>'SD Key Page 8'!Print_Area</vt:lpstr>
      <vt:lpstr>'SD Key Page 9'!Print_Area</vt:lpstr>
      <vt:lpstr>'Title Page'!Print_Area</vt:lpstr>
    </vt:vector>
  </TitlesOfParts>
  <Company>RNE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Travis</dc:creator>
  <cp:lastModifiedBy>ISI</cp:lastModifiedBy>
  <cp:lastPrinted>2013-06-03T17:04:35Z</cp:lastPrinted>
  <dcterms:created xsi:type="dcterms:W3CDTF">2013-04-16T17:06:32Z</dcterms:created>
  <dcterms:modified xsi:type="dcterms:W3CDTF">2013-08-01T15:34:44Z</dcterms:modified>
</cp:coreProperties>
</file>